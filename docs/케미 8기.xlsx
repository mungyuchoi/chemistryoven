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B400TFA\Desktop\손기웅\베이킹\케미스트리오븐\"/>
    </mc:Choice>
  </mc:AlternateContent>
  <bookViews>
    <workbookView xWindow="0" yWindow="0" windowWidth="28800" windowHeight="11925" activeTab="4"/>
  </bookViews>
  <sheets>
    <sheet name="Raw data" sheetId="59" r:id="rId1"/>
    <sheet name="자료정리" sheetId="63" r:id="rId2"/>
    <sheet name="인원선정 종합" sheetId="64" r:id="rId3"/>
    <sheet name="인기인 정렬" sheetId="78" r:id="rId4"/>
    <sheet name="인원선정 최종" sheetId="77" r:id="rId5"/>
    <sheet name="18M" sheetId="37" r:id="rId6"/>
    <sheet name="18M 키워드" sheetId="38" r:id="rId7"/>
    <sheet name="18L" sheetId="71" r:id="rId8"/>
    <sheet name="18L 키워드" sheetId="72" r:id="rId9"/>
    <sheet name="18E" sheetId="74" r:id="rId10"/>
    <sheet name="18E 키워드" sheetId="75" r:id="rId11"/>
  </sheets>
  <definedNames>
    <definedName name="_xlnm._FilterDatabase" localSheetId="9" hidden="1">'18E'!#REF!</definedName>
    <definedName name="_xlnm._FilterDatabase" localSheetId="10" hidden="1">'18E 키워드'!$AS$2:$AS$21</definedName>
    <definedName name="_xlnm._FilterDatabase" localSheetId="7" hidden="1">'18L'!#REF!</definedName>
    <definedName name="_xlnm._FilterDatabase" localSheetId="5" hidden="1">'18M'!#REF!</definedName>
    <definedName name="_xlnm._FilterDatabase" localSheetId="6" hidden="1">'18M 키워드'!$Y$3:$Y$13</definedName>
    <definedName name="_xlnm._FilterDatabase" localSheetId="0" hidden="1">'Raw data'!$A$2:$R$2</definedName>
    <definedName name="_xlnm._FilterDatabase" localSheetId="3" hidden="1">'인기인 정렬'!$A$1:$W$77</definedName>
    <definedName name="_xlnm._FilterDatabase" localSheetId="2" hidden="1">'인원선정 종합'!$A$1:$U$323</definedName>
    <definedName name="_xlnm._FilterDatabase" localSheetId="4" hidden="1">'인원선정 최종'!$A$58:$U$58</definedName>
    <definedName name="_xlnm._FilterDatabase" localSheetId="1" hidden="1">자료정리!$B$2:$P$2</definedName>
    <definedName name="_xlnm.Print_Area" localSheetId="9">'18E'!$B$1:$P$22</definedName>
    <definedName name="_xlnm.Print_Area" localSheetId="10">'18E 키워드'!$A$1:$AP$61</definedName>
    <definedName name="_xlnm.Print_Area" localSheetId="7">'18L'!$B$1:$P$22</definedName>
    <definedName name="_xlnm.Print_Area" localSheetId="8">'18L 키워드'!$A$1:$AP$61</definedName>
    <definedName name="_xlnm.Print_Area" localSheetId="5">'18M'!$B$1:$S$22</definedName>
    <definedName name="_xlnm.Print_Area" localSheetId="6">'18M 키워드'!$A$1:$AO$62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90" i="63" l="1"/>
  <c r="C390" i="63"/>
  <c r="D390" i="63"/>
  <c r="E390" i="63"/>
  <c r="F390" i="63"/>
  <c r="G390" i="63"/>
  <c r="H390" i="63"/>
  <c r="I390" i="63"/>
  <c r="J390" i="63"/>
  <c r="K390" i="63"/>
  <c r="L390" i="63"/>
  <c r="M390" i="63"/>
  <c r="N390" i="63"/>
  <c r="O390" i="63"/>
  <c r="P390" i="63"/>
  <c r="B391" i="63"/>
  <c r="C391" i="63"/>
  <c r="D391" i="63"/>
  <c r="E391" i="63"/>
  <c r="F391" i="63"/>
  <c r="G391" i="63"/>
  <c r="H391" i="63"/>
  <c r="I391" i="63"/>
  <c r="J391" i="63"/>
  <c r="K391" i="63"/>
  <c r="L391" i="63"/>
  <c r="M391" i="63"/>
  <c r="N391" i="63"/>
  <c r="O391" i="63"/>
  <c r="P391" i="63"/>
  <c r="B376" i="63" l="1"/>
  <c r="C376" i="63"/>
  <c r="D376" i="63"/>
  <c r="E376" i="63"/>
  <c r="F376" i="63"/>
  <c r="G376" i="63"/>
  <c r="H376" i="63"/>
  <c r="I376" i="63"/>
  <c r="J376" i="63"/>
  <c r="K376" i="63"/>
  <c r="L376" i="63"/>
  <c r="M376" i="63"/>
  <c r="N376" i="63"/>
  <c r="O376" i="63"/>
  <c r="P376" i="63"/>
  <c r="B377" i="63"/>
  <c r="C377" i="63"/>
  <c r="D377" i="63"/>
  <c r="E377" i="63"/>
  <c r="F377" i="63"/>
  <c r="G377" i="63"/>
  <c r="H377" i="63"/>
  <c r="I377" i="63"/>
  <c r="J377" i="63"/>
  <c r="K377" i="63"/>
  <c r="L377" i="63"/>
  <c r="M377" i="63"/>
  <c r="N377" i="63"/>
  <c r="O377" i="63"/>
  <c r="P377" i="63"/>
  <c r="B378" i="63"/>
  <c r="C378" i="63"/>
  <c r="D378" i="63"/>
  <c r="E378" i="63"/>
  <c r="F378" i="63"/>
  <c r="G378" i="63"/>
  <c r="H378" i="63"/>
  <c r="I378" i="63"/>
  <c r="J378" i="63"/>
  <c r="K378" i="63"/>
  <c r="L378" i="63"/>
  <c r="M378" i="63"/>
  <c r="N378" i="63"/>
  <c r="O378" i="63"/>
  <c r="P378" i="63"/>
  <c r="B379" i="63"/>
  <c r="C379" i="63"/>
  <c r="D379" i="63"/>
  <c r="E379" i="63"/>
  <c r="F379" i="63"/>
  <c r="G379" i="63"/>
  <c r="H379" i="63"/>
  <c r="I379" i="63"/>
  <c r="J379" i="63"/>
  <c r="K379" i="63"/>
  <c r="L379" i="63"/>
  <c r="M379" i="63"/>
  <c r="N379" i="63"/>
  <c r="O379" i="63"/>
  <c r="P379" i="63"/>
  <c r="B380" i="63"/>
  <c r="C380" i="63"/>
  <c r="D380" i="63"/>
  <c r="E380" i="63"/>
  <c r="F380" i="63"/>
  <c r="G380" i="63"/>
  <c r="H380" i="63"/>
  <c r="I380" i="63"/>
  <c r="J380" i="63"/>
  <c r="K380" i="63"/>
  <c r="L380" i="63"/>
  <c r="M380" i="63"/>
  <c r="N380" i="63"/>
  <c r="O380" i="63"/>
  <c r="P380" i="63"/>
  <c r="B381" i="63"/>
  <c r="C381" i="63"/>
  <c r="D381" i="63"/>
  <c r="E381" i="63"/>
  <c r="F381" i="63"/>
  <c r="G381" i="63"/>
  <c r="H381" i="63"/>
  <c r="I381" i="63"/>
  <c r="J381" i="63"/>
  <c r="K381" i="63"/>
  <c r="L381" i="63"/>
  <c r="M381" i="63"/>
  <c r="N381" i="63"/>
  <c r="O381" i="63"/>
  <c r="P381" i="63"/>
  <c r="B382" i="63"/>
  <c r="C382" i="63"/>
  <c r="D382" i="63"/>
  <c r="E382" i="63"/>
  <c r="F382" i="63"/>
  <c r="G382" i="63"/>
  <c r="H382" i="63"/>
  <c r="I382" i="63"/>
  <c r="J382" i="63"/>
  <c r="K382" i="63"/>
  <c r="L382" i="63"/>
  <c r="M382" i="63"/>
  <c r="N382" i="63"/>
  <c r="O382" i="63"/>
  <c r="P382" i="63"/>
  <c r="B383" i="63"/>
  <c r="C383" i="63"/>
  <c r="D383" i="63"/>
  <c r="E383" i="63"/>
  <c r="F383" i="63"/>
  <c r="G383" i="63"/>
  <c r="H383" i="63"/>
  <c r="I383" i="63"/>
  <c r="J383" i="63"/>
  <c r="K383" i="63"/>
  <c r="L383" i="63"/>
  <c r="M383" i="63"/>
  <c r="N383" i="63"/>
  <c r="O383" i="63"/>
  <c r="P383" i="63"/>
  <c r="B384" i="63"/>
  <c r="C384" i="63"/>
  <c r="D384" i="63"/>
  <c r="E384" i="63"/>
  <c r="F384" i="63"/>
  <c r="G384" i="63"/>
  <c r="H384" i="63"/>
  <c r="I384" i="63"/>
  <c r="J384" i="63"/>
  <c r="K384" i="63"/>
  <c r="L384" i="63"/>
  <c r="M384" i="63"/>
  <c r="N384" i="63"/>
  <c r="O384" i="63"/>
  <c r="P384" i="63"/>
  <c r="B385" i="63"/>
  <c r="C385" i="63"/>
  <c r="D385" i="63"/>
  <c r="E385" i="63"/>
  <c r="F385" i="63"/>
  <c r="G385" i="63"/>
  <c r="H385" i="63"/>
  <c r="I385" i="63"/>
  <c r="J385" i="63"/>
  <c r="K385" i="63"/>
  <c r="L385" i="63"/>
  <c r="M385" i="63"/>
  <c r="N385" i="63"/>
  <c r="O385" i="63"/>
  <c r="P385" i="63"/>
  <c r="B386" i="63"/>
  <c r="C386" i="63"/>
  <c r="D386" i="63"/>
  <c r="E386" i="63"/>
  <c r="F386" i="63"/>
  <c r="G386" i="63"/>
  <c r="H386" i="63"/>
  <c r="I386" i="63"/>
  <c r="J386" i="63"/>
  <c r="K386" i="63"/>
  <c r="L386" i="63"/>
  <c r="M386" i="63"/>
  <c r="N386" i="63"/>
  <c r="O386" i="63"/>
  <c r="P386" i="63"/>
  <c r="B387" i="63"/>
  <c r="C387" i="63"/>
  <c r="D387" i="63"/>
  <c r="E387" i="63"/>
  <c r="F387" i="63"/>
  <c r="G387" i="63"/>
  <c r="H387" i="63"/>
  <c r="I387" i="63"/>
  <c r="J387" i="63"/>
  <c r="K387" i="63"/>
  <c r="L387" i="63"/>
  <c r="M387" i="63"/>
  <c r="N387" i="63"/>
  <c r="O387" i="63"/>
  <c r="P387" i="63"/>
  <c r="B388" i="63"/>
  <c r="C388" i="63"/>
  <c r="D388" i="63"/>
  <c r="E388" i="63"/>
  <c r="F388" i="63"/>
  <c r="G388" i="63"/>
  <c r="H388" i="63"/>
  <c r="I388" i="63"/>
  <c r="J388" i="63"/>
  <c r="K388" i="63"/>
  <c r="L388" i="63"/>
  <c r="M388" i="63"/>
  <c r="N388" i="63"/>
  <c r="O388" i="63"/>
  <c r="P388" i="63"/>
  <c r="B389" i="63"/>
  <c r="C389" i="63"/>
  <c r="D389" i="63"/>
  <c r="E389" i="63"/>
  <c r="F389" i="63"/>
  <c r="G389" i="63"/>
  <c r="H389" i="63"/>
  <c r="I389" i="63"/>
  <c r="J389" i="63"/>
  <c r="K389" i="63"/>
  <c r="L389" i="63"/>
  <c r="M389" i="63"/>
  <c r="N389" i="63"/>
  <c r="O389" i="63"/>
  <c r="P389" i="63"/>
  <c r="B363" i="63" l="1"/>
  <c r="C363" i="63"/>
  <c r="D363" i="63"/>
  <c r="E363" i="63"/>
  <c r="F363" i="63"/>
  <c r="G363" i="63"/>
  <c r="H363" i="63"/>
  <c r="I363" i="63"/>
  <c r="J363" i="63"/>
  <c r="K363" i="63"/>
  <c r="L363" i="63"/>
  <c r="M363" i="63"/>
  <c r="N363" i="63"/>
  <c r="O363" i="63"/>
  <c r="P363" i="63"/>
  <c r="B364" i="63"/>
  <c r="C364" i="63"/>
  <c r="D364" i="63"/>
  <c r="E364" i="63"/>
  <c r="F364" i="63"/>
  <c r="G364" i="63"/>
  <c r="H364" i="63"/>
  <c r="I364" i="63"/>
  <c r="J364" i="63"/>
  <c r="K364" i="63"/>
  <c r="L364" i="63"/>
  <c r="M364" i="63"/>
  <c r="N364" i="63"/>
  <c r="O364" i="63"/>
  <c r="P364" i="63"/>
  <c r="B365" i="63"/>
  <c r="C365" i="63"/>
  <c r="D365" i="63"/>
  <c r="E365" i="63"/>
  <c r="F365" i="63"/>
  <c r="G365" i="63"/>
  <c r="H365" i="63"/>
  <c r="I365" i="63"/>
  <c r="J365" i="63"/>
  <c r="K365" i="63"/>
  <c r="L365" i="63"/>
  <c r="M365" i="63"/>
  <c r="N365" i="63"/>
  <c r="O365" i="63"/>
  <c r="P365" i="63"/>
  <c r="B366" i="63"/>
  <c r="C366" i="63"/>
  <c r="D366" i="63"/>
  <c r="E366" i="63"/>
  <c r="F366" i="63"/>
  <c r="G366" i="63"/>
  <c r="H366" i="63"/>
  <c r="I366" i="63"/>
  <c r="J366" i="63"/>
  <c r="K366" i="63"/>
  <c r="L366" i="63"/>
  <c r="M366" i="63"/>
  <c r="N366" i="63"/>
  <c r="O366" i="63"/>
  <c r="P366" i="63"/>
  <c r="B367" i="63"/>
  <c r="C367" i="63"/>
  <c r="D367" i="63"/>
  <c r="E367" i="63"/>
  <c r="F367" i="63"/>
  <c r="G367" i="63"/>
  <c r="H367" i="63"/>
  <c r="I367" i="63"/>
  <c r="J367" i="63"/>
  <c r="K367" i="63"/>
  <c r="L367" i="63"/>
  <c r="M367" i="63"/>
  <c r="N367" i="63"/>
  <c r="O367" i="63"/>
  <c r="P367" i="63"/>
  <c r="B368" i="63"/>
  <c r="C368" i="63"/>
  <c r="D368" i="63"/>
  <c r="E368" i="63"/>
  <c r="F368" i="63"/>
  <c r="G368" i="63"/>
  <c r="H368" i="63"/>
  <c r="I368" i="63"/>
  <c r="J368" i="63"/>
  <c r="K368" i="63"/>
  <c r="L368" i="63"/>
  <c r="M368" i="63"/>
  <c r="N368" i="63"/>
  <c r="O368" i="63"/>
  <c r="P368" i="63"/>
  <c r="B369" i="63"/>
  <c r="C369" i="63"/>
  <c r="D369" i="63"/>
  <c r="E369" i="63"/>
  <c r="F369" i="63"/>
  <c r="G369" i="63"/>
  <c r="H369" i="63"/>
  <c r="I369" i="63"/>
  <c r="J369" i="63"/>
  <c r="K369" i="63"/>
  <c r="L369" i="63"/>
  <c r="M369" i="63"/>
  <c r="N369" i="63"/>
  <c r="O369" i="63"/>
  <c r="P369" i="63"/>
  <c r="B370" i="63"/>
  <c r="C370" i="63"/>
  <c r="D370" i="63"/>
  <c r="E370" i="63"/>
  <c r="F370" i="63"/>
  <c r="G370" i="63"/>
  <c r="H370" i="63"/>
  <c r="I370" i="63"/>
  <c r="J370" i="63"/>
  <c r="K370" i="63"/>
  <c r="L370" i="63"/>
  <c r="M370" i="63"/>
  <c r="N370" i="63"/>
  <c r="O370" i="63"/>
  <c r="P370" i="63"/>
  <c r="B371" i="63"/>
  <c r="C371" i="63"/>
  <c r="D371" i="63"/>
  <c r="E371" i="63"/>
  <c r="F371" i="63"/>
  <c r="G371" i="63"/>
  <c r="H371" i="63"/>
  <c r="I371" i="63"/>
  <c r="J371" i="63"/>
  <c r="K371" i="63"/>
  <c r="L371" i="63"/>
  <c r="M371" i="63"/>
  <c r="N371" i="63"/>
  <c r="O371" i="63"/>
  <c r="P371" i="63"/>
  <c r="B372" i="63"/>
  <c r="C372" i="63"/>
  <c r="D372" i="63"/>
  <c r="E372" i="63"/>
  <c r="F372" i="63"/>
  <c r="G372" i="63"/>
  <c r="H372" i="63"/>
  <c r="I372" i="63"/>
  <c r="J372" i="63"/>
  <c r="K372" i="63"/>
  <c r="L372" i="63"/>
  <c r="M372" i="63"/>
  <c r="N372" i="63"/>
  <c r="O372" i="63"/>
  <c r="P372" i="63"/>
  <c r="B373" i="63"/>
  <c r="C373" i="63"/>
  <c r="D373" i="63"/>
  <c r="E373" i="63"/>
  <c r="F373" i="63"/>
  <c r="G373" i="63"/>
  <c r="H373" i="63"/>
  <c r="I373" i="63"/>
  <c r="J373" i="63"/>
  <c r="K373" i="63"/>
  <c r="L373" i="63"/>
  <c r="M373" i="63"/>
  <c r="N373" i="63"/>
  <c r="O373" i="63"/>
  <c r="P373" i="63"/>
  <c r="B374" i="63"/>
  <c r="C374" i="63"/>
  <c r="D374" i="63"/>
  <c r="E374" i="63"/>
  <c r="F374" i="63"/>
  <c r="G374" i="63"/>
  <c r="H374" i="63"/>
  <c r="I374" i="63"/>
  <c r="J374" i="63"/>
  <c r="K374" i="63"/>
  <c r="L374" i="63"/>
  <c r="M374" i="63"/>
  <c r="N374" i="63"/>
  <c r="O374" i="63"/>
  <c r="P374" i="63"/>
  <c r="B375" i="63"/>
  <c r="C375" i="63"/>
  <c r="D375" i="63"/>
  <c r="E375" i="63"/>
  <c r="F375" i="63"/>
  <c r="G375" i="63"/>
  <c r="H375" i="63"/>
  <c r="I375" i="63"/>
  <c r="J375" i="63"/>
  <c r="K375" i="63"/>
  <c r="L375" i="63"/>
  <c r="M375" i="63"/>
  <c r="N375" i="63"/>
  <c r="O375" i="63"/>
  <c r="P375" i="63"/>
  <c r="B392" i="63"/>
  <c r="C392" i="63"/>
  <c r="D392" i="63"/>
  <c r="E392" i="63"/>
  <c r="F392" i="63"/>
  <c r="G392" i="63"/>
  <c r="H392" i="63"/>
  <c r="I392" i="63"/>
  <c r="J392" i="63"/>
  <c r="K392" i="63"/>
  <c r="L392" i="63"/>
  <c r="M392" i="63"/>
  <c r="N392" i="63"/>
  <c r="O392" i="63"/>
  <c r="P392" i="63"/>
  <c r="B393" i="63"/>
  <c r="C393" i="63"/>
  <c r="D393" i="63"/>
  <c r="E393" i="63"/>
  <c r="F393" i="63"/>
  <c r="G393" i="63"/>
  <c r="H393" i="63"/>
  <c r="I393" i="63"/>
  <c r="J393" i="63"/>
  <c r="K393" i="63"/>
  <c r="L393" i="63"/>
  <c r="M393" i="63"/>
  <c r="N393" i="63"/>
  <c r="O393" i="63"/>
  <c r="P393" i="63"/>
  <c r="B394" i="63"/>
  <c r="C394" i="63"/>
  <c r="D394" i="63"/>
  <c r="E394" i="63"/>
  <c r="F394" i="63"/>
  <c r="G394" i="63"/>
  <c r="H394" i="63"/>
  <c r="I394" i="63"/>
  <c r="J394" i="63"/>
  <c r="K394" i="63"/>
  <c r="L394" i="63"/>
  <c r="M394" i="63"/>
  <c r="N394" i="63"/>
  <c r="O394" i="63"/>
  <c r="P394" i="63"/>
  <c r="B395" i="63"/>
  <c r="C395" i="63"/>
  <c r="D395" i="63"/>
  <c r="E395" i="63"/>
  <c r="F395" i="63"/>
  <c r="G395" i="63"/>
  <c r="H395" i="63"/>
  <c r="I395" i="63"/>
  <c r="J395" i="63"/>
  <c r="K395" i="63"/>
  <c r="L395" i="63"/>
  <c r="M395" i="63"/>
  <c r="N395" i="63"/>
  <c r="O395" i="63"/>
  <c r="P395" i="63"/>
  <c r="B396" i="63"/>
  <c r="C396" i="63"/>
  <c r="D396" i="63"/>
  <c r="E396" i="63"/>
  <c r="F396" i="63"/>
  <c r="G396" i="63"/>
  <c r="H396" i="63"/>
  <c r="I396" i="63"/>
  <c r="J396" i="63"/>
  <c r="K396" i="63"/>
  <c r="L396" i="63"/>
  <c r="M396" i="63"/>
  <c r="N396" i="63"/>
  <c r="O396" i="63"/>
  <c r="P396" i="63"/>
  <c r="B397" i="63"/>
  <c r="C397" i="63"/>
  <c r="D397" i="63"/>
  <c r="E397" i="63"/>
  <c r="F397" i="63"/>
  <c r="G397" i="63"/>
  <c r="H397" i="63"/>
  <c r="I397" i="63"/>
  <c r="J397" i="63"/>
  <c r="K397" i="63"/>
  <c r="L397" i="63"/>
  <c r="M397" i="63"/>
  <c r="N397" i="63"/>
  <c r="O397" i="63"/>
  <c r="P397" i="63"/>
  <c r="B398" i="63"/>
  <c r="C398" i="63"/>
  <c r="D398" i="63"/>
  <c r="E398" i="63"/>
  <c r="F398" i="63"/>
  <c r="G398" i="63"/>
  <c r="H398" i="63"/>
  <c r="I398" i="63"/>
  <c r="J398" i="63"/>
  <c r="K398" i="63"/>
  <c r="L398" i="63"/>
  <c r="M398" i="63"/>
  <c r="N398" i="63"/>
  <c r="O398" i="63"/>
  <c r="P398" i="63"/>
  <c r="B399" i="63"/>
  <c r="C399" i="63"/>
  <c r="D399" i="63"/>
  <c r="E399" i="63"/>
  <c r="F399" i="63"/>
  <c r="G399" i="63"/>
  <c r="H399" i="63"/>
  <c r="I399" i="63"/>
  <c r="J399" i="63"/>
  <c r="K399" i="63"/>
  <c r="L399" i="63"/>
  <c r="M399" i="63"/>
  <c r="N399" i="63"/>
  <c r="O399" i="63"/>
  <c r="P399" i="63"/>
  <c r="B400" i="63"/>
  <c r="C400" i="63"/>
  <c r="D400" i="63"/>
  <c r="E400" i="63"/>
  <c r="F400" i="63"/>
  <c r="G400" i="63"/>
  <c r="H400" i="63"/>
  <c r="I400" i="63"/>
  <c r="J400" i="63"/>
  <c r="K400" i="63"/>
  <c r="L400" i="63"/>
  <c r="M400" i="63"/>
  <c r="N400" i="63"/>
  <c r="O400" i="63"/>
  <c r="P400" i="63"/>
  <c r="B401" i="63"/>
  <c r="C401" i="63"/>
  <c r="D401" i="63"/>
  <c r="E401" i="63"/>
  <c r="F401" i="63"/>
  <c r="G401" i="63"/>
  <c r="H401" i="63"/>
  <c r="I401" i="63"/>
  <c r="J401" i="63"/>
  <c r="K401" i="63"/>
  <c r="L401" i="63"/>
  <c r="M401" i="63"/>
  <c r="N401" i="63"/>
  <c r="O401" i="63"/>
  <c r="P401" i="63"/>
  <c r="B402" i="63"/>
  <c r="C402" i="63"/>
  <c r="D402" i="63"/>
  <c r="E402" i="63"/>
  <c r="F402" i="63"/>
  <c r="G402" i="63"/>
  <c r="H402" i="63"/>
  <c r="I402" i="63"/>
  <c r="J402" i="63"/>
  <c r="K402" i="63"/>
  <c r="L402" i="63"/>
  <c r="M402" i="63"/>
  <c r="N402" i="63"/>
  <c r="O402" i="63"/>
  <c r="P402" i="63"/>
  <c r="B403" i="63"/>
  <c r="C403" i="63"/>
  <c r="D403" i="63"/>
  <c r="E403" i="63"/>
  <c r="F403" i="63"/>
  <c r="G403" i="63"/>
  <c r="H403" i="63"/>
  <c r="I403" i="63"/>
  <c r="J403" i="63"/>
  <c r="K403" i="63"/>
  <c r="L403" i="63"/>
  <c r="M403" i="63"/>
  <c r="N403" i="63"/>
  <c r="O403" i="63"/>
  <c r="P403" i="63"/>
  <c r="B404" i="63"/>
  <c r="C404" i="63"/>
  <c r="D404" i="63"/>
  <c r="E404" i="63"/>
  <c r="F404" i="63"/>
  <c r="G404" i="63"/>
  <c r="H404" i="63"/>
  <c r="I404" i="63"/>
  <c r="J404" i="63"/>
  <c r="K404" i="63"/>
  <c r="L404" i="63"/>
  <c r="M404" i="63"/>
  <c r="N404" i="63"/>
  <c r="O404" i="63"/>
  <c r="P404" i="63"/>
  <c r="B405" i="63"/>
  <c r="C405" i="63"/>
  <c r="D405" i="63"/>
  <c r="E405" i="63"/>
  <c r="F405" i="63"/>
  <c r="G405" i="63"/>
  <c r="H405" i="63"/>
  <c r="I405" i="63"/>
  <c r="J405" i="63"/>
  <c r="K405" i="63"/>
  <c r="L405" i="63"/>
  <c r="M405" i="63"/>
  <c r="N405" i="63"/>
  <c r="O405" i="63"/>
  <c r="P405" i="63"/>
  <c r="B406" i="63"/>
  <c r="C406" i="63"/>
  <c r="D406" i="63"/>
  <c r="E406" i="63"/>
  <c r="F406" i="63"/>
  <c r="G406" i="63"/>
  <c r="H406" i="63"/>
  <c r="I406" i="63"/>
  <c r="J406" i="63"/>
  <c r="K406" i="63"/>
  <c r="L406" i="63"/>
  <c r="M406" i="63"/>
  <c r="N406" i="63"/>
  <c r="O406" i="63"/>
  <c r="P406" i="63"/>
  <c r="B407" i="63"/>
  <c r="C407" i="63"/>
  <c r="D407" i="63"/>
  <c r="E407" i="63"/>
  <c r="F407" i="63"/>
  <c r="G407" i="63"/>
  <c r="H407" i="63"/>
  <c r="I407" i="63"/>
  <c r="J407" i="63"/>
  <c r="K407" i="63"/>
  <c r="L407" i="63"/>
  <c r="M407" i="63"/>
  <c r="N407" i="63"/>
  <c r="O407" i="63"/>
  <c r="P407" i="63"/>
  <c r="B408" i="63"/>
  <c r="C408" i="63"/>
  <c r="D408" i="63"/>
  <c r="E408" i="63"/>
  <c r="F408" i="63"/>
  <c r="G408" i="63"/>
  <c r="H408" i="63"/>
  <c r="I408" i="63"/>
  <c r="J408" i="63"/>
  <c r="K408" i="63"/>
  <c r="L408" i="63"/>
  <c r="M408" i="63"/>
  <c r="N408" i="63"/>
  <c r="O408" i="63"/>
  <c r="P408" i="63"/>
  <c r="B409" i="63"/>
  <c r="C409" i="63"/>
  <c r="D409" i="63"/>
  <c r="E409" i="63"/>
  <c r="F409" i="63"/>
  <c r="G409" i="63"/>
  <c r="H409" i="63"/>
  <c r="I409" i="63"/>
  <c r="J409" i="63"/>
  <c r="K409" i="63"/>
  <c r="L409" i="63"/>
  <c r="M409" i="63"/>
  <c r="N409" i="63"/>
  <c r="O409" i="63"/>
  <c r="P409" i="63"/>
  <c r="M26" i="75" l="1"/>
  <c r="N26" i="75"/>
  <c r="O26" i="75"/>
  <c r="P26" i="75"/>
  <c r="M27" i="75"/>
  <c r="Q27" i="75"/>
  <c r="M28" i="75"/>
  <c r="Q28" i="75"/>
  <c r="M25" i="75"/>
  <c r="O25" i="75"/>
  <c r="S49" i="75"/>
  <c r="U49" i="75"/>
  <c r="S50" i="75"/>
  <c r="T50" i="75"/>
  <c r="U50" i="75"/>
  <c r="V50" i="75"/>
  <c r="S51" i="75"/>
  <c r="W51" i="75"/>
  <c r="S52" i="75"/>
  <c r="W52" i="75"/>
  <c r="K10" i="38" l="1"/>
  <c r="G10" i="38"/>
  <c r="I10" i="38"/>
  <c r="K9" i="38"/>
  <c r="G9" i="38"/>
  <c r="G25" i="38" l="1"/>
  <c r="Q52" i="75" l="1"/>
  <c r="M52" i="75"/>
  <c r="Q51" i="75"/>
  <c r="M51" i="75"/>
  <c r="K51" i="75"/>
  <c r="K50" i="75"/>
  <c r="P50" i="75"/>
  <c r="O50" i="75"/>
  <c r="E51" i="75" s="1"/>
  <c r="N50" i="75"/>
  <c r="M50" i="75"/>
  <c r="E50" i="75" s="1"/>
  <c r="K49" i="75"/>
  <c r="O49" i="75"/>
  <c r="E49" i="75" s="1"/>
  <c r="M49" i="75"/>
  <c r="W40" i="75"/>
  <c r="S40" i="75"/>
  <c r="Q40" i="75"/>
  <c r="M40" i="75"/>
  <c r="W39" i="75"/>
  <c r="S39" i="75"/>
  <c r="Q39" i="75"/>
  <c r="M39" i="75"/>
  <c r="V38" i="75"/>
  <c r="U38" i="75"/>
  <c r="K39" i="75" s="1"/>
  <c r="T38" i="75"/>
  <c r="S38" i="75"/>
  <c r="K38" i="75" s="1"/>
  <c r="P38" i="75"/>
  <c r="O38" i="75"/>
  <c r="E39" i="75" s="1"/>
  <c r="N38" i="75"/>
  <c r="M38" i="75"/>
  <c r="E38" i="75" s="1"/>
  <c r="U37" i="75"/>
  <c r="K37" i="75" s="1"/>
  <c r="S37" i="75"/>
  <c r="O37" i="75"/>
  <c r="E37" i="75" s="1"/>
  <c r="M37" i="75"/>
  <c r="W28" i="75"/>
  <c r="S28" i="75"/>
  <c r="W27" i="75"/>
  <c r="S27" i="75"/>
  <c r="V26" i="75"/>
  <c r="U26" i="75"/>
  <c r="K27" i="75" s="1"/>
  <c r="T26" i="75"/>
  <c r="S26" i="75"/>
  <c r="K26" i="75" s="1"/>
  <c r="U25" i="75"/>
  <c r="K25" i="75" s="1"/>
  <c r="S25" i="75"/>
  <c r="E25" i="75"/>
  <c r="W16" i="75"/>
  <c r="S16" i="75"/>
  <c r="Q16" i="75"/>
  <c r="M16" i="75"/>
  <c r="W15" i="75"/>
  <c r="S15" i="75"/>
  <c r="Q15" i="75"/>
  <c r="M15" i="75"/>
  <c r="V14" i="75"/>
  <c r="U14" i="75"/>
  <c r="K15" i="75" s="1"/>
  <c r="T14" i="75"/>
  <c r="S14" i="75"/>
  <c r="K14" i="75" s="1"/>
  <c r="P14" i="75"/>
  <c r="O14" i="75"/>
  <c r="E15" i="75" s="1"/>
  <c r="N14" i="75"/>
  <c r="M14" i="75"/>
  <c r="U13" i="75"/>
  <c r="K13" i="75" s="1"/>
  <c r="S13" i="75"/>
  <c r="O13" i="75"/>
  <c r="E13" i="75" s="1"/>
  <c r="M13" i="75"/>
  <c r="W4" i="75"/>
  <c r="S4" i="75"/>
  <c r="Q4" i="75"/>
  <c r="M4" i="75"/>
  <c r="W3" i="75"/>
  <c r="S3" i="75"/>
  <c r="Q3" i="75"/>
  <c r="M3" i="75"/>
  <c r="V2" i="75"/>
  <c r="U2" i="75"/>
  <c r="T2" i="75"/>
  <c r="S2" i="75"/>
  <c r="P2" i="75"/>
  <c r="O2" i="75"/>
  <c r="E3" i="75" s="1"/>
  <c r="N2" i="75"/>
  <c r="M2" i="75"/>
  <c r="E2" i="75" s="1"/>
  <c r="U1" i="75"/>
  <c r="K1" i="75" s="1"/>
  <c r="S1" i="75"/>
  <c r="O1" i="75"/>
  <c r="M1" i="75"/>
  <c r="G59" i="75"/>
  <c r="K58" i="75"/>
  <c r="G58" i="75"/>
  <c r="K57" i="75"/>
  <c r="G57" i="75"/>
  <c r="K53" i="75"/>
  <c r="I53" i="75"/>
  <c r="G53" i="75"/>
  <c r="K52" i="75"/>
  <c r="G49" i="75"/>
  <c r="C59" i="75"/>
  <c r="A59" i="75"/>
  <c r="E58" i="75"/>
  <c r="C58" i="75"/>
  <c r="A58" i="75"/>
  <c r="E57" i="75"/>
  <c r="A57" i="75"/>
  <c r="C53" i="75"/>
  <c r="A53" i="75"/>
  <c r="E52" i="75"/>
  <c r="A49" i="75"/>
  <c r="E46" i="75"/>
  <c r="A46" i="75"/>
  <c r="E45" i="75"/>
  <c r="A45" i="75"/>
  <c r="C41" i="75"/>
  <c r="A41" i="75"/>
  <c r="E40" i="75"/>
  <c r="A37" i="75"/>
  <c r="I47" i="75"/>
  <c r="G47" i="75"/>
  <c r="K46" i="75"/>
  <c r="I46" i="75"/>
  <c r="G46" i="75"/>
  <c r="K45" i="75"/>
  <c r="G45" i="75"/>
  <c r="I43" i="75"/>
  <c r="G43" i="75"/>
  <c r="K42" i="75"/>
  <c r="I42" i="75"/>
  <c r="G42" i="75"/>
  <c r="K41" i="75"/>
  <c r="I41" i="75"/>
  <c r="G41" i="75"/>
  <c r="K40" i="75"/>
  <c r="G37" i="75"/>
  <c r="G36" i="75"/>
  <c r="G35" i="75"/>
  <c r="K34" i="75"/>
  <c r="I34" i="75"/>
  <c r="G34" i="75"/>
  <c r="K33" i="75"/>
  <c r="G33" i="75"/>
  <c r="I30" i="75"/>
  <c r="G30" i="75"/>
  <c r="K29" i="75"/>
  <c r="I29" i="75"/>
  <c r="G29" i="75"/>
  <c r="K28" i="75"/>
  <c r="G25" i="75"/>
  <c r="E35" i="75"/>
  <c r="C35" i="75"/>
  <c r="A35" i="75"/>
  <c r="A29" i="75"/>
  <c r="E28" i="75"/>
  <c r="E27" i="75"/>
  <c r="E26" i="75"/>
  <c r="A25" i="75"/>
  <c r="A23" i="75"/>
  <c r="E22" i="75"/>
  <c r="A22" i="75"/>
  <c r="E21" i="75"/>
  <c r="A21" i="75"/>
  <c r="C17" i="75"/>
  <c r="A17" i="75"/>
  <c r="E16" i="75"/>
  <c r="E14" i="75"/>
  <c r="A13" i="75"/>
  <c r="I23" i="75"/>
  <c r="G23" i="75"/>
  <c r="K22" i="75"/>
  <c r="I22" i="75"/>
  <c r="G22" i="75"/>
  <c r="K21" i="75"/>
  <c r="G21" i="75"/>
  <c r="G17" i="75"/>
  <c r="K16" i="75"/>
  <c r="G13" i="75"/>
  <c r="I12" i="75"/>
  <c r="G12" i="75"/>
  <c r="K11" i="75"/>
  <c r="I11" i="75"/>
  <c r="G11" i="75"/>
  <c r="K10" i="75"/>
  <c r="I10" i="75"/>
  <c r="G10" i="75"/>
  <c r="K9" i="75"/>
  <c r="G9" i="75"/>
  <c r="G6" i="75"/>
  <c r="I5" i="75"/>
  <c r="G5" i="75"/>
  <c r="K4" i="75"/>
  <c r="K3" i="75"/>
  <c r="K2" i="75"/>
  <c r="G1" i="75"/>
  <c r="E11" i="75"/>
  <c r="C11" i="75"/>
  <c r="A11" i="75"/>
  <c r="A10" i="75"/>
  <c r="E9" i="75"/>
  <c r="A9" i="75"/>
  <c r="E6" i="75"/>
  <c r="C6" i="75"/>
  <c r="A6" i="75"/>
  <c r="E5" i="75"/>
  <c r="C5" i="75"/>
  <c r="A5" i="75"/>
  <c r="E4" i="75"/>
  <c r="E1" i="75"/>
  <c r="A1" i="75"/>
  <c r="I59" i="72"/>
  <c r="G59" i="72"/>
  <c r="K58" i="72"/>
  <c r="G58" i="72"/>
  <c r="K57" i="72"/>
  <c r="G57" i="72"/>
  <c r="K55" i="72"/>
  <c r="I55" i="72"/>
  <c r="G55" i="72"/>
  <c r="K54" i="72"/>
  <c r="I54" i="72"/>
  <c r="G54" i="72"/>
  <c r="K53" i="72"/>
  <c r="I53" i="72"/>
  <c r="G53" i="72"/>
  <c r="K52" i="72"/>
  <c r="K51" i="72"/>
  <c r="K50" i="72"/>
  <c r="K49" i="72"/>
  <c r="G49" i="72"/>
  <c r="E58" i="72"/>
  <c r="A58" i="72"/>
  <c r="E57" i="72"/>
  <c r="A57" i="72"/>
  <c r="A53" i="72"/>
  <c r="E52" i="72"/>
  <c r="E51" i="72"/>
  <c r="E50" i="72"/>
  <c r="E49" i="72"/>
  <c r="A49" i="72"/>
  <c r="E47" i="72"/>
  <c r="C47" i="72"/>
  <c r="A47" i="72"/>
  <c r="E46" i="72"/>
  <c r="A46" i="72"/>
  <c r="E45" i="72"/>
  <c r="A45" i="72"/>
  <c r="C41" i="72"/>
  <c r="A41" i="72"/>
  <c r="E40" i="72"/>
  <c r="E39" i="72"/>
  <c r="E38" i="72"/>
  <c r="E37" i="72"/>
  <c r="A37" i="72"/>
  <c r="I47" i="72"/>
  <c r="G47" i="72"/>
  <c r="K46" i="72"/>
  <c r="G46" i="72"/>
  <c r="K45" i="72"/>
  <c r="G45" i="72"/>
  <c r="I41" i="72"/>
  <c r="G41" i="72"/>
  <c r="K40" i="72"/>
  <c r="K39" i="72"/>
  <c r="K38" i="72"/>
  <c r="K37" i="72"/>
  <c r="G37" i="72"/>
  <c r="K35" i="72"/>
  <c r="I35" i="72"/>
  <c r="G35" i="72"/>
  <c r="K34" i="72"/>
  <c r="G34" i="72"/>
  <c r="K33" i="72"/>
  <c r="G33" i="72"/>
  <c r="K29" i="72"/>
  <c r="I29" i="72"/>
  <c r="G29" i="72"/>
  <c r="K28" i="72"/>
  <c r="K27" i="72"/>
  <c r="K26" i="72"/>
  <c r="K25" i="72"/>
  <c r="G25" i="72"/>
  <c r="A36" i="72"/>
  <c r="E35" i="72"/>
  <c r="C35" i="72"/>
  <c r="A35" i="72"/>
  <c r="E34" i="72"/>
  <c r="A34" i="72"/>
  <c r="E33" i="72"/>
  <c r="A33" i="72"/>
  <c r="A30" i="72"/>
  <c r="E29" i="72"/>
  <c r="C29" i="72"/>
  <c r="A29" i="72"/>
  <c r="E28" i="72"/>
  <c r="E27" i="72"/>
  <c r="E26" i="72"/>
  <c r="E25" i="72"/>
  <c r="A25" i="72"/>
  <c r="E23" i="72"/>
  <c r="C23" i="72"/>
  <c r="A23" i="72"/>
  <c r="E22" i="72"/>
  <c r="A22" i="72"/>
  <c r="E21" i="72"/>
  <c r="A21" i="72"/>
  <c r="E18" i="72"/>
  <c r="C18" i="72"/>
  <c r="A18" i="72"/>
  <c r="E17" i="72"/>
  <c r="C17" i="72"/>
  <c r="A17" i="72"/>
  <c r="E16" i="72"/>
  <c r="E15" i="72"/>
  <c r="E14" i="72"/>
  <c r="E13" i="72"/>
  <c r="A13" i="72"/>
  <c r="K22" i="72"/>
  <c r="G22" i="72"/>
  <c r="K21" i="72"/>
  <c r="G21" i="72"/>
  <c r="I19" i="72"/>
  <c r="G19" i="72"/>
  <c r="K18" i="72"/>
  <c r="I18" i="72"/>
  <c r="G18" i="72"/>
  <c r="K17" i="72"/>
  <c r="I17" i="72"/>
  <c r="G17" i="72"/>
  <c r="K16" i="72"/>
  <c r="K15" i="72"/>
  <c r="K14" i="72"/>
  <c r="K13" i="72"/>
  <c r="G13" i="72"/>
  <c r="G11" i="72"/>
  <c r="K10" i="72"/>
  <c r="I10" i="72"/>
  <c r="G10" i="72"/>
  <c r="K9" i="72"/>
  <c r="I5" i="72"/>
  <c r="G5" i="72"/>
  <c r="K4" i="72"/>
  <c r="K3" i="72"/>
  <c r="K2" i="72"/>
  <c r="K1" i="72"/>
  <c r="G1" i="72"/>
  <c r="C11" i="72"/>
  <c r="A11" i="72"/>
  <c r="E10" i="72"/>
  <c r="C10" i="72"/>
  <c r="A10" i="72"/>
  <c r="E9" i="72"/>
  <c r="A9" i="72"/>
  <c r="C5" i="72"/>
  <c r="A5" i="72"/>
  <c r="E4" i="72"/>
  <c r="E3" i="72"/>
  <c r="E2" i="72"/>
  <c r="E1" i="72"/>
  <c r="A1" i="72"/>
  <c r="I60" i="38"/>
  <c r="G60" i="38"/>
  <c r="K59" i="38"/>
  <c r="I59" i="38"/>
  <c r="G59" i="38"/>
  <c r="K58" i="38"/>
  <c r="I58" i="38"/>
  <c r="G58" i="38"/>
  <c r="K57" i="38"/>
  <c r="G57" i="38"/>
  <c r="I55" i="38"/>
  <c r="G55" i="38"/>
  <c r="K54" i="38"/>
  <c r="I54" i="38"/>
  <c r="G54" i="38"/>
  <c r="K53" i="38"/>
  <c r="I53" i="38"/>
  <c r="G53" i="38"/>
  <c r="K52" i="38"/>
  <c r="G49" i="38"/>
  <c r="A60" i="38"/>
  <c r="E59" i="38"/>
  <c r="C59" i="38"/>
  <c r="A59" i="38"/>
  <c r="E58" i="38"/>
  <c r="A58" i="38"/>
  <c r="E57" i="38"/>
  <c r="A57" i="38"/>
  <c r="E54" i="38"/>
  <c r="C54" i="38"/>
  <c r="A54" i="38"/>
  <c r="E53" i="38"/>
  <c r="C53" i="38"/>
  <c r="A53" i="38"/>
  <c r="E52" i="38"/>
  <c r="A49" i="38"/>
  <c r="A35" i="38"/>
  <c r="E34" i="38"/>
  <c r="A34" i="38"/>
  <c r="E33" i="38"/>
  <c r="A33" i="38"/>
  <c r="C29" i="38"/>
  <c r="A29" i="38"/>
  <c r="E28" i="38"/>
  <c r="A25" i="38"/>
  <c r="A47" i="38"/>
  <c r="E46" i="38"/>
  <c r="A46" i="38"/>
  <c r="E45" i="38"/>
  <c r="A45" i="38"/>
  <c r="C41" i="38"/>
  <c r="A41" i="38"/>
  <c r="E40" i="38"/>
  <c r="A37" i="38"/>
  <c r="G48" i="38"/>
  <c r="K47" i="38"/>
  <c r="I47" i="38"/>
  <c r="G47" i="38"/>
  <c r="K46" i="38"/>
  <c r="G46" i="38"/>
  <c r="K45" i="38"/>
  <c r="G45" i="38"/>
  <c r="K42" i="38"/>
  <c r="I42" i="38"/>
  <c r="G42" i="38"/>
  <c r="K41" i="38"/>
  <c r="I41" i="38"/>
  <c r="G41" i="38"/>
  <c r="K40" i="38"/>
  <c r="G37" i="38"/>
  <c r="G29" i="38"/>
  <c r="K28" i="38"/>
  <c r="K35" i="38"/>
  <c r="I35" i="38"/>
  <c r="G35" i="38"/>
  <c r="K34" i="38"/>
  <c r="G34" i="38"/>
  <c r="K33" i="38"/>
  <c r="G33" i="38"/>
  <c r="I30" i="38"/>
  <c r="G30" i="38"/>
  <c r="K29" i="38"/>
  <c r="I29" i="38"/>
  <c r="K24" i="38"/>
  <c r="K23" i="38"/>
  <c r="I23" i="38"/>
  <c r="G23" i="38"/>
  <c r="K22" i="38"/>
  <c r="G22" i="38"/>
  <c r="K21" i="38"/>
  <c r="G21" i="38"/>
  <c r="K18" i="38"/>
  <c r="I18" i="38"/>
  <c r="G18" i="38"/>
  <c r="K17" i="38"/>
  <c r="I17" i="38"/>
  <c r="G17" i="38"/>
  <c r="A23" i="38"/>
  <c r="E22" i="38"/>
  <c r="A22" i="38"/>
  <c r="E21" i="38"/>
  <c r="A21" i="38"/>
  <c r="C17" i="38"/>
  <c r="A17" i="38"/>
  <c r="A11" i="38"/>
  <c r="E10" i="38"/>
  <c r="A10" i="38"/>
  <c r="E9" i="38"/>
  <c r="A9" i="38"/>
  <c r="C6" i="38"/>
  <c r="A6" i="38"/>
  <c r="E5" i="38"/>
  <c r="C5" i="38"/>
  <c r="A5" i="38"/>
  <c r="AA19" i="75" l="1"/>
  <c r="AA40" i="75" s="1"/>
  <c r="AA61" i="75" s="1"/>
  <c r="AM19" i="75"/>
  <c r="AM40" i="75" s="1"/>
  <c r="AM61" i="75" s="1"/>
  <c r="AM17" i="75"/>
  <c r="AM38" i="75" s="1"/>
  <c r="AM59" i="75" s="1"/>
  <c r="AA17" i="75"/>
  <c r="AA38" i="75" s="1"/>
  <c r="AA59" i="75" s="1"/>
  <c r="AM15" i="75"/>
  <c r="AM36" i="75" s="1"/>
  <c r="AM57" i="75" s="1"/>
  <c r="AA15" i="75"/>
  <c r="AA36" i="75" s="1"/>
  <c r="AA57" i="75" s="1"/>
  <c r="AM13" i="75"/>
  <c r="AM34" i="75" s="1"/>
  <c r="AM55" i="75" s="1"/>
  <c r="AA13" i="75"/>
  <c r="AA34" i="75" s="1"/>
  <c r="AA55" i="75" s="1"/>
  <c r="Y13" i="75"/>
  <c r="AM7" i="75"/>
  <c r="AM28" i="75" s="1"/>
  <c r="AM49" i="75" s="1"/>
  <c r="AA7" i="75"/>
  <c r="AA28" i="75" s="1"/>
  <c r="AA49" i="75" s="1"/>
  <c r="Y12" i="75"/>
  <c r="AM11" i="75"/>
  <c r="AM32" i="75" s="1"/>
  <c r="AM53" i="75" s="1"/>
  <c r="AA11" i="75"/>
  <c r="AA32" i="75" s="1"/>
  <c r="AA53" i="75" s="1"/>
  <c r="Y11" i="75"/>
  <c r="Y10" i="75"/>
  <c r="AM9" i="75"/>
  <c r="AM30" i="75" s="1"/>
  <c r="AM51" i="75" s="1"/>
  <c r="AA9" i="75"/>
  <c r="AA30" i="75" s="1"/>
  <c r="AA51" i="75" s="1"/>
  <c r="Y9" i="75"/>
  <c r="Y8" i="75"/>
  <c r="Y7" i="75"/>
  <c r="Y6" i="75"/>
  <c r="AM5" i="75"/>
  <c r="AM26" i="75" s="1"/>
  <c r="AM47" i="75" s="1"/>
  <c r="AA5" i="75"/>
  <c r="AA26" i="75" s="1"/>
  <c r="AA47" i="75" s="1"/>
  <c r="Y5" i="75"/>
  <c r="Y4" i="75"/>
  <c r="AA3" i="75"/>
  <c r="AA24" i="75" s="1"/>
  <c r="AA45" i="75" s="1"/>
  <c r="AM1" i="75"/>
  <c r="AM22" i="75" s="1"/>
  <c r="AM43" i="75" s="1"/>
  <c r="AA1" i="75"/>
  <c r="AA22" i="75" s="1"/>
  <c r="AA43" i="75" s="1"/>
  <c r="AM3" i="75"/>
  <c r="AM24" i="75" s="1"/>
  <c r="AM45" i="75" s="1"/>
  <c r="M22" i="74"/>
  <c r="D22" i="74"/>
  <c r="C22" i="74"/>
  <c r="M21" i="74"/>
  <c r="D21" i="74"/>
  <c r="C21" i="74"/>
  <c r="M20" i="74"/>
  <c r="D20" i="74"/>
  <c r="C20" i="74"/>
  <c r="M19" i="74"/>
  <c r="D19" i="74"/>
  <c r="C19" i="74"/>
  <c r="M18" i="74"/>
  <c r="D18" i="74"/>
  <c r="C18" i="74"/>
  <c r="M17" i="74"/>
  <c r="D17" i="74"/>
  <c r="C17" i="74"/>
  <c r="M16" i="74"/>
  <c r="D16" i="74"/>
  <c r="C16" i="74"/>
  <c r="M15" i="74"/>
  <c r="D15" i="74"/>
  <c r="C15" i="74"/>
  <c r="M14" i="74"/>
  <c r="D14" i="74"/>
  <c r="C14" i="74"/>
  <c r="M13" i="74"/>
  <c r="D13" i="74"/>
  <c r="C13" i="74"/>
  <c r="B361" i="63" l="1"/>
  <c r="C361" i="63"/>
  <c r="D361" i="63"/>
  <c r="E361" i="63"/>
  <c r="F361" i="63"/>
  <c r="G361" i="63"/>
  <c r="H361" i="63"/>
  <c r="I361" i="63"/>
  <c r="J361" i="63"/>
  <c r="K361" i="63"/>
  <c r="L361" i="63"/>
  <c r="M361" i="63"/>
  <c r="N361" i="63"/>
  <c r="O361" i="63"/>
  <c r="P361" i="63"/>
  <c r="B362" i="63"/>
  <c r="C362" i="63"/>
  <c r="D362" i="63"/>
  <c r="E362" i="63"/>
  <c r="F362" i="63"/>
  <c r="G362" i="63"/>
  <c r="H362" i="63"/>
  <c r="I362" i="63"/>
  <c r="J362" i="63"/>
  <c r="K362" i="63"/>
  <c r="L362" i="63"/>
  <c r="M362" i="63"/>
  <c r="N362" i="63"/>
  <c r="O362" i="63"/>
  <c r="P362" i="63"/>
  <c r="B360" i="63" l="1"/>
  <c r="C360" i="63"/>
  <c r="D360" i="63"/>
  <c r="E360" i="63"/>
  <c r="F360" i="63"/>
  <c r="G360" i="63"/>
  <c r="H360" i="63"/>
  <c r="I360" i="63"/>
  <c r="J360" i="63"/>
  <c r="K360" i="63"/>
  <c r="L360" i="63"/>
  <c r="M360" i="63"/>
  <c r="N360" i="63"/>
  <c r="O360" i="63"/>
  <c r="P360" i="63"/>
  <c r="B359" i="63"/>
  <c r="C359" i="63"/>
  <c r="D359" i="63"/>
  <c r="E359" i="63"/>
  <c r="F359" i="63"/>
  <c r="G359" i="63"/>
  <c r="H359" i="63"/>
  <c r="I359" i="63"/>
  <c r="J359" i="63"/>
  <c r="K359" i="63"/>
  <c r="L359" i="63"/>
  <c r="M359" i="63"/>
  <c r="N359" i="63"/>
  <c r="O359" i="63"/>
  <c r="P359" i="63"/>
  <c r="M14" i="38" l="1"/>
  <c r="M14" i="72"/>
  <c r="AM17" i="38" l="1"/>
  <c r="AM38" i="38" s="1"/>
  <c r="AM59" i="38" s="1"/>
  <c r="AA17" i="38"/>
  <c r="AA38" i="38" s="1"/>
  <c r="AA59" i="38" s="1"/>
  <c r="AM13" i="38"/>
  <c r="AM34" i="38" s="1"/>
  <c r="AM55" i="38" s="1"/>
  <c r="AA13" i="38"/>
  <c r="AA34" i="38" s="1"/>
  <c r="AA55" i="38" s="1"/>
  <c r="AM9" i="38"/>
  <c r="AM30" i="38" s="1"/>
  <c r="AM51" i="38" s="1"/>
  <c r="AA9" i="38"/>
  <c r="AA30" i="38" s="1"/>
  <c r="AA51" i="38" s="1"/>
  <c r="AM5" i="38"/>
  <c r="AM26" i="38" s="1"/>
  <c r="AM47" i="38" s="1"/>
  <c r="AA5" i="38"/>
  <c r="AA26" i="38" s="1"/>
  <c r="AA47" i="38" s="1"/>
  <c r="AM1" i="38"/>
  <c r="AM22" i="38" s="1"/>
  <c r="AM43" i="38" s="1"/>
  <c r="AA1" i="38"/>
  <c r="AA22" i="38" s="1"/>
  <c r="AA43" i="38" s="1"/>
  <c r="B358" i="63" l="1"/>
  <c r="C358" i="63"/>
  <c r="D358" i="63"/>
  <c r="E358" i="63"/>
  <c r="F358" i="63"/>
  <c r="G358" i="63"/>
  <c r="H358" i="63"/>
  <c r="I358" i="63"/>
  <c r="J358" i="63"/>
  <c r="K358" i="63"/>
  <c r="L358" i="63"/>
  <c r="M358" i="63"/>
  <c r="N358" i="63"/>
  <c r="O358" i="63"/>
  <c r="P358" i="63"/>
  <c r="B354" i="63"/>
  <c r="C354" i="63"/>
  <c r="D354" i="63"/>
  <c r="E354" i="63"/>
  <c r="F354" i="63"/>
  <c r="G354" i="63"/>
  <c r="H354" i="63"/>
  <c r="I354" i="63"/>
  <c r="J354" i="63"/>
  <c r="K354" i="63"/>
  <c r="L354" i="63"/>
  <c r="M354" i="63"/>
  <c r="N354" i="63"/>
  <c r="O354" i="63"/>
  <c r="P354" i="63"/>
  <c r="B355" i="63"/>
  <c r="C355" i="63"/>
  <c r="D355" i="63"/>
  <c r="E355" i="63"/>
  <c r="F355" i="63"/>
  <c r="G355" i="63"/>
  <c r="H355" i="63"/>
  <c r="I355" i="63"/>
  <c r="J355" i="63"/>
  <c r="K355" i="63"/>
  <c r="L355" i="63"/>
  <c r="M355" i="63"/>
  <c r="N355" i="63"/>
  <c r="O355" i="63"/>
  <c r="P355" i="63"/>
  <c r="B356" i="63"/>
  <c r="C356" i="63"/>
  <c r="D356" i="63"/>
  <c r="E356" i="63"/>
  <c r="F356" i="63"/>
  <c r="G356" i="63"/>
  <c r="H356" i="63"/>
  <c r="I356" i="63"/>
  <c r="J356" i="63"/>
  <c r="K356" i="63"/>
  <c r="L356" i="63"/>
  <c r="M356" i="63"/>
  <c r="N356" i="63"/>
  <c r="O356" i="63"/>
  <c r="P356" i="63"/>
  <c r="B357" i="63"/>
  <c r="C357" i="63"/>
  <c r="D357" i="63"/>
  <c r="E357" i="63"/>
  <c r="F357" i="63"/>
  <c r="G357" i="63"/>
  <c r="H357" i="63"/>
  <c r="I357" i="63"/>
  <c r="J357" i="63"/>
  <c r="K357" i="63"/>
  <c r="L357" i="63"/>
  <c r="M357" i="63"/>
  <c r="N357" i="63"/>
  <c r="O357" i="63"/>
  <c r="P357" i="63"/>
  <c r="Y11" i="38" l="1"/>
  <c r="B352" i="63" l="1"/>
  <c r="C352" i="63"/>
  <c r="D352" i="63"/>
  <c r="E352" i="63"/>
  <c r="F352" i="63"/>
  <c r="G352" i="63"/>
  <c r="H352" i="63"/>
  <c r="I352" i="63"/>
  <c r="J352" i="63"/>
  <c r="K352" i="63"/>
  <c r="L352" i="63"/>
  <c r="M352" i="63"/>
  <c r="N352" i="63"/>
  <c r="O352" i="63"/>
  <c r="P352" i="63"/>
  <c r="B353" i="63"/>
  <c r="C353" i="63"/>
  <c r="D353" i="63"/>
  <c r="E353" i="63"/>
  <c r="F353" i="63"/>
  <c r="G353" i="63"/>
  <c r="H353" i="63"/>
  <c r="I353" i="63"/>
  <c r="J353" i="63"/>
  <c r="K353" i="63"/>
  <c r="L353" i="63"/>
  <c r="M353" i="63"/>
  <c r="N353" i="63"/>
  <c r="O353" i="63"/>
  <c r="P353" i="63"/>
  <c r="B351" i="63"/>
  <c r="C351" i="63"/>
  <c r="D351" i="63"/>
  <c r="E351" i="63"/>
  <c r="F351" i="63"/>
  <c r="G351" i="63"/>
  <c r="H351" i="63"/>
  <c r="I351" i="63"/>
  <c r="J351" i="63"/>
  <c r="K351" i="63"/>
  <c r="L351" i="63"/>
  <c r="M351" i="63"/>
  <c r="N351" i="63"/>
  <c r="O351" i="63"/>
  <c r="P351" i="63"/>
  <c r="B348" i="63"/>
  <c r="C348" i="63"/>
  <c r="D348" i="63"/>
  <c r="E348" i="63"/>
  <c r="F348" i="63"/>
  <c r="G348" i="63"/>
  <c r="H348" i="63"/>
  <c r="I348" i="63"/>
  <c r="J348" i="63"/>
  <c r="K348" i="63"/>
  <c r="L348" i="63"/>
  <c r="M348" i="63"/>
  <c r="N348" i="63"/>
  <c r="O348" i="63"/>
  <c r="P348" i="63"/>
  <c r="B349" i="63"/>
  <c r="C349" i="63"/>
  <c r="D349" i="63"/>
  <c r="E349" i="63"/>
  <c r="F349" i="63"/>
  <c r="G349" i="63"/>
  <c r="H349" i="63"/>
  <c r="I349" i="63"/>
  <c r="J349" i="63"/>
  <c r="K349" i="63"/>
  <c r="L349" i="63"/>
  <c r="M349" i="63"/>
  <c r="N349" i="63"/>
  <c r="O349" i="63"/>
  <c r="P349" i="63"/>
  <c r="B350" i="63"/>
  <c r="C350" i="63"/>
  <c r="D350" i="63"/>
  <c r="E350" i="63"/>
  <c r="F350" i="63"/>
  <c r="G350" i="63"/>
  <c r="H350" i="63"/>
  <c r="I350" i="63"/>
  <c r="J350" i="63"/>
  <c r="K350" i="63"/>
  <c r="L350" i="63"/>
  <c r="M350" i="63"/>
  <c r="N350" i="63"/>
  <c r="O350" i="63"/>
  <c r="P350" i="63"/>
  <c r="B335" i="63"/>
  <c r="C335" i="63"/>
  <c r="D335" i="63"/>
  <c r="E335" i="63"/>
  <c r="F335" i="63"/>
  <c r="G335" i="63"/>
  <c r="H335" i="63"/>
  <c r="I335" i="63"/>
  <c r="J335" i="63"/>
  <c r="K335" i="63"/>
  <c r="L335" i="63"/>
  <c r="M335" i="63"/>
  <c r="N335" i="63"/>
  <c r="O335" i="63"/>
  <c r="P335" i="63"/>
  <c r="B336" i="63"/>
  <c r="C336" i="63"/>
  <c r="D336" i="63"/>
  <c r="E336" i="63"/>
  <c r="F336" i="63"/>
  <c r="G336" i="63"/>
  <c r="H336" i="63"/>
  <c r="I336" i="63"/>
  <c r="J336" i="63"/>
  <c r="K336" i="63"/>
  <c r="L336" i="63"/>
  <c r="M336" i="63"/>
  <c r="N336" i="63"/>
  <c r="O336" i="63"/>
  <c r="P336" i="63"/>
  <c r="B337" i="63"/>
  <c r="C337" i="63"/>
  <c r="D337" i="63"/>
  <c r="E337" i="63"/>
  <c r="F337" i="63"/>
  <c r="G337" i="63"/>
  <c r="H337" i="63"/>
  <c r="I337" i="63"/>
  <c r="J337" i="63"/>
  <c r="K337" i="63"/>
  <c r="L337" i="63"/>
  <c r="M337" i="63"/>
  <c r="N337" i="63"/>
  <c r="O337" i="63"/>
  <c r="P337" i="63"/>
  <c r="B338" i="63"/>
  <c r="C338" i="63"/>
  <c r="D338" i="63"/>
  <c r="E338" i="63"/>
  <c r="F338" i="63"/>
  <c r="G338" i="63"/>
  <c r="H338" i="63"/>
  <c r="I338" i="63"/>
  <c r="J338" i="63"/>
  <c r="K338" i="63"/>
  <c r="L338" i="63"/>
  <c r="M338" i="63"/>
  <c r="N338" i="63"/>
  <c r="O338" i="63"/>
  <c r="P338" i="63"/>
  <c r="B339" i="63"/>
  <c r="C339" i="63"/>
  <c r="D339" i="63"/>
  <c r="E339" i="63"/>
  <c r="F339" i="63"/>
  <c r="G339" i="63"/>
  <c r="H339" i="63"/>
  <c r="I339" i="63"/>
  <c r="J339" i="63"/>
  <c r="K339" i="63"/>
  <c r="L339" i="63"/>
  <c r="M339" i="63"/>
  <c r="N339" i="63"/>
  <c r="O339" i="63"/>
  <c r="P339" i="63"/>
  <c r="B340" i="63"/>
  <c r="C340" i="63"/>
  <c r="D340" i="63"/>
  <c r="E340" i="63"/>
  <c r="F340" i="63"/>
  <c r="G340" i="63"/>
  <c r="H340" i="63"/>
  <c r="I340" i="63"/>
  <c r="J340" i="63"/>
  <c r="K340" i="63"/>
  <c r="L340" i="63"/>
  <c r="M340" i="63"/>
  <c r="N340" i="63"/>
  <c r="O340" i="63"/>
  <c r="P340" i="63"/>
  <c r="B341" i="63"/>
  <c r="C341" i="63"/>
  <c r="D341" i="63"/>
  <c r="E341" i="63"/>
  <c r="F341" i="63"/>
  <c r="G341" i="63"/>
  <c r="H341" i="63"/>
  <c r="I341" i="63"/>
  <c r="J341" i="63"/>
  <c r="K341" i="63"/>
  <c r="L341" i="63"/>
  <c r="M341" i="63"/>
  <c r="N341" i="63"/>
  <c r="O341" i="63"/>
  <c r="P341" i="63"/>
  <c r="B342" i="63"/>
  <c r="C342" i="63"/>
  <c r="D342" i="63"/>
  <c r="E342" i="63"/>
  <c r="F342" i="63"/>
  <c r="G342" i="63"/>
  <c r="H342" i="63"/>
  <c r="I342" i="63"/>
  <c r="J342" i="63"/>
  <c r="K342" i="63"/>
  <c r="L342" i="63"/>
  <c r="M342" i="63"/>
  <c r="N342" i="63"/>
  <c r="O342" i="63"/>
  <c r="P342" i="63"/>
  <c r="B343" i="63"/>
  <c r="C343" i="63"/>
  <c r="D343" i="63"/>
  <c r="E343" i="63"/>
  <c r="F343" i="63"/>
  <c r="G343" i="63"/>
  <c r="H343" i="63"/>
  <c r="I343" i="63"/>
  <c r="J343" i="63"/>
  <c r="K343" i="63"/>
  <c r="L343" i="63"/>
  <c r="M343" i="63"/>
  <c r="N343" i="63"/>
  <c r="O343" i="63"/>
  <c r="P343" i="63"/>
  <c r="B344" i="63"/>
  <c r="C344" i="63"/>
  <c r="D344" i="63"/>
  <c r="E344" i="63"/>
  <c r="F344" i="63"/>
  <c r="G344" i="63"/>
  <c r="H344" i="63"/>
  <c r="I344" i="63"/>
  <c r="J344" i="63"/>
  <c r="K344" i="63"/>
  <c r="L344" i="63"/>
  <c r="M344" i="63"/>
  <c r="N344" i="63"/>
  <c r="O344" i="63"/>
  <c r="P344" i="63"/>
  <c r="B345" i="63"/>
  <c r="C345" i="63"/>
  <c r="D345" i="63"/>
  <c r="E345" i="63"/>
  <c r="F345" i="63"/>
  <c r="G345" i="63"/>
  <c r="H345" i="63"/>
  <c r="I345" i="63"/>
  <c r="J345" i="63"/>
  <c r="K345" i="63"/>
  <c r="L345" i="63"/>
  <c r="M345" i="63"/>
  <c r="N345" i="63"/>
  <c r="O345" i="63"/>
  <c r="P345" i="63"/>
  <c r="B346" i="63"/>
  <c r="C346" i="63"/>
  <c r="D346" i="63"/>
  <c r="E346" i="63"/>
  <c r="F346" i="63"/>
  <c r="G346" i="63"/>
  <c r="H346" i="63"/>
  <c r="I346" i="63"/>
  <c r="J346" i="63"/>
  <c r="K346" i="63"/>
  <c r="L346" i="63"/>
  <c r="M346" i="63"/>
  <c r="N346" i="63"/>
  <c r="O346" i="63"/>
  <c r="P346" i="63"/>
  <c r="B347" i="63"/>
  <c r="C347" i="63"/>
  <c r="D347" i="63"/>
  <c r="E347" i="63"/>
  <c r="F347" i="63"/>
  <c r="G347" i="63"/>
  <c r="H347" i="63"/>
  <c r="I347" i="63"/>
  <c r="J347" i="63"/>
  <c r="K347" i="63"/>
  <c r="L347" i="63"/>
  <c r="M347" i="63"/>
  <c r="N347" i="63"/>
  <c r="O347" i="63"/>
  <c r="P347" i="63"/>
  <c r="B334" i="63" l="1"/>
  <c r="C334" i="63"/>
  <c r="D334" i="63"/>
  <c r="E334" i="63"/>
  <c r="F334" i="63"/>
  <c r="G334" i="63"/>
  <c r="H334" i="63"/>
  <c r="I334" i="63"/>
  <c r="J334" i="63"/>
  <c r="K334" i="63"/>
  <c r="L334" i="63"/>
  <c r="M334" i="63"/>
  <c r="N334" i="63"/>
  <c r="O334" i="63"/>
  <c r="P334" i="63"/>
  <c r="B333" i="63" l="1"/>
  <c r="C333" i="63"/>
  <c r="D333" i="63"/>
  <c r="E333" i="63"/>
  <c r="F333" i="63"/>
  <c r="G333" i="63"/>
  <c r="H333" i="63"/>
  <c r="I333" i="63"/>
  <c r="J333" i="63"/>
  <c r="K333" i="63"/>
  <c r="L333" i="63"/>
  <c r="M333" i="63"/>
  <c r="N333" i="63"/>
  <c r="O333" i="63"/>
  <c r="P333" i="63"/>
  <c r="B320" i="63" l="1"/>
  <c r="C320" i="63"/>
  <c r="D320" i="63"/>
  <c r="E320" i="63"/>
  <c r="F320" i="63"/>
  <c r="G320" i="63"/>
  <c r="H320" i="63"/>
  <c r="I320" i="63"/>
  <c r="J320" i="63"/>
  <c r="K320" i="63"/>
  <c r="L320" i="63"/>
  <c r="M320" i="63"/>
  <c r="N320" i="63"/>
  <c r="O320" i="63"/>
  <c r="P320" i="63"/>
  <c r="B321" i="63"/>
  <c r="C321" i="63"/>
  <c r="D321" i="63"/>
  <c r="E321" i="63"/>
  <c r="F321" i="63"/>
  <c r="G321" i="63"/>
  <c r="H321" i="63"/>
  <c r="I321" i="63"/>
  <c r="J321" i="63"/>
  <c r="K321" i="63"/>
  <c r="L321" i="63"/>
  <c r="M321" i="63"/>
  <c r="N321" i="63"/>
  <c r="O321" i="63"/>
  <c r="P321" i="63"/>
  <c r="B322" i="63"/>
  <c r="C322" i="63"/>
  <c r="D322" i="63"/>
  <c r="E322" i="63"/>
  <c r="F322" i="63"/>
  <c r="G322" i="63"/>
  <c r="H322" i="63"/>
  <c r="I322" i="63"/>
  <c r="J322" i="63"/>
  <c r="K322" i="63"/>
  <c r="L322" i="63"/>
  <c r="M322" i="63"/>
  <c r="N322" i="63"/>
  <c r="O322" i="63"/>
  <c r="P322" i="63"/>
  <c r="B323" i="63"/>
  <c r="C323" i="63"/>
  <c r="D323" i="63"/>
  <c r="E323" i="63"/>
  <c r="F323" i="63"/>
  <c r="G323" i="63"/>
  <c r="H323" i="63"/>
  <c r="I323" i="63"/>
  <c r="J323" i="63"/>
  <c r="K323" i="63"/>
  <c r="L323" i="63"/>
  <c r="M323" i="63"/>
  <c r="N323" i="63"/>
  <c r="O323" i="63"/>
  <c r="P323" i="63"/>
  <c r="B324" i="63"/>
  <c r="C324" i="63"/>
  <c r="D324" i="63"/>
  <c r="E324" i="63"/>
  <c r="F324" i="63"/>
  <c r="G324" i="63"/>
  <c r="H324" i="63"/>
  <c r="I324" i="63"/>
  <c r="J324" i="63"/>
  <c r="K324" i="63"/>
  <c r="L324" i="63"/>
  <c r="M324" i="63"/>
  <c r="N324" i="63"/>
  <c r="O324" i="63"/>
  <c r="P324" i="63"/>
  <c r="B325" i="63"/>
  <c r="C325" i="63"/>
  <c r="D325" i="63"/>
  <c r="E325" i="63"/>
  <c r="F325" i="63"/>
  <c r="G325" i="63"/>
  <c r="H325" i="63"/>
  <c r="I325" i="63"/>
  <c r="J325" i="63"/>
  <c r="K325" i="63"/>
  <c r="L325" i="63"/>
  <c r="M325" i="63"/>
  <c r="N325" i="63"/>
  <c r="O325" i="63"/>
  <c r="P325" i="63"/>
  <c r="B326" i="63"/>
  <c r="C326" i="63"/>
  <c r="D326" i="63"/>
  <c r="E326" i="63"/>
  <c r="F326" i="63"/>
  <c r="G326" i="63"/>
  <c r="H326" i="63"/>
  <c r="I326" i="63"/>
  <c r="J326" i="63"/>
  <c r="K326" i="63"/>
  <c r="L326" i="63"/>
  <c r="M326" i="63"/>
  <c r="N326" i="63"/>
  <c r="O326" i="63"/>
  <c r="P326" i="63"/>
  <c r="B327" i="63"/>
  <c r="C327" i="63"/>
  <c r="D327" i="63"/>
  <c r="E327" i="63"/>
  <c r="F327" i="63"/>
  <c r="G327" i="63"/>
  <c r="H327" i="63"/>
  <c r="I327" i="63"/>
  <c r="J327" i="63"/>
  <c r="K327" i="63"/>
  <c r="L327" i="63"/>
  <c r="M327" i="63"/>
  <c r="N327" i="63"/>
  <c r="O327" i="63"/>
  <c r="P327" i="63"/>
  <c r="B328" i="63"/>
  <c r="C328" i="63"/>
  <c r="D328" i="63"/>
  <c r="E328" i="63"/>
  <c r="F328" i="63"/>
  <c r="G328" i="63"/>
  <c r="H328" i="63"/>
  <c r="I328" i="63"/>
  <c r="J328" i="63"/>
  <c r="K328" i="63"/>
  <c r="L328" i="63"/>
  <c r="M328" i="63"/>
  <c r="N328" i="63"/>
  <c r="O328" i="63"/>
  <c r="P328" i="63"/>
  <c r="B329" i="63"/>
  <c r="C329" i="63"/>
  <c r="D329" i="63"/>
  <c r="E329" i="63"/>
  <c r="F329" i="63"/>
  <c r="G329" i="63"/>
  <c r="H329" i="63"/>
  <c r="I329" i="63"/>
  <c r="J329" i="63"/>
  <c r="K329" i="63"/>
  <c r="L329" i="63"/>
  <c r="M329" i="63"/>
  <c r="N329" i="63"/>
  <c r="O329" i="63"/>
  <c r="P329" i="63"/>
  <c r="B330" i="63"/>
  <c r="C330" i="63"/>
  <c r="D330" i="63"/>
  <c r="E330" i="63"/>
  <c r="F330" i="63"/>
  <c r="G330" i="63"/>
  <c r="H330" i="63"/>
  <c r="I330" i="63"/>
  <c r="J330" i="63"/>
  <c r="K330" i="63"/>
  <c r="L330" i="63"/>
  <c r="M330" i="63"/>
  <c r="N330" i="63"/>
  <c r="O330" i="63"/>
  <c r="P330" i="63"/>
  <c r="B331" i="63"/>
  <c r="C331" i="63"/>
  <c r="D331" i="63"/>
  <c r="E331" i="63"/>
  <c r="F331" i="63"/>
  <c r="G331" i="63"/>
  <c r="H331" i="63"/>
  <c r="I331" i="63"/>
  <c r="J331" i="63"/>
  <c r="K331" i="63"/>
  <c r="L331" i="63"/>
  <c r="M331" i="63"/>
  <c r="N331" i="63"/>
  <c r="O331" i="63"/>
  <c r="P331" i="63"/>
  <c r="B332" i="63"/>
  <c r="C332" i="63"/>
  <c r="D332" i="63"/>
  <c r="E332" i="63"/>
  <c r="F332" i="63"/>
  <c r="G332" i="63"/>
  <c r="H332" i="63"/>
  <c r="I332" i="63"/>
  <c r="J332" i="63"/>
  <c r="K332" i="63"/>
  <c r="L332" i="63"/>
  <c r="M332" i="63"/>
  <c r="N332" i="63"/>
  <c r="O332" i="63"/>
  <c r="P332" i="63"/>
  <c r="B318" i="63" l="1"/>
  <c r="C318" i="63"/>
  <c r="D318" i="63"/>
  <c r="E318" i="63"/>
  <c r="F318" i="63"/>
  <c r="G318" i="63"/>
  <c r="H318" i="63"/>
  <c r="I318" i="63"/>
  <c r="J318" i="63"/>
  <c r="K318" i="63"/>
  <c r="L318" i="63"/>
  <c r="M318" i="63"/>
  <c r="N318" i="63"/>
  <c r="O318" i="63"/>
  <c r="P318" i="63"/>
  <c r="B319" i="63"/>
  <c r="C319" i="63"/>
  <c r="D319" i="63"/>
  <c r="E319" i="63"/>
  <c r="F319" i="63"/>
  <c r="G319" i="63"/>
  <c r="H319" i="63"/>
  <c r="I319" i="63"/>
  <c r="J319" i="63"/>
  <c r="K319" i="63"/>
  <c r="L319" i="63"/>
  <c r="M319" i="63"/>
  <c r="N319" i="63"/>
  <c r="O319" i="63"/>
  <c r="P319" i="63"/>
  <c r="B315" i="63" l="1"/>
  <c r="C315" i="63"/>
  <c r="D315" i="63"/>
  <c r="E315" i="63"/>
  <c r="F315" i="63"/>
  <c r="G315" i="63"/>
  <c r="H315" i="63"/>
  <c r="I315" i="63"/>
  <c r="J315" i="63"/>
  <c r="K315" i="63"/>
  <c r="L315" i="63"/>
  <c r="M315" i="63"/>
  <c r="N315" i="63"/>
  <c r="O315" i="63"/>
  <c r="P315" i="63"/>
  <c r="B316" i="63"/>
  <c r="C316" i="63"/>
  <c r="D316" i="63"/>
  <c r="E316" i="63"/>
  <c r="F316" i="63"/>
  <c r="G316" i="63"/>
  <c r="H316" i="63"/>
  <c r="I316" i="63"/>
  <c r="J316" i="63"/>
  <c r="K316" i="63"/>
  <c r="L316" i="63"/>
  <c r="M316" i="63"/>
  <c r="N316" i="63"/>
  <c r="O316" i="63"/>
  <c r="P316" i="63"/>
  <c r="B317" i="63"/>
  <c r="C317" i="63"/>
  <c r="D317" i="63"/>
  <c r="E317" i="63"/>
  <c r="F317" i="63"/>
  <c r="G317" i="63"/>
  <c r="H317" i="63"/>
  <c r="I317" i="63"/>
  <c r="J317" i="63"/>
  <c r="K317" i="63"/>
  <c r="L317" i="63"/>
  <c r="M317" i="63"/>
  <c r="N317" i="63"/>
  <c r="O317" i="63"/>
  <c r="P317" i="63"/>
  <c r="B308" i="63"/>
  <c r="C308" i="63"/>
  <c r="D308" i="63"/>
  <c r="E308" i="63"/>
  <c r="F308" i="63"/>
  <c r="G308" i="63"/>
  <c r="H308" i="63"/>
  <c r="I308" i="63"/>
  <c r="J308" i="63"/>
  <c r="K308" i="63"/>
  <c r="L308" i="63"/>
  <c r="M308" i="63"/>
  <c r="N308" i="63"/>
  <c r="O308" i="63"/>
  <c r="P308" i="63"/>
  <c r="B309" i="63"/>
  <c r="C309" i="63"/>
  <c r="D309" i="63"/>
  <c r="E309" i="63"/>
  <c r="F309" i="63"/>
  <c r="G309" i="63"/>
  <c r="H309" i="63"/>
  <c r="I309" i="63"/>
  <c r="J309" i="63"/>
  <c r="K309" i="63"/>
  <c r="L309" i="63"/>
  <c r="M309" i="63"/>
  <c r="N309" i="63"/>
  <c r="O309" i="63"/>
  <c r="P309" i="63"/>
  <c r="B310" i="63"/>
  <c r="C310" i="63"/>
  <c r="D310" i="63"/>
  <c r="E310" i="63"/>
  <c r="F310" i="63"/>
  <c r="G310" i="63"/>
  <c r="H310" i="63"/>
  <c r="I310" i="63"/>
  <c r="J310" i="63"/>
  <c r="K310" i="63"/>
  <c r="L310" i="63"/>
  <c r="M310" i="63"/>
  <c r="N310" i="63"/>
  <c r="O310" i="63"/>
  <c r="P310" i="63"/>
  <c r="B311" i="63"/>
  <c r="C311" i="63"/>
  <c r="D311" i="63"/>
  <c r="E311" i="63"/>
  <c r="F311" i="63"/>
  <c r="G311" i="63"/>
  <c r="H311" i="63"/>
  <c r="I311" i="63"/>
  <c r="J311" i="63"/>
  <c r="K311" i="63"/>
  <c r="L311" i="63"/>
  <c r="M311" i="63"/>
  <c r="N311" i="63"/>
  <c r="O311" i="63"/>
  <c r="P311" i="63"/>
  <c r="B312" i="63"/>
  <c r="C312" i="63"/>
  <c r="D312" i="63"/>
  <c r="E312" i="63"/>
  <c r="F312" i="63"/>
  <c r="G312" i="63"/>
  <c r="H312" i="63"/>
  <c r="I312" i="63"/>
  <c r="J312" i="63"/>
  <c r="K312" i="63"/>
  <c r="L312" i="63"/>
  <c r="M312" i="63"/>
  <c r="N312" i="63"/>
  <c r="O312" i="63"/>
  <c r="P312" i="63"/>
  <c r="B313" i="63"/>
  <c r="C313" i="63"/>
  <c r="D313" i="63"/>
  <c r="E313" i="63"/>
  <c r="F313" i="63"/>
  <c r="G313" i="63"/>
  <c r="H313" i="63"/>
  <c r="I313" i="63"/>
  <c r="J313" i="63"/>
  <c r="K313" i="63"/>
  <c r="L313" i="63"/>
  <c r="M313" i="63"/>
  <c r="N313" i="63"/>
  <c r="O313" i="63"/>
  <c r="P313" i="63"/>
  <c r="B314" i="63"/>
  <c r="C314" i="63"/>
  <c r="D314" i="63"/>
  <c r="E314" i="63"/>
  <c r="F314" i="63"/>
  <c r="G314" i="63"/>
  <c r="H314" i="63"/>
  <c r="I314" i="63"/>
  <c r="J314" i="63"/>
  <c r="K314" i="63"/>
  <c r="L314" i="63"/>
  <c r="M314" i="63"/>
  <c r="N314" i="63"/>
  <c r="O314" i="63"/>
  <c r="P314" i="63"/>
  <c r="B287" i="63"/>
  <c r="C287" i="63"/>
  <c r="D287" i="63"/>
  <c r="E287" i="63"/>
  <c r="F287" i="63"/>
  <c r="G287" i="63"/>
  <c r="H287" i="63"/>
  <c r="I287" i="63"/>
  <c r="J287" i="63"/>
  <c r="K287" i="63"/>
  <c r="L287" i="63"/>
  <c r="M287" i="63"/>
  <c r="N287" i="63"/>
  <c r="O287" i="63"/>
  <c r="P287" i="63"/>
  <c r="B288" i="63"/>
  <c r="C288" i="63"/>
  <c r="D288" i="63"/>
  <c r="E288" i="63"/>
  <c r="F288" i="63"/>
  <c r="G288" i="63"/>
  <c r="H288" i="63"/>
  <c r="I288" i="63"/>
  <c r="J288" i="63"/>
  <c r="K288" i="63"/>
  <c r="L288" i="63"/>
  <c r="M288" i="63"/>
  <c r="N288" i="63"/>
  <c r="O288" i="63"/>
  <c r="P288" i="63"/>
  <c r="B289" i="63"/>
  <c r="C289" i="63"/>
  <c r="D289" i="63"/>
  <c r="E289" i="63"/>
  <c r="F289" i="63"/>
  <c r="G289" i="63"/>
  <c r="H289" i="63"/>
  <c r="I289" i="63"/>
  <c r="J289" i="63"/>
  <c r="K289" i="63"/>
  <c r="L289" i="63"/>
  <c r="M289" i="63"/>
  <c r="N289" i="63"/>
  <c r="O289" i="63"/>
  <c r="P289" i="63"/>
  <c r="B290" i="63"/>
  <c r="C290" i="63"/>
  <c r="D290" i="63"/>
  <c r="E290" i="63"/>
  <c r="F290" i="63"/>
  <c r="G290" i="63"/>
  <c r="H290" i="63"/>
  <c r="I290" i="63"/>
  <c r="J290" i="63"/>
  <c r="K290" i="63"/>
  <c r="L290" i="63"/>
  <c r="M290" i="63"/>
  <c r="N290" i="63"/>
  <c r="O290" i="63"/>
  <c r="P290" i="63"/>
  <c r="B291" i="63"/>
  <c r="C291" i="63"/>
  <c r="D291" i="63"/>
  <c r="E291" i="63"/>
  <c r="F291" i="63"/>
  <c r="G291" i="63"/>
  <c r="H291" i="63"/>
  <c r="I291" i="63"/>
  <c r="J291" i="63"/>
  <c r="K291" i="63"/>
  <c r="L291" i="63"/>
  <c r="M291" i="63"/>
  <c r="N291" i="63"/>
  <c r="O291" i="63"/>
  <c r="P291" i="63"/>
  <c r="B292" i="63"/>
  <c r="C292" i="63"/>
  <c r="D292" i="63"/>
  <c r="E292" i="63"/>
  <c r="F292" i="63"/>
  <c r="G292" i="63"/>
  <c r="H292" i="63"/>
  <c r="I292" i="63"/>
  <c r="J292" i="63"/>
  <c r="K292" i="63"/>
  <c r="L292" i="63"/>
  <c r="M292" i="63"/>
  <c r="N292" i="63"/>
  <c r="O292" i="63"/>
  <c r="P292" i="63"/>
  <c r="B293" i="63"/>
  <c r="C293" i="63"/>
  <c r="D293" i="63"/>
  <c r="E293" i="63"/>
  <c r="F293" i="63"/>
  <c r="G293" i="63"/>
  <c r="H293" i="63"/>
  <c r="I293" i="63"/>
  <c r="J293" i="63"/>
  <c r="K293" i="63"/>
  <c r="L293" i="63"/>
  <c r="M293" i="63"/>
  <c r="N293" i="63"/>
  <c r="O293" i="63"/>
  <c r="P293" i="63"/>
  <c r="B294" i="63"/>
  <c r="C294" i="63"/>
  <c r="D294" i="63"/>
  <c r="E294" i="63"/>
  <c r="F294" i="63"/>
  <c r="G294" i="63"/>
  <c r="H294" i="63"/>
  <c r="I294" i="63"/>
  <c r="J294" i="63"/>
  <c r="K294" i="63"/>
  <c r="L294" i="63"/>
  <c r="M294" i="63"/>
  <c r="N294" i="63"/>
  <c r="O294" i="63"/>
  <c r="P294" i="63"/>
  <c r="B295" i="63"/>
  <c r="C295" i="63"/>
  <c r="D295" i="63"/>
  <c r="E295" i="63"/>
  <c r="F295" i="63"/>
  <c r="G295" i="63"/>
  <c r="H295" i="63"/>
  <c r="I295" i="63"/>
  <c r="J295" i="63"/>
  <c r="K295" i="63"/>
  <c r="L295" i="63"/>
  <c r="M295" i="63"/>
  <c r="N295" i="63"/>
  <c r="O295" i="63"/>
  <c r="P295" i="63"/>
  <c r="B296" i="63"/>
  <c r="C296" i="63"/>
  <c r="D296" i="63"/>
  <c r="E296" i="63"/>
  <c r="F296" i="63"/>
  <c r="G296" i="63"/>
  <c r="H296" i="63"/>
  <c r="I296" i="63"/>
  <c r="J296" i="63"/>
  <c r="K296" i="63"/>
  <c r="L296" i="63"/>
  <c r="M296" i="63"/>
  <c r="N296" i="63"/>
  <c r="O296" i="63"/>
  <c r="P296" i="63"/>
  <c r="B297" i="63"/>
  <c r="C297" i="63"/>
  <c r="D297" i="63"/>
  <c r="E297" i="63"/>
  <c r="F297" i="63"/>
  <c r="G297" i="63"/>
  <c r="H297" i="63"/>
  <c r="I297" i="63"/>
  <c r="J297" i="63"/>
  <c r="K297" i="63"/>
  <c r="L297" i="63"/>
  <c r="M297" i="63"/>
  <c r="N297" i="63"/>
  <c r="O297" i="63"/>
  <c r="P297" i="63"/>
  <c r="B298" i="63"/>
  <c r="C298" i="63"/>
  <c r="D298" i="63"/>
  <c r="E298" i="63"/>
  <c r="F298" i="63"/>
  <c r="G298" i="63"/>
  <c r="H298" i="63"/>
  <c r="I298" i="63"/>
  <c r="J298" i="63"/>
  <c r="K298" i="63"/>
  <c r="L298" i="63"/>
  <c r="M298" i="63"/>
  <c r="N298" i="63"/>
  <c r="O298" i="63"/>
  <c r="P298" i="63"/>
  <c r="B299" i="63"/>
  <c r="C299" i="63"/>
  <c r="D299" i="63"/>
  <c r="E299" i="63"/>
  <c r="F299" i="63"/>
  <c r="G299" i="63"/>
  <c r="H299" i="63"/>
  <c r="I299" i="63"/>
  <c r="J299" i="63"/>
  <c r="K299" i="63"/>
  <c r="L299" i="63"/>
  <c r="M299" i="63"/>
  <c r="N299" i="63"/>
  <c r="O299" i="63"/>
  <c r="P299" i="63"/>
  <c r="B300" i="63"/>
  <c r="C300" i="63"/>
  <c r="E300" i="63"/>
  <c r="F300" i="63"/>
  <c r="G300" i="63"/>
  <c r="H300" i="63"/>
  <c r="I300" i="63"/>
  <c r="J300" i="63"/>
  <c r="K300" i="63"/>
  <c r="L300" i="63"/>
  <c r="M300" i="63"/>
  <c r="N300" i="63"/>
  <c r="O300" i="63"/>
  <c r="P300" i="63"/>
  <c r="B301" i="63"/>
  <c r="C301" i="63"/>
  <c r="E301" i="63"/>
  <c r="F301" i="63"/>
  <c r="G301" i="63"/>
  <c r="H301" i="63"/>
  <c r="I301" i="63"/>
  <c r="J301" i="63"/>
  <c r="K301" i="63"/>
  <c r="L301" i="63"/>
  <c r="M301" i="63"/>
  <c r="N301" i="63"/>
  <c r="O301" i="63"/>
  <c r="P301" i="63"/>
  <c r="B302" i="63"/>
  <c r="C302" i="63"/>
  <c r="D302" i="63"/>
  <c r="E302" i="63"/>
  <c r="F302" i="63"/>
  <c r="G302" i="63"/>
  <c r="H302" i="63"/>
  <c r="I302" i="63"/>
  <c r="J302" i="63"/>
  <c r="K302" i="63"/>
  <c r="L302" i="63"/>
  <c r="M302" i="63"/>
  <c r="N302" i="63"/>
  <c r="O302" i="63"/>
  <c r="P302" i="63"/>
  <c r="B303" i="63"/>
  <c r="C303" i="63"/>
  <c r="E303" i="63"/>
  <c r="F303" i="63"/>
  <c r="G303" i="63"/>
  <c r="H303" i="63"/>
  <c r="I303" i="63"/>
  <c r="J303" i="63"/>
  <c r="K303" i="63"/>
  <c r="L303" i="63"/>
  <c r="M303" i="63"/>
  <c r="N303" i="63"/>
  <c r="O303" i="63"/>
  <c r="P303" i="63"/>
  <c r="B304" i="63"/>
  <c r="C304" i="63"/>
  <c r="D304" i="63"/>
  <c r="E304" i="63"/>
  <c r="F304" i="63"/>
  <c r="G304" i="63"/>
  <c r="H304" i="63"/>
  <c r="I304" i="63"/>
  <c r="J304" i="63"/>
  <c r="K304" i="63"/>
  <c r="L304" i="63"/>
  <c r="M304" i="63"/>
  <c r="N304" i="63"/>
  <c r="O304" i="63"/>
  <c r="P304" i="63"/>
  <c r="B305" i="63"/>
  <c r="C305" i="63"/>
  <c r="D305" i="63"/>
  <c r="E305" i="63"/>
  <c r="F305" i="63"/>
  <c r="G305" i="63"/>
  <c r="H305" i="63"/>
  <c r="I305" i="63"/>
  <c r="J305" i="63"/>
  <c r="K305" i="63"/>
  <c r="L305" i="63"/>
  <c r="M305" i="63"/>
  <c r="N305" i="63"/>
  <c r="O305" i="63"/>
  <c r="P305" i="63"/>
  <c r="B306" i="63"/>
  <c r="C306" i="63"/>
  <c r="D306" i="63"/>
  <c r="E306" i="63"/>
  <c r="F306" i="63"/>
  <c r="G306" i="63"/>
  <c r="H306" i="63"/>
  <c r="I306" i="63"/>
  <c r="J306" i="63"/>
  <c r="K306" i="63"/>
  <c r="L306" i="63"/>
  <c r="M306" i="63"/>
  <c r="N306" i="63"/>
  <c r="O306" i="63"/>
  <c r="P306" i="63"/>
  <c r="B307" i="63"/>
  <c r="C307" i="63"/>
  <c r="D307" i="63"/>
  <c r="E307" i="63"/>
  <c r="F307" i="63"/>
  <c r="G307" i="63"/>
  <c r="H307" i="63"/>
  <c r="I307" i="63"/>
  <c r="J307" i="63"/>
  <c r="K307" i="63"/>
  <c r="L307" i="63"/>
  <c r="M307" i="63"/>
  <c r="N307" i="63"/>
  <c r="O307" i="63"/>
  <c r="P307" i="63"/>
  <c r="D18" i="71" l="1"/>
  <c r="W52" i="72"/>
  <c r="S52" i="72"/>
  <c r="Q52" i="72"/>
  <c r="M52" i="72"/>
  <c r="W51" i="72"/>
  <c r="S51" i="72"/>
  <c r="Q51" i="72"/>
  <c r="M51" i="72"/>
  <c r="V50" i="72"/>
  <c r="U50" i="72"/>
  <c r="T50" i="72"/>
  <c r="S50" i="72"/>
  <c r="P50" i="72"/>
  <c r="O50" i="72"/>
  <c r="N50" i="72"/>
  <c r="M50" i="72"/>
  <c r="U49" i="72"/>
  <c r="S49" i="72"/>
  <c r="AM19" i="72" s="1"/>
  <c r="AM40" i="72" s="1"/>
  <c r="AM61" i="72" s="1"/>
  <c r="O49" i="72"/>
  <c r="M49" i="72"/>
  <c r="AA19" i="72" s="1"/>
  <c r="AA40" i="72" s="1"/>
  <c r="AA61" i="72" s="1"/>
  <c r="W40" i="72"/>
  <c r="S40" i="72"/>
  <c r="Q40" i="72"/>
  <c r="M40" i="72"/>
  <c r="W39" i="72"/>
  <c r="S39" i="72"/>
  <c r="Q39" i="72"/>
  <c r="M39" i="72"/>
  <c r="V38" i="72"/>
  <c r="U38" i="72"/>
  <c r="T38" i="72"/>
  <c r="S38" i="72"/>
  <c r="P38" i="72"/>
  <c r="O38" i="72"/>
  <c r="N38" i="72"/>
  <c r="M38" i="72"/>
  <c r="U37" i="72"/>
  <c r="S37" i="72"/>
  <c r="AM15" i="72" s="1"/>
  <c r="AM36" i="72" s="1"/>
  <c r="AM57" i="72" s="1"/>
  <c r="O37" i="72"/>
  <c r="M37" i="72"/>
  <c r="AA15" i="72" s="1"/>
  <c r="AA36" i="72" s="1"/>
  <c r="AA57" i="72" s="1"/>
  <c r="W28" i="72"/>
  <c r="S28" i="72"/>
  <c r="Q28" i="72"/>
  <c r="M28" i="72"/>
  <c r="W27" i="72"/>
  <c r="S27" i="72"/>
  <c r="Q27" i="72"/>
  <c r="M27" i="72"/>
  <c r="V26" i="72"/>
  <c r="U26" i="72"/>
  <c r="T26" i="72"/>
  <c r="S26" i="72"/>
  <c r="P26" i="72"/>
  <c r="O26" i="72"/>
  <c r="N26" i="72"/>
  <c r="M26" i="72"/>
  <c r="U25" i="72"/>
  <c r="S25" i="72"/>
  <c r="AM11" i="72" s="1"/>
  <c r="AM32" i="72" s="1"/>
  <c r="AM53" i="72" s="1"/>
  <c r="O25" i="72"/>
  <c r="M25" i="72"/>
  <c r="AA11" i="72" s="1"/>
  <c r="AA32" i="72" s="1"/>
  <c r="AA53" i="72" s="1"/>
  <c r="W16" i="72"/>
  <c r="S16" i="72"/>
  <c r="Q16" i="72"/>
  <c r="M16" i="72"/>
  <c r="W15" i="72"/>
  <c r="S15" i="72"/>
  <c r="Q15" i="72"/>
  <c r="M15" i="72"/>
  <c r="V14" i="72"/>
  <c r="U14" i="72"/>
  <c r="T14" i="72"/>
  <c r="S14" i="72"/>
  <c r="P14" i="72"/>
  <c r="O14" i="72"/>
  <c r="N14" i="72"/>
  <c r="U13" i="72"/>
  <c r="S13" i="72"/>
  <c r="AM7" i="72" s="1"/>
  <c r="AM28" i="72" s="1"/>
  <c r="AM49" i="72" s="1"/>
  <c r="O13" i="72"/>
  <c r="M13" i="72"/>
  <c r="AA7" i="72" s="1"/>
  <c r="AA28" i="72" s="1"/>
  <c r="AA49" i="72" s="1"/>
  <c r="W4" i="72"/>
  <c r="S4" i="72"/>
  <c r="Q4" i="72"/>
  <c r="M4" i="72"/>
  <c r="W3" i="72"/>
  <c r="S3" i="72"/>
  <c r="Q3" i="72"/>
  <c r="M3" i="72"/>
  <c r="V2" i="72"/>
  <c r="U2" i="72"/>
  <c r="T2" i="72"/>
  <c r="S2" i="72"/>
  <c r="P2" i="72"/>
  <c r="O2" i="72"/>
  <c r="N2" i="72"/>
  <c r="M2" i="72"/>
  <c r="U1" i="72"/>
  <c r="S1" i="72"/>
  <c r="AM3" i="72" s="1"/>
  <c r="AM24" i="72" s="1"/>
  <c r="AM45" i="72" s="1"/>
  <c r="O1" i="72"/>
  <c r="M1" i="72"/>
  <c r="AA3" i="72" s="1"/>
  <c r="AA24" i="72" s="1"/>
  <c r="AA45" i="72" s="1"/>
  <c r="AM17" i="72"/>
  <c r="AM38" i="72" s="1"/>
  <c r="AM59" i="72" s="1"/>
  <c r="AA17" i="72"/>
  <c r="AA38" i="72" s="1"/>
  <c r="AA59" i="72" s="1"/>
  <c r="AM13" i="72"/>
  <c r="AM34" i="72" s="1"/>
  <c r="AM55" i="72" s="1"/>
  <c r="AA13" i="72"/>
  <c r="AA34" i="72" s="1"/>
  <c r="AA55" i="72" s="1"/>
  <c r="Y13" i="72"/>
  <c r="Y12" i="72"/>
  <c r="Y11" i="72"/>
  <c r="AM9" i="72"/>
  <c r="AM30" i="72" s="1"/>
  <c r="AM51" i="72" s="1"/>
  <c r="AA9" i="72"/>
  <c r="AA30" i="72" s="1"/>
  <c r="AA51" i="72" s="1"/>
  <c r="Y10" i="72"/>
  <c r="Y9" i="72"/>
  <c r="Y8" i="72"/>
  <c r="Y7" i="72"/>
  <c r="AM5" i="72"/>
  <c r="AM26" i="72" s="1"/>
  <c r="AM47" i="72" s="1"/>
  <c r="AA5" i="72"/>
  <c r="AA26" i="72" s="1"/>
  <c r="AA47" i="72" s="1"/>
  <c r="Y6" i="72"/>
  <c r="Y5" i="72"/>
  <c r="Y4" i="72"/>
  <c r="AM1" i="72"/>
  <c r="AM22" i="72" s="1"/>
  <c r="AM43" i="72" s="1"/>
  <c r="AA1" i="72"/>
  <c r="AA22" i="72" s="1"/>
  <c r="AA43" i="72" s="1"/>
  <c r="M22" i="71"/>
  <c r="D22" i="71"/>
  <c r="C22" i="71"/>
  <c r="M21" i="71"/>
  <c r="D21" i="71"/>
  <c r="C21" i="71"/>
  <c r="M20" i="71"/>
  <c r="D20" i="71"/>
  <c r="C20" i="71"/>
  <c r="M19" i="71"/>
  <c r="D19" i="71"/>
  <c r="C19" i="71"/>
  <c r="M18" i="71"/>
  <c r="C18" i="71"/>
  <c r="M17" i="71"/>
  <c r="D17" i="71"/>
  <c r="C17" i="71"/>
  <c r="M16" i="71"/>
  <c r="D16" i="71"/>
  <c r="C16" i="71"/>
  <c r="M15" i="71"/>
  <c r="D15" i="71"/>
  <c r="C15" i="71"/>
  <c r="M14" i="71"/>
  <c r="D14" i="71"/>
  <c r="C14" i="71"/>
  <c r="M13" i="71"/>
  <c r="D13" i="71"/>
  <c r="C13" i="71"/>
  <c r="B258" i="63"/>
  <c r="C258" i="63"/>
  <c r="D258" i="63"/>
  <c r="E258" i="63"/>
  <c r="F258" i="63"/>
  <c r="G258" i="63"/>
  <c r="H258" i="63"/>
  <c r="I258" i="63"/>
  <c r="J258" i="63"/>
  <c r="K258" i="63"/>
  <c r="L258" i="63"/>
  <c r="M258" i="63"/>
  <c r="N258" i="63"/>
  <c r="O258" i="63"/>
  <c r="P258" i="63"/>
  <c r="B259" i="63"/>
  <c r="C259" i="63"/>
  <c r="D259" i="63"/>
  <c r="E259" i="63"/>
  <c r="F259" i="63"/>
  <c r="G259" i="63"/>
  <c r="H259" i="63"/>
  <c r="I259" i="63"/>
  <c r="J259" i="63"/>
  <c r="K259" i="63"/>
  <c r="L259" i="63"/>
  <c r="M259" i="63"/>
  <c r="N259" i="63"/>
  <c r="O259" i="63"/>
  <c r="P259" i="63"/>
  <c r="B260" i="63"/>
  <c r="C260" i="63"/>
  <c r="D260" i="63"/>
  <c r="E260" i="63"/>
  <c r="F260" i="63"/>
  <c r="G260" i="63"/>
  <c r="H260" i="63"/>
  <c r="I260" i="63"/>
  <c r="J260" i="63"/>
  <c r="K260" i="63"/>
  <c r="L260" i="63"/>
  <c r="M260" i="63"/>
  <c r="N260" i="63"/>
  <c r="O260" i="63"/>
  <c r="P260" i="63"/>
  <c r="B261" i="63"/>
  <c r="C261" i="63"/>
  <c r="D261" i="63"/>
  <c r="E261" i="63"/>
  <c r="F261" i="63"/>
  <c r="G261" i="63"/>
  <c r="H261" i="63"/>
  <c r="I261" i="63"/>
  <c r="J261" i="63"/>
  <c r="K261" i="63"/>
  <c r="L261" i="63"/>
  <c r="M261" i="63"/>
  <c r="N261" i="63"/>
  <c r="O261" i="63"/>
  <c r="P261" i="63"/>
  <c r="B262" i="63"/>
  <c r="C262" i="63"/>
  <c r="D262" i="63"/>
  <c r="E262" i="63"/>
  <c r="F262" i="63"/>
  <c r="G262" i="63"/>
  <c r="H262" i="63"/>
  <c r="I262" i="63"/>
  <c r="J262" i="63"/>
  <c r="K262" i="63"/>
  <c r="L262" i="63"/>
  <c r="M262" i="63"/>
  <c r="N262" i="63"/>
  <c r="O262" i="63"/>
  <c r="P262" i="63"/>
  <c r="B263" i="63"/>
  <c r="C263" i="63"/>
  <c r="D263" i="63"/>
  <c r="E263" i="63"/>
  <c r="F263" i="63"/>
  <c r="G263" i="63"/>
  <c r="H263" i="63"/>
  <c r="I263" i="63"/>
  <c r="J263" i="63"/>
  <c r="K263" i="63"/>
  <c r="L263" i="63"/>
  <c r="M263" i="63"/>
  <c r="N263" i="63"/>
  <c r="O263" i="63"/>
  <c r="P263" i="63"/>
  <c r="B264" i="63"/>
  <c r="C264" i="63"/>
  <c r="D264" i="63"/>
  <c r="E264" i="63"/>
  <c r="F264" i="63"/>
  <c r="G264" i="63"/>
  <c r="H264" i="63"/>
  <c r="I264" i="63"/>
  <c r="J264" i="63"/>
  <c r="K264" i="63"/>
  <c r="L264" i="63"/>
  <c r="M264" i="63"/>
  <c r="N264" i="63"/>
  <c r="O264" i="63"/>
  <c r="P264" i="63"/>
  <c r="B265" i="63"/>
  <c r="C265" i="63"/>
  <c r="D265" i="63"/>
  <c r="E265" i="63"/>
  <c r="F265" i="63"/>
  <c r="G265" i="63"/>
  <c r="H265" i="63"/>
  <c r="I265" i="63"/>
  <c r="J265" i="63"/>
  <c r="K265" i="63"/>
  <c r="L265" i="63"/>
  <c r="M265" i="63"/>
  <c r="N265" i="63"/>
  <c r="O265" i="63"/>
  <c r="P265" i="63"/>
  <c r="B266" i="63"/>
  <c r="C266" i="63"/>
  <c r="D266" i="63"/>
  <c r="E266" i="63"/>
  <c r="F266" i="63"/>
  <c r="G266" i="63"/>
  <c r="H266" i="63"/>
  <c r="I266" i="63"/>
  <c r="J266" i="63"/>
  <c r="K266" i="63"/>
  <c r="L266" i="63"/>
  <c r="M266" i="63"/>
  <c r="N266" i="63"/>
  <c r="O266" i="63"/>
  <c r="P266" i="63"/>
  <c r="B267" i="63"/>
  <c r="C267" i="63"/>
  <c r="D267" i="63"/>
  <c r="E267" i="63"/>
  <c r="F267" i="63"/>
  <c r="G267" i="63"/>
  <c r="H267" i="63"/>
  <c r="I267" i="63"/>
  <c r="J267" i="63"/>
  <c r="K267" i="63"/>
  <c r="L267" i="63"/>
  <c r="M267" i="63"/>
  <c r="N267" i="63"/>
  <c r="O267" i="63"/>
  <c r="P267" i="63"/>
  <c r="B268" i="63"/>
  <c r="C268" i="63"/>
  <c r="D268" i="63"/>
  <c r="E268" i="63"/>
  <c r="F268" i="63"/>
  <c r="G268" i="63"/>
  <c r="H268" i="63"/>
  <c r="I268" i="63"/>
  <c r="J268" i="63"/>
  <c r="K268" i="63"/>
  <c r="L268" i="63"/>
  <c r="M268" i="63"/>
  <c r="N268" i="63"/>
  <c r="O268" i="63"/>
  <c r="P268" i="63"/>
  <c r="B269" i="63"/>
  <c r="C269" i="63"/>
  <c r="D269" i="63"/>
  <c r="E269" i="63"/>
  <c r="F269" i="63"/>
  <c r="G269" i="63"/>
  <c r="H269" i="63"/>
  <c r="I269" i="63"/>
  <c r="J269" i="63"/>
  <c r="K269" i="63"/>
  <c r="L269" i="63"/>
  <c r="M269" i="63"/>
  <c r="N269" i="63"/>
  <c r="O269" i="63"/>
  <c r="P269" i="63"/>
  <c r="B270" i="63"/>
  <c r="C270" i="63"/>
  <c r="D270" i="63"/>
  <c r="E270" i="63"/>
  <c r="F270" i="63"/>
  <c r="G270" i="63"/>
  <c r="H270" i="63"/>
  <c r="I270" i="63"/>
  <c r="J270" i="63"/>
  <c r="K270" i="63"/>
  <c r="L270" i="63"/>
  <c r="M270" i="63"/>
  <c r="N270" i="63"/>
  <c r="O270" i="63"/>
  <c r="P270" i="63"/>
  <c r="B271" i="63"/>
  <c r="C271" i="63"/>
  <c r="D271" i="63"/>
  <c r="E271" i="63"/>
  <c r="F271" i="63"/>
  <c r="G271" i="63"/>
  <c r="H271" i="63"/>
  <c r="I271" i="63"/>
  <c r="J271" i="63"/>
  <c r="K271" i="63"/>
  <c r="L271" i="63"/>
  <c r="M271" i="63"/>
  <c r="N271" i="63"/>
  <c r="O271" i="63"/>
  <c r="P271" i="63"/>
  <c r="B272" i="63"/>
  <c r="C272" i="63"/>
  <c r="D272" i="63"/>
  <c r="E272" i="63"/>
  <c r="F272" i="63"/>
  <c r="G272" i="63"/>
  <c r="H272" i="63"/>
  <c r="I272" i="63"/>
  <c r="J272" i="63"/>
  <c r="K272" i="63"/>
  <c r="L272" i="63"/>
  <c r="M272" i="63"/>
  <c r="N272" i="63"/>
  <c r="O272" i="63"/>
  <c r="P272" i="63"/>
  <c r="B273" i="63"/>
  <c r="C273" i="63"/>
  <c r="D273" i="63"/>
  <c r="E273" i="63"/>
  <c r="F273" i="63"/>
  <c r="G273" i="63"/>
  <c r="H273" i="63"/>
  <c r="I273" i="63"/>
  <c r="J273" i="63"/>
  <c r="K273" i="63"/>
  <c r="L273" i="63"/>
  <c r="M273" i="63"/>
  <c r="N273" i="63"/>
  <c r="O273" i="63"/>
  <c r="P273" i="63"/>
  <c r="B274" i="63"/>
  <c r="C274" i="63"/>
  <c r="D274" i="63"/>
  <c r="E274" i="63"/>
  <c r="F274" i="63"/>
  <c r="G274" i="63"/>
  <c r="H274" i="63"/>
  <c r="I274" i="63"/>
  <c r="J274" i="63"/>
  <c r="K274" i="63"/>
  <c r="L274" i="63"/>
  <c r="M274" i="63"/>
  <c r="N274" i="63"/>
  <c r="O274" i="63"/>
  <c r="P274" i="63"/>
  <c r="B275" i="63"/>
  <c r="C275" i="63"/>
  <c r="D275" i="63"/>
  <c r="E275" i="63"/>
  <c r="F275" i="63"/>
  <c r="G275" i="63"/>
  <c r="H275" i="63"/>
  <c r="I275" i="63"/>
  <c r="J275" i="63"/>
  <c r="K275" i="63"/>
  <c r="L275" i="63"/>
  <c r="M275" i="63"/>
  <c r="N275" i="63"/>
  <c r="O275" i="63"/>
  <c r="P275" i="63"/>
  <c r="B276" i="63"/>
  <c r="C276" i="63"/>
  <c r="D276" i="63"/>
  <c r="E276" i="63"/>
  <c r="F276" i="63"/>
  <c r="G276" i="63"/>
  <c r="H276" i="63"/>
  <c r="I276" i="63"/>
  <c r="J276" i="63"/>
  <c r="K276" i="63"/>
  <c r="L276" i="63"/>
  <c r="M276" i="63"/>
  <c r="N276" i="63"/>
  <c r="O276" i="63"/>
  <c r="P276" i="63"/>
  <c r="B277" i="63"/>
  <c r="C277" i="63"/>
  <c r="D277" i="63"/>
  <c r="E277" i="63"/>
  <c r="F277" i="63"/>
  <c r="G277" i="63"/>
  <c r="H277" i="63"/>
  <c r="I277" i="63"/>
  <c r="J277" i="63"/>
  <c r="K277" i="63"/>
  <c r="L277" i="63"/>
  <c r="M277" i="63"/>
  <c r="N277" i="63"/>
  <c r="O277" i="63"/>
  <c r="P277" i="63"/>
  <c r="B278" i="63"/>
  <c r="C278" i="63"/>
  <c r="D278" i="63"/>
  <c r="E278" i="63"/>
  <c r="F278" i="63"/>
  <c r="G278" i="63"/>
  <c r="H278" i="63"/>
  <c r="I278" i="63"/>
  <c r="J278" i="63"/>
  <c r="K278" i="63"/>
  <c r="L278" i="63"/>
  <c r="M278" i="63"/>
  <c r="N278" i="63"/>
  <c r="O278" i="63"/>
  <c r="P278" i="63"/>
  <c r="B279" i="63"/>
  <c r="C279" i="63"/>
  <c r="D279" i="63"/>
  <c r="E279" i="63"/>
  <c r="F279" i="63"/>
  <c r="G279" i="63"/>
  <c r="H279" i="63"/>
  <c r="I279" i="63"/>
  <c r="J279" i="63"/>
  <c r="K279" i="63"/>
  <c r="L279" i="63"/>
  <c r="M279" i="63"/>
  <c r="N279" i="63"/>
  <c r="O279" i="63"/>
  <c r="P279" i="63"/>
  <c r="B280" i="63"/>
  <c r="C280" i="63"/>
  <c r="D280" i="63"/>
  <c r="E280" i="63"/>
  <c r="F280" i="63"/>
  <c r="G280" i="63"/>
  <c r="H280" i="63"/>
  <c r="I280" i="63"/>
  <c r="J280" i="63"/>
  <c r="K280" i="63"/>
  <c r="L280" i="63"/>
  <c r="M280" i="63"/>
  <c r="N280" i="63"/>
  <c r="O280" i="63"/>
  <c r="P280" i="63"/>
  <c r="B281" i="63"/>
  <c r="C281" i="63"/>
  <c r="D281" i="63"/>
  <c r="E281" i="63"/>
  <c r="F281" i="63"/>
  <c r="G281" i="63"/>
  <c r="H281" i="63"/>
  <c r="I281" i="63"/>
  <c r="J281" i="63"/>
  <c r="K281" i="63"/>
  <c r="L281" i="63"/>
  <c r="M281" i="63"/>
  <c r="N281" i="63"/>
  <c r="O281" i="63"/>
  <c r="P281" i="63"/>
  <c r="B282" i="63"/>
  <c r="C282" i="63"/>
  <c r="D282" i="63"/>
  <c r="E282" i="63"/>
  <c r="F282" i="63"/>
  <c r="G282" i="63"/>
  <c r="H282" i="63"/>
  <c r="I282" i="63"/>
  <c r="J282" i="63"/>
  <c r="K282" i="63"/>
  <c r="L282" i="63"/>
  <c r="M282" i="63"/>
  <c r="N282" i="63"/>
  <c r="O282" i="63"/>
  <c r="P282" i="63"/>
  <c r="B283" i="63"/>
  <c r="C283" i="63"/>
  <c r="D283" i="63"/>
  <c r="E283" i="63"/>
  <c r="F283" i="63"/>
  <c r="G283" i="63"/>
  <c r="H283" i="63"/>
  <c r="I283" i="63"/>
  <c r="J283" i="63"/>
  <c r="K283" i="63"/>
  <c r="L283" i="63"/>
  <c r="M283" i="63"/>
  <c r="N283" i="63"/>
  <c r="O283" i="63"/>
  <c r="P283" i="63"/>
  <c r="B284" i="63"/>
  <c r="C284" i="63"/>
  <c r="D284" i="63"/>
  <c r="E284" i="63"/>
  <c r="F284" i="63"/>
  <c r="G284" i="63"/>
  <c r="H284" i="63"/>
  <c r="I284" i="63"/>
  <c r="J284" i="63"/>
  <c r="K284" i="63"/>
  <c r="L284" i="63"/>
  <c r="M284" i="63"/>
  <c r="N284" i="63"/>
  <c r="O284" i="63"/>
  <c r="P284" i="63"/>
  <c r="B285" i="63"/>
  <c r="C285" i="63"/>
  <c r="D285" i="63"/>
  <c r="E285" i="63"/>
  <c r="F285" i="63"/>
  <c r="G285" i="63"/>
  <c r="H285" i="63"/>
  <c r="I285" i="63"/>
  <c r="J285" i="63"/>
  <c r="K285" i="63"/>
  <c r="L285" i="63"/>
  <c r="M285" i="63"/>
  <c r="N285" i="63"/>
  <c r="O285" i="63"/>
  <c r="P285" i="63"/>
  <c r="B286" i="63"/>
  <c r="C286" i="63"/>
  <c r="D286" i="63"/>
  <c r="E286" i="63"/>
  <c r="F286" i="63"/>
  <c r="G286" i="63"/>
  <c r="H286" i="63"/>
  <c r="I286" i="63"/>
  <c r="J286" i="63"/>
  <c r="K286" i="63"/>
  <c r="L286" i="63"/>
  <c r="M286" i="63"/>
  <c r="N286" i="63"/>
  <c r="O286" i="63"/>
  <c r="P286" i="63"/>
  <c r="A1" i="38" l="1"/>
  <c r="G1" i="38"/>
  <c r="G13" i="38"/>
  <c r="A13" i="38"/>
  <c r="W3" i="38" l="1"/>
  <c r="W15" i="38"/>
  <c r="W27" i="38"/>
  <c r="W39" i="38"/>
  <c r="W51" i="38"/>
  <c r="B4" i="63"/>
  <c r="C4" i="63"/>
  <c r="D4" i="63"/>
  <c r="E4" i="63"/>
  <c r="F4" i="63"/>
  <c r="G4" i="63"/>
  <c r="H4" i="63"/>
  <c r="I4" i="63"/>
  <c r="J4" i="63"/>
  <c r="K4" i="63"/>
  <c r="L4" i="63"/>
  <c r="M4" i="63"/>
  <c r="N4" i="63"/>
  <c r="O4" i="63"/>
  <c r="P4" i="63"/>
  <c r="B5" i="63"/>
  <c r="C5" i="63"/>
  <c r="D5" i="63"/>
  <c r="E5" i="63"/>
  <c r="F5" i="63"/>
  <c r="G5" i="63"/>
  <c r="H5" i="63"/>
  <c r="I5" i="63"/>
  <c r="J5" i="63"/>
  <c r="K5" i="63"/>
  <c r="L5" i="63"/>
  <c r="M5" i="63"/>
  <c r="N5" i="63"/>
  <c r="O5" i="63"/>
  <c r="P5" i="63"/>
  <c r="B6" i="63"/>
  <c r="C6" i="63"/>
  <c r="D6" i="63"/>
  <c r="E6" i="63"/>
  <c r="F6" i="63"/>
  <c r="G6" i="63"/>
  <c r="H6" i="63"/>
  <c r="I6" i="63"/>
  <c r="J6" i="63"/>
  <c r="K6" i="63"/>
  <c r="L6" i="63"/>
  <c r="M6" i="63"/>
  <c r="N6" i="63"/>
  <c r="O6" i="63"/>
  <c r="P6" i="63"/>
  <c r="B7" i="63"/>
  <c r="C7" i="63"/>
  <c r="D7" i="63"/>
  <c r="E7" i="63"/>
  <c r="F7" i="63"/>
  <c r="G7" i="63"/>
  <c r="H7" i="63"/>
  <c r="I7" i="63"/>
  <c r="J7" i="63"/>
  <c r="K7" i="63"/>
  <c r="L7" i="63"/>
  <c r="M7" i="63"/>
  <c r="N7" i="63"/>
  <c r="O7" i="63"/>
  <c r="P7" i="63"/>
  <c r="B8" i="63"/>
  <c r="C8" i="63"/>
  <c r="D8" i="63"/>
  <c r="E8" i="63"/>
  <c r="F8" i="63"/>
  <c r="G8" i="63"/>
  <c r="H8" i="63"/>
  <c r="I8" i="63"/>
  <c r="J8" i="63"/>
  <c r="K8" i="63"/>
  <c r="L8" i="63"/>
  <c r="M8" i="63"/>
  <c r="N8" i="63"/>
  <c r="O8" i="63"/>
  <c r="P8" i="63"/>
  <c r="B9" i="63"/>
  <c r="C9" i="63"/>
  <c r="D9" i="63"/>
  <c r="E9" i="63"/>
  <c r="F9" i="63"/>
  <c r="G9" i="63"/>
  <c r="H9" i="63"/>
  <c r="I9" i="63"/>
  <c r="J9" i="63"/>
  <c r="K9" i="63"/>
  <c r="L9" i="63"/>
  <c r="M9" i="63"/>
  <c r="N9" i="63"/>
  <c r="O9" i="63"/>
  <c r="P9" i="63"/>
  <c r="B10" i="63"/>
  <c r="C10" i="63"/>
  <c r="D10" i="63"/>
  <c r="E10" i="63"/>
  <c r="F10" i="63"/>
  <c r="G10" i="63"/>
  <c r="H10" i="63"/>
  <c r="I10" i="63"/>
  <c r="J10" i="63"/>
  <c r="K10" i="63"/>
  <c r="L10" i="63"/>
  <c r="M10" i="63"/>
  <c r="N10" i="63"/>
  <c r="O10" i="63"/>
  <c r="P10" i="63"/>
  <c r="B11" i="63"/>
  <c r="C11" i="63"/>
  <c r="D11" i="63"/>
  <c r="E11" i="63"/>
  <c r="F11" i="63"/>
  <c r="G11" i="63"/>
  <c r="H11" i="63"/>
  <c r="I11" i="63"/>
  <c r="J11" i="63"/>
  <c r="K11" i="63"/>
  <c r="L11" i="63"/>
  <c r="M11" i="63"/>
  <c r="N11" i="63"/>
  <c r="O11" i="63"/>
  <c r="P11" i="63"/>
  <c r="B12" i="63"/>
  <c r="C12" i="63"/>
  <c r="D12" i="63"/>
  <c r="E12" i="63"/>
  <c r="F12" i="63"/>
  <c r="G12" i="63"/>
  <c r="H12" i="63"/>
  <c r="I12" i="63"/>
  <c r="J12" i="63"/>
  <c r="K12" i="63"/>
  <c r="L12" i="63"/>
  <c r="M12" i="63"/>
  <c r="N12" i="63"/>
  <c r="O12" i="63"/>
  <c r="P12" i="63"/>
  <c r="B13" i="63"/>
  <c r="C13" i="63"/>
  <c r="D13" i="63"/>
  <c r="E13" i="63"/>
  <c r="F13" i="63"/>
  <c r="G13" i="63"/>
  <c r="H13" i="63"/>
  <c r="I13" i="63"/>
  <c r="J13" i="63"/>
  <c r="K13" i="63"/>
  <c r="L13" i="63"/>
  <c r="M13" i="63"/>
  <c r="N13" i="63"/>
  <c r="O13" i="63"/>
  <c r="P13" i="63"/>
  <c r="B14" i="63"/>
  <c r="C14" i="63"/>
  <c r="D14" i="63"/>
  <c r="E14" i="63"/>
  <c r="F14" i="63"/>
  <c r="G14" i="63"/>
  <c r="H14" i="63"/>
  <c r="I14" i="63"/>
  <c r="J14" i="63"/>
  <c r="K14" i="63"/>
  <c r="L14" i="63"/>
  <c r="M14" i="63"/>
  <c r="N14" i="63"/>
  <c r="O14" i="63"/>
  <c r="P14" i="63"/>
  <c r="B15" i="63"/>
  <c r="C15" i="63"/>
  <c r="D15" i="63"/>
  <c r="E15" i="63"/>
  <c r="F15" i="63"/>
  <c r="G15" i="63"/>
  <c r="H15" i="63"/>
  <c r="I15" i="63"/>
  <c r="J15" i="63"/>
  <c r="K15" i="63"/>
  <c r="L15" i="63"/>
  <c r="M15" i="63"/>
  <c r="N15" i="63"/>
  <c r="O15" i="63"/>
  <c r="P15" i="63"/>
  <c r="B16" i="63"/>
  <c r="C16" i="63"/>
  <c r="D16" i="63"/>
  <c r="E16" i="63"/>
  <c r="F16" i="63"/>
  <c r="G16" i="63"/>
  <c r="H16" i="63"/>
  <c r="I16" i="63"/>
  <c r="J16" i="63"/>
  <c r="K16" i="63"/>
  <c r="L16" i="63"/>
  <c r="M16" i="63"/>
  <c r="N16" i="63"/>
  <c r="O16" i="63"/>
  <c r="P16" i="63"/>
  <c r="B17" i="63"/>
  <c r="C17" i="63"/>
  <c r="D17" i="63"/>
  <c r="E17" i="63"/>
  <c r="F17" i="63"/>
  <c r="G17" i="63"/>
  <c r="H17" i="63"/>
  <c r="I17" i="63"/>
  <c r="J17" i="63"/>
  <c r="K17" i="63"/>
  <c r="L17" i="63"/>
  <c r="M17" i="63"/>
  <c r="N17" i="63"/>
  <c r="O17" i="63"/>
  <c r="P17" i="63"/>
  <c r="B18" i="63"/>
  <c r="C18" i="63"/>
  <c r="D18" i="63"/>
  <c r="E18" i="63"/>
  <c r="F18" i="63"/>
  <c r="G18" i="63"/>
  <c r="H18" i="63"/>
  <c r="I18" i="63"/>
  <c r="J18" i="63"/>
  <c r="K18" i="63"/>
  <c r="L18" i="63"/>
  <c r="M18" i="63"/>
  <c r="N18" i="63"/>
  <c r="O18" i="63"/>
  <c r="P18" i="63"/>
  <c r="B19" i="63"/>
  <c r="C19" i="63"/>
  <c r="D19" i="63"/>
  <c r="E19" i="63"/>
  <c r="F19" i="63"/>
  <c r="G19" i="63"/>
  <c r="H19" i="63"/>
  <c r="I19" i="63"/>
  <c r="J19" i="63"/>
  <c r="K19" i="63"/>
  <c r="L19" i="63"/>
  <c r="M19" i="63"/>
  <c r="N19" i="63"/>
  <c r="O19" i="63"/>
  <c r="P19" i="63"/>
  <c r="B20" i="63"/>
  <c r="C20" i="63"/>
  <c r="D20" i="63"/>
  <c r="E20" i="63"/>
  <c r="F20" i="63"/>
  <c r="G20" i="63"/>
  <c r="H20" i="63"/>
  <c r="I20" i="63"/>
  <c r="J20" i="63"/>
  <c r="K20" i="63"/>
  <c r="L20" i="63"/>
  <c r="M20" i="63"/>
  <c r="N20" i="63"/>
  <c r="O20" i="63"/>
  <c r="P20" i="63"/>
  <c r="B21" i="63"/>
  <c r="C21" i="63"/>
  <c r="D21" i="63"/>
  <c r="E21" i="63"/>
  <c r="F21" i="63"/>
  <c r="G21" i="63"/>
  <c r="H21" i="63"/>
  <c r="I21" i="63"/>
  <c r="J21" i="63"/>
  <c r="K21" i="63"/>
  <c r="L21" i="63"/>
  <c r="M21" i="63"/>
  <c r="N21" i="63"/>
  <c r="O21" i="63"/>
  <c r="P21" i="63"/>
  <c r="B22" i="63"/>
  <c r="C22" i="63"/>
  <c r="D22" i="63"/>
  <c r="E22" i="63"/>
  <c r="F22" i="63"/>
  <c r="G22" i="63"/>
  <c r="H22" i="63"/>
  <c r="I22" i="63"/>
  <c r="J22" i="63"/>
  <c r="K22" i="63"/>
  <c r="L22" i="63"/>
  <c r="M22" i="63"/>
  <c r="N22" i="63"/>
  <c r="O22" i="63"/>
  <c r="P22" i="63"/>
  <c r="B23" i="63"/>
  <c r="C23" i="63"/>
  <c r="D23" i="63"/>
  <c r="E23" i="63"/>
  <c r="F23" i="63"/>
  <c r="G23" i="63"/>
  <c r="H23" i="63"/>
  <c r="I23" i="63"/>
  <c r="J23" i="63"/>
  <c r="K23" i="63"/>
  <c r="L23" i="63"/>
  <c r="M23" i="63"/>
  <c r="N23" i="63"/>
  <c r="O23" i="63"/>
  <c r="P23" i="63"/>
  <c r="B24" i="63"/>
  <c r="C24" i="63"/>
  <c r="D24" i="63"/>
  <c r="E24" i="63"/>
  <c r="F24" i="63"/>
  <c r="G24" i="63"/>
  <c r="H24" i="63"/>
  <c r="I24" i="63"/>
  <c r="J24" i="63"/>
  <c r="K24" i="63"/>
  <c r="L24" i="63"/>
  <c r="M24" i="63"/>
  <c r="N24" i="63"/>
  <c r="O24" i="63"/>
  <c r="P24" i="63"/>
  <c r="B25" i="63"/>
  <c r="C25" i="63"/>
  <c r="D25" i="63"/>
  <c r="E25" i="63"/>
  <c r="F25" i="63"/>
  <c r="G25" i="63"/>
  <c r="H25" i="63"/>
  <c r="I25" i="63"/>
  <c r="J25" i="63"/>
  <c r="K25" i="63"/>
  <c r="L25" i="63"/>
  <c r="M25" i="63"/>
  <c r="N25" i="63"/>
  <c r="O25" i="63"/>
  <c r="P25" i="63"/>
  <c r="B26" i="63"/>
  <c r="C26" i="63"/>
  <c r="D26" i="63"/>
  <c r="E26" i="63"/>
  <c r="F26" i="63"/>
  <c r="G26" i="63"/>
  <c r="H26" i="63"/>
  <c r="I26" i="63"/>
  <c r="J26" i="63"/>
  <c r="K26" i="63"/>
  <c r="L26" i="63"/>
  <c r="M26" i="63"/>
  <c r="N26" i="63"/>
  <c r="O26" i="63"/>
  <c r="P26" i="63"/>
  <c r="B27" i="63"/>
  <c r="C27" i="63"/>
  <c r="D27" i="63"/>
  <c r="E27" i="63"/>
  <c r="F27" i="63"/>
  <c r="G27" i="63"/>
  <c r="H27" i="63"/>
  <c r="I27" i="63"/>
  <c r="J27" i="63"/>
  <c r="K27" i="63"/>
  <c r="L27" i="63"/>
  <c r="M27" i="63"/>
  <c r="N27" i="63"/>
  <c r="O27" i="63"/>
  <c r="P27" i="63"/>
  <c r="B28" i="63"/>
  <c r="C28" i="63"/>
  <c r="D28" i="63"/>
  <c r="E28" i="63"/>
  <c r="F28" i="63"/>
  <c r="G28" i="63"/>
  <c r="H28" i="63"/>
  <c r="I28" i="63"/>
  <c r="J28" i="63"/>
  <c r="K28" i="63"/>
  <c r="L28" i="63"/>
  <c r="M28" i="63"/>
  <c r="N28" i="63"/>
  <c r="O28" i="63"/>
  <c r="P28" i="63"/>
  <c r="B29" i="63"/>
  <c r="C29" i="63"/>
  <c r="D29" i="63"/>
  <c r="E29" i="63"/>
  <c r="F29" i="63"/>
  <c r="G29" i="63"/>
  <c r="H29" i="63"/>
  <c r="I29" i="63"/>
  <c r="J29" i="63"/>
  <c r="K29" i="63"/>
  <c r="L29" i="63"/>
  <c r="M29" i="63"/>
  <c r="N29" i="63"/>
  <c r="O29" i="63"/>
  <c r="P29" i="63"/>
  <c r="B30" i="63"/>
  <c r="C30" i="63"/>
  <c r="D30" i="63"/>
  <c r="E30" i="63"/>
  <c r="F30" i="63"/>
  <c r="G30" i="63"/>
  <c r="H30" i="63"/>
  <c r="I30" i="63"/>
  <c r="J30" i="63"/>
  <c r="K30" i="63"/>
  <c r="L30" i="63"/>
  <c r="M30" i="63"/>
  <c r="N30" i="63"/>
  <c r="O30" i="63"/>
  <c r="P30" i="63"/>
  <c r="B31" i="63"/>
  <c r="C31" i="63"/>
  <c r="D31" i="63"/>
  <c r="E31" i="63"/>
  <c r="F31" i="63"/>
  <c r="G31" i="63"/>
  <c r="H31" i="63"/>
  <c r="I31" i="63"/>
  <c r="J31" i="63"/>
  <c r="K31" i="63"/>
  <c r="L31" i="63"/>
  <c r="M31" i="63"/>
  <c r="N31" i="63"/>
  <c r="O31" i="63"/>
  <c r="P31" i="63"/>
  <c r="B32" i="63"/>
  <c r="C32" i="63"/>
  <c r="D32" i="63"/>
  <c r="E32" i="63"/>
  <c r="F32" i="63"/>
  <c r="G32" i="63"/>
  <c r="H32" i="63"/>
  <c r="I32" i="63"/>
  <c r="J32" i="63"/>
  <c r="K32" i="63"/>
  <c r="L32" i="63"/>
  <c r="M32" i="63"/>
  <c r="N32" i="63"/>
  <c r="O32" i="63"/>
  <c r="P32" i="63"/>
  <c r="B33" i="63"/>
  <c r="C33" i="63"/>
  <c r="D33" i="63"/>
  <c r="E33" i="63"/>
  <c r="F33" i="63"/>
  <c r="G33" i="63"/>
  <c r="H33" i="63"/>
  <c r="I33" i="63"/>
  <c r="J33" i="63"/>
  <c r="K33" i="63"/>
  <c r="L33" i="63"/>
  <c r="M33" i="63"/>
  <c r="N33" i="63"/>
  <c r="O33" i="63"/>
  <c r="P33" i="63"/>
  <c r="B34" i="63"/>
  <c r="C34" i="63"/>
  <c r="D34" i="63"/>
  <c r="E34" i="63"/>
  <c r="F34" i="63"/>
  <c r="G34" i="63"/>
  <c r="H34" i="63"/>
  <c r="I34" i="63"/>
  <c r="J34" i="63"/>
  <c r="K34" i="63"/>
  <c r="L34" i="63"/>
  <c r="M34" i="63"/>
  <c r="N34" i="63"/>
  <c r="O34" i="63"/>
  <c r="P34" i="63"/>
  <c r="B35" i="63"/>
  <c r="C35" i="63"/>
  <c r="D35" i="63"/>
  <c r="E35" i="63"/>
  <c r="F35" i="63"/>
  <c r="G35" i="63"/>
  <c r="H35" i="63"/>
  <c r="I35" i="63"/>
  <c r="J35" i="63"/>
  <c r="K35" i="63"/>
  <c r="L35" i="63"/>
  <c r="M35" i="63"/>
  <c r="N35" i="63"/>
  <c r="O35" i="63"/>
  <c r="P35" i="63"/>
  <c r="B36" i="63"/>
  <c r="C36" i="63"/>
  <c r="D36" i="63"/>
  <c r="E36" i="63"/>
  <c r="F36" i="63"/>
  <c r="G36" i="63"/>
  <c r="H36" i="63"/>
  <c r="I36" i="63"/>
  <c r="J36" i="63"/>
  <c r="K36" i="63"/>
  <c r="L36" i="63"/>
  <c r="M36" i="63"/>
  <c r="N36" i="63"/>
  <c r="O36" i="63"/>
  <c r="P36" i="63"/>
  <c r="B37" i="63"/>
  <c r="C37" i="63"/>
  <c r="D37" i="63"/>
  <c r="E37" i="63"/>
  <c r="F37" i="63"/>
  <c r="G37" i="63"/>
  <c r="H37" i="63"/>
  <c r="I37" i="63"/>
  <c r="J37" i="63"/>
  <c r="K37" i="63"/>
  <c r="L37" i="63"/>
  <c r="M37" i="63"/>
  <c r="N37" i="63"/>
  <c r="O37" i="63"/>
  <c r="P37" i="63"/>
  <c r="B38" i="63"/>
  <c r="C38" i="63"/>
  <c r="D38" i="63"/>
  <c r="E38" i="63"/>
  <c r="F38" i="63"/>
  <c r="G38" i="63"/>
  <c r="H38" i="63"/>
  <c r="I38" i="63"/>
  <c r="J38" i="63"/>
  <c r="K38" i="63"/>
  <c r="L38" i="63"/>
  <c r="M38" i="63"/>
  <c r="N38" i="63"/>
  <c r="O38" i="63"/>
  <c r="P38" i="63"/>
  <c r="B39" i="63"/>
  <c r="C39" i="63"/>
  <c r="D39" i="63"/>
  <c r="E39" i="63"/>
  <c r="F39" i="63"/>
  <c r="G39" i="63"/>
  <c r="H39" i="63"/>
  <c r="I39" i="63"/>
  <c r="J39" i="63"/>
  <c r="K39" i="63"/>
  <c r="L39" i="63"/>
  <c r="M39" i="63"/>
  <c r="N39" i="63"/>
  <c r="O39" i="63"/>
  <c r="P39" i="63"/>
  <c r="B40" i="63"/>
  <c r="C40" i="63"/>
  <c r="D40" i="63"/>
  <c r="E40" i="63"/>
  <c r="F40" i="63"/>
  <c r="G40" i="63"/>
  <c r="H40" i="63"/>
  <c r="I40" i="63"/>
  <c r="J40" i="63"/>
  <c r="K40" i="63"/>
  <c r="L40" i="63"/>
  <c r="M40" i="63"/>
  <c r="N40" i="63"/>
  <c r="O40" i="63"/>
  <c r="P40" i="63"/>
  <c r="B41" i="63"/>
  <c r="C41" i="63"/>
  <c r="D41" i="63"/>
  <c r="E41" i="63"/>
  <c r="F41" i="63"/>
  <c r="G41" i="63"/>
  <c r="H41" i="63"/>
  <c r="I41" i="63"/>
  <c r="J41" i="63"/>
  <c r="K41" i="63"/>
  <c r="L41" i="63"/>
  <c r="M41" i="63"/>
  <c r="N41" i="63"/>
  <c r="O41" i="63"/>
  <c r="P41" i="63"/>
  <c r="B42" i="63"/>
  <c r="C42" i="63"/>
  <c r="D42" i="63"/>
  <c r="E42" i="63"/>
  <c r="F42" i="63"/>
  <c r="G42" i="63"/>
  <c r="H42" i="63"/>
  <c r="I42" i="63"/>
  <c r="J42" i="63"/>
  <c r="K42" i="63"/>
  <c r="L42" i="63"/>
  <c r="M42" i="63"/>
  <c r="N42" i="63"/>
  <c r="O42" i="63"/>
  <c r="P42" i="63"/>
  <c r="B43" i="63"/>
  <c r="C43" i="63"/>
  <c r="D43" i="63"/>
  <c r="E43" i="63"/>
  <c r="F43" i="63"/>
  <c r="G43" i="63"/>
  <c r="H43" i="63"/>
  <c r="I43" i="63"/>
  <c r="J43" i="63"/>
  <c r="K43" i="63"/>
  <c r="L43" i="63"/>
  <c r="M43" i="63"/>
  <c r="N43" i="63"/>
  <c r="O43" i="63"/>
  <c r="P43" i="63"/>
  <c r="B44" i="63"/>
  <c r="C44" i="63"/>
  <c r="D44" i="63"/>
  <c r="E44" i="63"/>
  <c r="F44" i="63"/>
  <c r="G44" i="63"/>
  <c r="H44" i="63"/>
  <c r="I44" i="63"/>
  <c r="J44" i="63"/>
  <c r="K44" i="63"/>
  <c r="L44" i="63"/>
  <c r="M44" i="63"/>
  <c r="N44" i="63"/>
  <c r="O44" i="63"/>
  <c r="P44" i="63"/>
  <c r="B45" i="63"/>
  <c r="C45" i="63"/>
  <c r="D45" i="63"/>
  <c r="E45" i="63"/>
  <c r="F45" i="63"/>
  <c r="G45" i="63"/>
  <c r="H45" i="63"/>
  <c r="I45" i="63"/>
  <c r="J45" i="63"/>
  <c r="K45" i="63"/>
  <c r="L45" i="63"/>
  <c r="M45" i="63"/>
  <c r="N45" i="63"/>
  <c r="O45" i="63"/>
  <c r="P45" i="63"/>
  <c r="B46" i="63"/>
  <c r="C46" i="63"/>
  <c r="D46" i="63"/>
  <c r="E46" i="63"/>
  <c r="F46" i="63"/>
  <c r="G46" i="63"/>
  <c r="H46" i="63"/>
  <c r="I46" i="63"/>
  <c r="J46" i="63"/>
  <c r="K46" i="63"/>
  <c r="L46" i="63"/>
  <c r="M46" i="63"/>
  <c r="N46" i="63"/>
  <c r="O46" i="63"/>
  <c r="P46" i="63"/>
  <c r="B47" i="63"/>
  <c r="C47" i="63"/>
  <c r="D47" i="63"/>
  <c r="E47" i="63"/>
  <c r="F47" i="63"/>
  <c r="G47" i="63"/>
  <c r="H47" i="63"/>
  <c r="I47" i="63"/>
  <c r="J47" i="63"/>
  <c r="K47" i="63"/>
  <c r="L47" i="63"/>
  <c r="M47" i="63"/>
  <c r="N47" i="63"/>
  <c r="O47" i="63"/>
  <c r="P47" i="63"/>
  <c r="B48" i="63"/>
  <c r="C48" i="63"/>
  <c r="D48" i="63"/>
  <c r="E48" i="63"/>
  <c r="F48" i="63"/>
  <c r="G48" i="63"/>
  <c r="H48" i="63"/>
  <c r="I48" i="63"/>
  <c r="J48" i="63"/>
  <c r="K48" i="63"/>
  <c r="L48" i="63"/>
  <c r="M48" i="63"/>
  <c r="N48" i="63"/>
  <c r="O48" i="63"/>
  <c r="P48" i="63"/>
  <c r="B49" i="63"/>
  <c r="C49" i="63"/>
  <c r="D49" i="63"/>
  <c r="E49" i="63"/>
  <c r="F49" i="63"/>
  <c r="G49" i="63"/>
  <c r="H49" i="63"/>
  <c r="I49" i="63"/>
  <c r="J49" i="63"/>
  <c r="K49" i="63"/>
  <c r="L49" i="63"/>
  <c r="M49" i="63"/>
  <c r="N49" i="63"/>
  <c r="O49" i="63"/>
  <c r="P49" i="63"/>
  <c r="B50" i="63"/>
  <c r="C50" i="63"/>
  <c r="D50" i="63"/>
  <c r="E50" i="63"/>
  <c r="F50" i="63"/>
  <c r="G50" i="63"/>
  <c r="H50" i="63"/>
  <c r="I50" i="63"/>
  <c r="J50" i="63"/>
  <c r="K50" i="63"/>
  <c r="L50" i="63"/>
  <c r="M50" i="63"/>
  <c r="N50" i="63"/>
  <c r="O50" i="63"/>
  <c r="P50" i="63"/>
  <c r="B51" i="63"/>
  <c r="C51" i="63"/>
  <c r="D51" i="63"/>
  <c r="E51" i="63"/>
  <c r="F51" i="63"/>
  <c r="G51" i="63"/>
  <c r="H51" i="63"/>
  <c r="I51" i="63"/>
  <c r="J51" i="63"/>
  <c r="K51" i="63"/>
  <c r="L51" i="63"/>
  <c r="M51" i="63"/>
  <c r="N51" i="63"/>
  <c r="O51" i="63"/>
  <c r="P51" i="63"/>
  <c r="B52" i="63"/>
  <c r="C52" i="63"/>
  <c r="D52" i="63"/>
  <c r="E52" i="63"/>
  <c r="F52" i="63"/>
  <c r="G52" i="63"/>
  <c r="H52" i="63"/>
  <c r="I52" i="63"/>
  <c r="J52" i="63"/>
  <c r="K52" i="63"/>
  <c r="L52" i="63"/>
  <c r="M52" i="63"/>
  <c r="N52" i="63"/>
  <c r="O52" i="63"/>
  <c r="P52" i="63"/>
  <c r="B53" i="63"/>
  <c r="C53" i="63"/>
  <c r="D53" i="63"/>
  <c r="E53" i="63"/>
  <c r="F53" i="63"/>
  <c r="G53" i="63"/>
  <c r="H53" i="63"/>
  <c r="I53" i="63"/>
  <c r="J53" i="63"/>
  <c r="K53" i="63"/>
  <c r="L53" i="63"/>
  <c r="M53" i="63"/>
  <c r="N53" i="63"/>
  <c r="O53" i="63"/>
  <c r="P53" i="63"/>
  <c r="B54" i="63"/>
  <c r="C54" i="63"/>
  <c r="D54" i="63"/>
  <c r="E54" i="63"/>
  <c r="F54" i="63"/>
  <c r="G54" i="63"/>
  <c r="H54" i="63"/>
  <c r="I54" i="63"/>
  <c r="J54" i="63"/>
  <c r="K54" i="63"/>
  <c r="L54" i="63"/>
  <c r="M54" i="63"/>
  <c r="N54" i="63"/>
  <c r="O54" i="63"/>
  <c r="P54" i="63"/>
  <c r="B55" i="63"/>
  <c r="C55" i="63"/>
  <c r="D55" i="63"/>
  <c r="E55" i="63"/>
  <c r="F55" i="63"/>
  <c r="G55" i="63"/>
  <c r="H55" i="63"/>
  <c r="I55" i="63"/>
  <c r="J55" i="63"/>
  <c r="K55" i="63"/>
  <c r="L55" i="63"/>
  <c r="M55" i="63"/>
  <c r="N55" i="63"/>
  <c r="O55" i="63"/>
  <c r="P55" i="63"/>
  <c r="B56" i="63"/>
  <c r="C56" i="63"/>
  <c r="D56" i="63"/>
  <c r="E56" i="63"/>
  <c r="F56" i="63"/>
  <c r="G56" i="63"/>
  <c r="H56" i="63"/>
  <c r="I56" i="63"/>
  <c r="J56" i="63"/>
  <c r="K56" i="63"/>
  <c r="L56" i="63"/>
  <c r="M56" i="63"/>
  <c r="N56" i="63"/>
  <c r="O56" i="63"/>
  <c r="P56" i="63"/>
  <c r="B57" i="63"/>
  <c r="C57" i="63"/>
  <c r="D57" i="63"/>
  <c r="E57" i="63"/>
  <c r="F57" i="63"/>
  <c r="G57" i="63"/>
  <c r="H57" i="63"/>
  <c r="I57" i="63"/>
  <c r="J57" i="63"/>
  <c r="K57" i="63"/>
  <c r="L57" i="63"/>
  <c r="M57" i="63"/>
  <c r="N57" i="63"/>
  <c r="O57" i="63"/>
  <c r="P57" i="63"/>
  <c r="B58" i="63"/>
  <c r="C58" i="63"/>
  <c r="D58" i="63"/>
  <c r="E58" i="63"/>
  <c r="F58" i="63"/>
  <c r="G58" i="63"/>
  <c r="H58" i="63"/>
  <c r="I58" i="63"/>
  <c r="J58" i="63"/>
  <c r="K58" i="63"/>
  <c r="L58" i="63"/>
  <c r="M58" i="63"/>
  <c r="N58" i="63"/>
  <c r="O58" i="63"/>
  <c r="P58" i="63"/>
  <c r="B59" i="63"/>
  <c r="C59" i="63"/>
  <c r="D59" i="63"/>
  <c r="E59" i="63"/>
  <c r="F59" i="63"/>
  <c r="G59" i="63"/>
  <c r="H59" i="63"/>
  <c r="I59" i="63"/>
  <c r="J59" i="63"/>
  <c r="K59" i="63"/>
  <c r="L59" i="63"/>
  <c r="M59" i="63"/>
  <c r="N59" i="63"/>
  <c r="O59" i="63"/>
  <c r="P59" i="63"/>
  <c r="B60" i="63"/>
  <c r="C60" i="63"/>
  <c r="D60" i="63"/>
  <c r="E60" i="63"/>
  <c r="F60" i="63"/>
  <c r="G60" i="63"/>
  <c r="H60" i="63"/>
  <c r="I60" i="63"/>
  <c r="J60" i="63"/>
  <c r="K60" i="63"/>
  <c r="L60" i="63"/>
  <c r="M60" i="63"/>
  <c r="N60" i="63"/>
  <c r="O60" i="63"/>
  <c r="P60" i="63"/>
  <c r="B61" i="63"/>
  <c r="C61" i="63"/>
  <c r="D61" i="63"/>
  <c r="E61" i="63"/>
  <c r="F61" i="63"/>
  <c r="G61" i="63"/>
  <c r="H61" i="63"/>
  <c r="I61" i="63"/>
  <c r="J61" i="63"/>
  <c r="K61" i="63"/>
  <c r="L61" i="63"/>
  <c r="M61" i="63"/>
  <c r="N61" i="63"/>
  <c r="O61" i="63"/>
  <c r="P61" i="63"/>
  <c r="B62" i="63"/>
  <c r="C62" i="63"/>
  <c r="D62" i="63"/>
  <c r="E62" i="63"/>
  <c r="F62" i="63"/>
  <c r="G62" i="63"/>
  <c r="H62" i="63"/>
  <c r="I62" i="63"/>
  <c r="J62" i="63"/>
  <c r="K62" i="63"/>
  <c r="L62" i="63"/>
  <c r="M62" i="63"/>
  <c r="N62" i="63"/>
  <c r="O62" i="63"/>
  <c r="P62" i="63"/>
  <c r="B63" i="63"/>
  <c r="C63" i="63"/>
  <c r="D63" i="63"/>
  <c r="E63" i="63"/>
  <c r="F63" i="63"/>
  <c r="G63" i="63"/>
  <c r="H63" i="63"/>
  <c r="I63" i="63"/>
  <c r="J63" i="63"/>
  <c r="K63" i="63"/>
  <c r="L63" i="63"/>
  <c r="M63" i="63"/>
  <c r="N63" i="63"/>
  <c r="O63" i="63"/>
  <c r="P63" i="63"/>
  <c r="B64" i="63"/>
  <c r="C64" i="63"/>
  <c r="D64" i="63"/>
  <c r="E64" i="63"/>
  <c r="F64" i="63"/>
  <c r="G64" i="63"/>
  <c r="H64" i="63"/>
  <c r="I64" i="63"/>
  <c r="J64" i="63"/>
  <c r="K64" i="63"/>
  <c r="L64" i="63"/>
  <c r="M64" i="63"/>
  <c r="N64" i="63"/>
  <c r="O64" i="63"/>
  <c r="P64" i="63"/>
  <c r="B65" i="63"/>
  <c r="C65" i="63"/>
  <c r="D65" i="63"/>
  <c r="E65" i="63"/>
  <c r="F65" i="63"/>
  <c r="G65" i="63"/>
  <c r="H65" i="63"/>
  <c r="I65" i="63"/>
  <c r="J65" i="63"/>
  <c r="K65" i="63"/>
  <c r="L65" i="63"/>
  <c r="M65" i="63"/>
  <c r="N65" i="63"/>
  <c r="O65" i="63"/>
  <c r="P65" i="63"/>
  <c r="B66" i="63"/>
  <c r="C66" i="63"/>
  <c r="D66" i="63"/>
  <c r="E66" i="63"/>
  <c r="F66" i="63"/>
  <c r="G66" i="63"/>
  <c r="H66" i="63"/>
  <c r="I66" i="63"/>
  <c r="J66" i="63"/>
  <c r="K66" i="63"/>
  <c r="L66" i="63"/>
  <c r="M66" i="63"/>
  <c r="N66" i="63"/>
  <c r="O66" i="63"/>
  <c r="P66" i="63"/>
  <c r="B67" i="63"/>
  <c r="C67" i="63"/>
  <c r="D67" i="63"/>
  <c r="E67" i="63"/>
  <c r="F67" i="63"/>
  <c r="G67" i="63"/>
  <c r="H67" i="63"/>
  <c r="I67" i="63"/>
  <c r="J67" i="63"/>
  <c r="K67" i="63"/>
  <c r="L67" i="63"/>
  <c r="M67" i="63"/>
  <c r="N67" i="63"/>
  <c r="O67" i="63"/>
  <c r="P67" i="63"/>
  <c r="B68" i="63"/>
  <c r="C68" i="63"/>
  <c r="D68" i="63"/>
  <c r="E68" i="63"/>
  <c r="F68" i="63"/>
  <c r="G68" i="63"/>
  <c r="H68" i="63"/>
  <c r="I68" i="63"/>
  <c r="J68" i="63"/>
  <c r="K68" i="63"/>
  <c r="L68" i="63"/>
  <c r="M68" i="63"/>
  <c r="N68" i="63"/>
  <c r="O68" i="63"/>
  <c r="P68" i="63"/>
  <c r="B69" i="63"/>
  <c r="C69" i="63"/>
  <c r="D69" i="63"/>
  <c r="E69" i="63"/>
  <c r="F69" i="63"/>
  <c r="G69" i="63"/>
  <c r="H69" i="63"/>
  <c r="I69" i="63"/>
  <c r="J69" i="63"/>
  <c r="K69" i="63"/>
  <c r="L69" i="63"/>
  <c r="M69" i="63"/>
  <c r="N69" i="63"/>
  <c r="O69" i="63"/>
  <c r="P69" i="63"/>
  <c r="B70" i="63"/>
  <c r="C70" i="63"/>
  <c r="D70" i="63"/>
  <c r="E70" i="63"/>
  <c r="F70" i="63"/>
  <c r="G70" i="63"/>
  <c r="H70" i="63"/>
  <c r="I70" i="63"/>
  <c r="J70" i="63"/>
  <c r="K70" i="63"/>
  <c r="L70" i="63"/>
  <c r="M70" i="63"/>
  <c r="N70" i="63"/>
  <c r="O70" i="63"/>
  <c r="P70" i="63"/>
  <c r="B71" i="63"/>
  <c r="C71" i="63"/>
  <c r="D71" i="63"/>
  <c r="E71" i="63"/>
  <c r="F71" i="63"/>
  <c r="G71" i="63"/>
  <c r="H71" i="63"/>
  <c r="I71" i="63"/>
  <c r="J71" i="63"/>
  <c r="K71" i="63"/>
  <c r="L71" i="63"/>
  <c r="M71" i="63"/>
  <c r="N71" i="63"/>
  <c r="O71" i="63"/>
  <c r="P71" i="63"/>
  <c r="B72" i="63"/>
  <c r="C72" i="63"/>
  <c r="D72" i="63"/>
  <c r="E72" i="63"/>
  <c r="F72" i="63"/>
  <c r="G72" i="63"/>
  <c r="H72" i="63"/>
  <c r="I72" i="63"/>
  <c r="J72" i="63"/>
  <c r="K72" i="63"/>
  <c r="L72" i="63"/>
  <c r="M72" i="63"/>
  <c r="N72" i="63"/>
  <c r="O72" i="63"/>
  <c r="P72" i="63"/>
  <c r="B73" i="63"/>
  <c r="C73" i="63"/>
  <c r="D73" i="63"/>
  <c r="E73" i="63"/>
  <c r="F73" i="63"/>
  <c r="G73" i="63"/>
  <c r="H73" i="63"/>
  <c r="I73" i="63"/>
  <c r="J73" i="63"/>
  <c r="K73" i="63"/>
  <c r="L73" i="63"/>
  <c r="M73" i="63"/>
  <c r="N73" i="63"/>
  <c r="O73" i="63"/>
  <c r="P73" i="63"/>
  <c r="B74" i="63"/>
  <c r="C74" i="63"/>
  <c r="D74" i="63"/>
  <c r="E74" i="63"/>
  <c r="F74" i="63"/>
  <c r="G74" i="63"/>
  <c r="H74" i="63"/>
  <c r="I74" i="63"/>
  <c r="J74" i="63"/>
  <c r="K74" i="63"/>
  <c r="L74" i="63"/>
  <c r="M74" i="63"/>
  <c r="N74" i="63"/>
  <c r="O74" i="63"/>
  <c r="P74" i="63"/>
  <c r="B75" i="63"/>
  <c r="C75" i="63"/>
  <c r="D75" i="63"/>
  <c r="E75" i="63"/>
  <c r="F75" i="63"/>
  <c r="G75" i="63"/>
  <c r="H75" i="63"/>
  <c r="I75" i="63"/>
  <c r="J75" i="63"/>
  <c r="K75" i="63"/>
  <c r="L75" i="63"/>
  <c r="M75" i="63"/>
  <c r="N75" i="63"/>
  <c r="O75" i="63"/>
  <c r="P75" i="63"/>
  <c r="B76" i="63"/>
  <c r="C76" i="63"/>
  <c r="D76" i="63"/>
  <c r="E76" i="63"/>
  <c r="F76" i="63"/>
  <c r="G76" i="63"/>
  <c r="H76" i="63"/>
  <c r="I76" i="63"/>
  <c r="J76" i="63"/>
  <c r="K76" i="63"/>
  <c r="L76" i="63"/>
  <c r="M76" i="63"/>
  <c r="N76" i="63"/>
  <c r="O76" i="63"/>
  <c r="P76" i="63"/>
  <c r="B77" i="63"/>
  <c r="C77" i="63"/>
  <c r="D77" i="63"/>
  <c r="E77" i="63"/>
  <c r="F77" i="63"/>
  <c r="G77" i="63"/>
  <c r="H77" i="63"/>
  <c r="I77" i="63"/>
  <c r="J77" i="63"/>
  <c r="K77" i="63"/>
  <c r="L77" i="63"/>
  <c r="M77" i="63"/>
  <c r="N77" i="63"/>
  <c r="O77" i="63"/>
  <c r="P77" i="63"/>
  <c r="B78" i="63"/>
  <c r="C78" i="63"/>
  <c r="D78" i="63"/>
  <c r="E78" i="63"/>
  <c r="F78" i="63"/>
  <c r="G78" i="63"/>
  <c r="H78" i="63"/>
  <c r="I78" i="63"/>
  <c r="J78" i="63"/>
  <c r="K78" i="63"/>
  <c r="L78" i="63"/>
  <c r="M78" i="63"/>
  <c r="N78" i="63"/>
  <c r="O78" i="63"/>
  <c r="P78" i="63"/>
  <c r="B79" i="63"/>
  <c r="C79" i="63"/>
  <c r="D79" i="63"/>
  <c r="E79" i="63"/>
  <c r="F79" i="63"/>
  <c r="G79" i="63"/>
  <c r="H79" i="63"/>
  <c r="I79" i="63"/>
  <c r="J79" i="63"/>
  <c r="K79" i="63"/>
  <c r="L79" i="63"/>
  <c r="M79" i="63"/>
  <c r="N79" i="63"/>
  <c r="O79" i="63"/>
  <c r="P79" i="63"/>
  <c r="B80" i="63"/>
  <c r="C80" i="63"/>
  <c r="D80" i="63"/>
  <c r="E80" i="63"/>
  <c r="F80" i="63"/>
  <c r="G80" i="63"/>
  <c r="H80" i="63"/>
  <c r="I80" i="63"/>
  <c r="J80" i="63"/>
  <c r="K80" i="63"/>
  <c r="L80" i="63"/>
  <c r="M80" i="63"/>
  <c r="N80" i="63"/>
  <c r="O80" i="63"/>
  <c r="P80" i="63"/>
  <c r="B81" i="63"/>
  <c r="C81" i="63"/>
  <c r="D81" i="63"/>
  <c r="E81" i="63"/>
  <c r="F81" i="63"/>
  <c r="G81" i="63"/>
  <c r="H81" i="63"/>
  <c r="I81" i="63"/>
  <c r="J81" i="63"/>
  <c r="K81" i="63"/>
  <c r="L81" i="63"/>
  <c r="M81" i="63"/>
  <c r="N81" i="63"/>
  <c r="O81" i="63"/>
  <c r="P81" i="63"/>
  <c r="B82" i="63"/>
  <c r="C82" i="63"/>
  <c r="D82" i="63"/>
  <c r="E82" i="63"/>
  <c r="F82" i="63"/>
  <c r="G82" i="63"/>
  <c r="H82" i="63"/>
  <c r="I82" i="63"/>
  <c r="J82" i="63"/>
  <c r="K82" i="63"/>
  <c r="L82" i="63"/>
  <c r="M82" i="63"/>
  <c r="N82" i="63"/>
  <c r="O82" i="63"/>
  <c r="P82" i="63"/>
  <c r="B83" i="63"/>
  <c r="C83" i="63"/>
  <c r="D83" i="63"/>
  <c r="E83" i="63"/>
  <c r="F83" i="63"/>
  <c r="G83" i="63"/>
  <c r="H83" i="63"/>
  <c r="I83" i="63"/>
  <c r="J83" i="63"/>
  <c r="K83" i="63"/>
  <c r="L83" i="63"/>
  <c r="M83" i="63"/>
  <c r="N83" i="63"/>
  <c r="O83" i="63"/>
  <c r="P83" i="63"/>
  <c r="B84" i="63"/>
  <c r="C84" i="63"/>
  <c r="D84" i="63"/>
  <c r="E84" i="63"/>
  <c r="F84" i="63"/>
  <c r="G84" i="63"/>
  <c r="H84" i="63"/>
  <c r="I84" i="63"/>
  <c r="J84" i="63"/>
  <c r="K84" i="63"/>
  <c r="L84" i="63"/>
  <c r="M84" i="63"/>
  <c r="N84" i="63"/>
  <c r="O84" i="63"/>
  <c r="P84" i="63"/>
  <c r="B85" i="63"/>
  <c r="C85" i="63"/>
  <c r="D85" i="63"/>
  <c r="E85" i="63"/>
  <c r="F85" i="63"/>
  <c r="G85" i="63"/>
  <c r="H85" i="63"/>
  <c r="I85" i="63"/>
  <c r="J85" i="63"/>
  <c r="K85" i="63"/>
  <c r="L85" i="63"/>
  <c r="M85" i="63"/>
  <c r="N85" i="63"/>
  <c r="O85" i="63"/>
  <c r="P85" i="63"/>
  <c r="B86" i="63"/>
  <c r="C86" i="63"/>
  <c r="D86" i="63"/>
  <c r="E86" i="63"/>
  <c r="F86" i="63"/>
  <c r="G86" i="63"/>
  <c r="H86" i="63"/>
  <c r="I86" i="63"/>
  <c r="J86" i="63"/>
  <c r="K86" i="63"/>
  <c r="L86" i="63"/>
  <c r="M86" i="63"/>
  <c r="N86" i="63"/>
  <c r="O86" i="63"/>
  <c r="P86" i="63"/>
  <c r="B87" i="63"/>
  <c r="C87" i="63"/>
  <c r="D87" i="63"/>
  <c r="E87" i="63"/>
  <c r="F87" i="63"/>
  <c r="G87" i="63"/>
  <c r="H87" i="63"/>
  <c r="I87" i="63"/>
  <c r="J87" i="63"/>
  <c r="K87" i="63"/>
  <c r="L87" i="63"/>
  <c r="M87" i="63"/>
  <c r="N87" i="63"/>
  <c r="O87" i="63"/>
  <c r="P87" i="63"/>
  <c r="B88" i="63"/>
  <c r="C88" i="63"/>
  <c r="D88" i="63"/>
  <c r="E88" i="63"/>
  <c r="F88" i="63"/>
  <c r="G88" i="63"/>
  <c r="H88" i="63"/>
  <c r="I88" i="63"/>
  <c r="J88" i="63"/>
  <c r="K88" i="63"/>
  <c r="L88" i="63"/>
  <c r="M88" i="63"/>
  <c r="N88" i="63"/>
  <c r="O88" i="63"/>
  <c r="P88" i="63"/>
  <c r="B89" i="63"/>
  <c r="C89" i="63"/>
  <c r="D89" i="63"/>
  <c r="E89" i="63"/>
  <c r="F89" i="63"/>
  <c r="G89" i="63"/>
  <c r="H89" i="63"/>
  <c r="I89" i="63"/>
  <c r="J89" i="63"/>
  <c r="K89" i="63"/>
  <c r="L89" i="63"/>
  <c r="M89" i="63"/>
  <c r="N89" i="63"/>
  <c r="O89" i="63"/>
  <c r="P89" i="63"/>
  <c r="B90" i="63"/>
  <c r="C90" i="63"/>
  <c r="D90" i="63"/>
  <c r="E90" i="63"/>
  <c r="F90" i="63"/>
  <c r="G90" i="63"/>
  <c r="H90" i="63"/>
  <c r="I90" i="63"/>
  <c r="J90" i="63"/>
  <c r="K90" i="63"/>
  <c r="L90" i="63"/>
  <c r="M90" i="63"/>
  <c r="N90" i="63"/>
  <c r="O90" i="63"/>
  <c r="P90" i="63"/>
  <c r="B91" i="63"/>
  <c r="C91" i="63"/>
  <c r="D91" i="63"/>
  <c r="E91" i="63"/>
  <c r="F91" i="63"/>
  <c r="G91" i="63"/>
  <c r="H91" i="63"/>
  <c r="I91" i="63"/>
  <c r="J91" i="63"/>
  <c r="K91" i="63"/>
  <c r="L91" i="63"/>
  <c r="M91" i="63"/>
  <c r="N91" i="63"/>
  <c r="O91" i="63"/>
  <c r="P91" i="63"/>
  <c r="B92" i="63"/>
  <c r="C92" i="63"/>
  <c r="D92" i="63"/>
  <c r="E92" i="63"/>
  <c r="F92" i="63"/>
  <c r="G92" i="63"/>
  <c r="H92" i="63"/>
  <c r="I92" i="63"/>
  <c r="J92" i="63"/>
  <c r="K92" i="63"/>
  <c r="L92" i="63"/>
  <c r="M92" i="63"/>
  <c r="N92" i="63"/>
  <c r="O92" i="63"/>
  <c r="P92" i="63"/>
  <c r="B93" i="63"/>
  <c r="C93" i="63"/>
  <c r="D93" i="63"/>
  <c r="E93" i="63"/>
  <c r="F93" i="63"/>
  <c r="G93" i="63"/>
  <c r="H93" i="63"/>
  <c r="I93" i="63"/>
  <c r="J93" i="63"/>
  <c r="K93" i="63"/>
  <c r="L93" i="63"/>
  <c r="M93" i="63"/>
  <c r="N93" i="63"/>
  <c r="O93" i="63"/>
  <c r="P93" i="63"/>
  <c r="B94" i="63"/>
  <c r="C94" i="63"/>
  <c r="D94" i="63"/>
  <c r="E94" i="63"/>
  <c r="F94" i="63"/>
  <c r="G94" i="63"/>
  <c r="H94" i="63"/>
  <c r="I94" i="63"/>
  <c r="J94" i="63"/>
  <c r="K94" i="63"/>
  <c r="L94" i="63"/>
  <c r="M94" i="63"/>
  <c r="N94" i="63"/>
  <c r="O94" i="63"/>
  <c r="P94" i="63"/>
  <c r="B95" i="63"/>
  <c r="C95" i="63"/>
  <c r="D95" i="63"/>
  <c r="E95" i="63"/>
  <c r="F95" i="63"/>
  <c r="G95" i="63"/>
  <c r="H95" i="63"/>
  <c r="I95" i="63"/>
  <c r="J95" i="63"/>
  <c r="K95" i="63"/>
  <c r="L95" i="63"/>
  <c r="M95" i="63"/>
  <c r="N95" i="63"/>
  <c r="O95" i="63"/>
  <c r="P95" i="63"/>
  <c r="B96" i="63"/>
  <c r="C96" i="63"/>
  <c r="D96" i="63"/>
  <c r="E96" i="63"/>
  <c r="F96" i="63"/>
  <c r="G96" i="63"/>
  <c r="H96" i="63"/>
  <c r="I96" i="63"/>
  <c r="J96" i="63"/>
  <c r="K96" i="63"/>
  <c r="L96" i="63"/>
  <c r="M96" i="63"/>
  <c r="N96" i="63"/>
  <c r="O96" i="63"/>
  <c r="P96" i="63"/>
  <c r="B97" i="63"/>
  <c r="C97" i="63"/>
  <c r="D97" i="63"/>
  <c r="E97" i="63"/>
  <c r="F97" i="63"/>
  <c r="G97" i="63"/>
  <c r="H97" i="63"/>
  <c r="I97" i="63"/>
  <c r="J97" i="63"/>
  <c r="K97" i="63"/>
  <c r="L97" i="63"/>
  <c r="M97" i="63"/>
  <c r="N97" i="63"/>
  <c r="O97" i="63"/>
  <c r="P97" i="63"/>
  <c r="B98" i="63"/>
  <c r="C98" i="63"/>
  <c r="D98" i="63"/>
  <c r="E98" i="63"/>
  <c r="F98" i="63"/>
  <c r="G98" i="63"/>
  <c r="H98" i="63"/>
  <c r="I98" i="63"/>
  <c r="J98" i="63"/>
  <c r="K98" i="63"/>
  <c r="L98" i="63"/>
  <c r="M98" i="63"/>
  <c r="N98" i="63"/>
  <c r="O98" i="63"/>
  <c r="P98" i="63"/>
  <c r="B99" i="63"/>
  <c r="C99" i="63"/>
  <c r="D99" i="63"/>
  <c r="E99" i="63"/>
  <c r="F99" i="63"/>
  <c r="G99" i="63"/>
  <c r="H99" i="63"/>
  <c r="I99" i="63"/>
  <c r="J99" i="63"/>
  <c r="K99" i="63"/>
  <c r="L99" i="63"/>
  <c r="M99" i="63"/>
  <c r="N99" i="63"/>
  <c r="O99" i="63"/>
  <c r="P99" i="63"/>
  <c r="B100" i="63"/>
  <c r="C100" i="63"/>
  <c r="D100" i="63"/>
  <c r="E100" i="63"/>
  <c r="F100" i="63"/>
  <c r="G100" i="63"/>
  <c r="H100" i="63"/>
  <c r="I100" i="63"/>
  <c r="J100" i="63"/>
  <c r="K100" i="63"/>
  <c r="L100" i="63"/>
  <c r="M100" i="63"/>
  <c r="N100" i="63"/>
  <c r="O100" i="63"/>
  <c r="P100" i="63"/>
  <c r="B101" i="63"/>
  <c r="C101" i="63"/>
  <c r="D101" i="63"/>
  <c r="E101" i="63"/>
  <c r="F101" i="63"/>
  <c r="G101" i="63"/>
  <c r="H101" i="63"/>
  <c r="I101" i="63"/>
  <c r="J101" i="63"/>
  <c r="K101" i="63"/>
  <c r="L101" i="63"/>
  <c r="M101" i="63"/>
  <c r="N101" i="63"/>
  <c r="O101" i="63"/>
  <c r="P101" i="63"/>
  <c r="B102" i="63"/>
  <c r="C102" i="63"/>
  <c r="D102" i="63"/>
  <c r="E102" i="63"/>
  <c r="F102" i="63"/>
  <c r="G102" i="63"/>
  <c r="H102" i="63"/>
  <c r="I102" i="63"/>
  <c r="J102" i="63"/>
  <c r="K102" i="63"/>
  <c r="L102" i="63"/>
  <c r="M102" i="63"/>
  <c r="N102" i="63"/>
  <c r="O102" i="63"/>
  <c r="P102" i="63"/>
  <c r="B103" i="63"/>
  <c r="C103" i="63"/>
  <c r="D103" i="63"/>
  <c r="E103" i="63"/>
  <c r="F103" i="63"/>
  <c r="G103" i="63"/>
  <c r="H103" i="63"/>
  <c r="I103" i="63"/>
  <c r="J103" i="63"/>
  <c r="K103" i="63"/>
  <c r="L103" i="63"/>
  <c r="M103" i="63"/>
  <c r="N103" i="63"/>
  <c r="O103" i="63"/>
  <c r="P103" i="63"/>
  <c r="B104" i="63"/>
  <c r="C104" i="63"/>
  <c r="D104" i="63"/>
  <c r="E104" i="63"/>
  <c r="F104" i="63"/>
  <c r="G104" i="63"/>
  <c r="H104" i="63"/>
  <c r="I104" i="63"/>
  <c r="J104" i="63"/>
  <c r="K104" i="63"/>
  <c r="L104" i="63"/>
  <c r="M104" i="63"/>
  <c r="N104" i="63"/>
  <c r="O104" i="63"/>
  <c r="P104" i="63"/>
  <c r="B105" i="63"/>
  <c r="C105" i="63"/>
  <c r="D105" i="63"/>
  <c r="E105" i="63"/>
  <c r="F105" i="63"/>
  <c r="G105" i="63"/>
  <c r="H105" i="63"/>
  <c r="I105" i="63"/>
  <c r="J105" i="63"/>
  <c r="K105" i="63"/>
  <c r="L105" i="63"/>
  <c r="M105" i="63"/>
  <c r="N105" i="63"/>
  <c r="O105" i="63"/>
  <c r="P105" i="63"/>
  <c r="B106" i="63"/>
  <c r="C106" i="63"/>
  <c r="D106" i="63"/>
  <c r="E106" i="63"/>
  <c r="F106" i="63"/>
  <c r="G106" i="63"/>
  <c r="H106" i="63"/>
  <c r="I106" i="63"/>
  <c r="J106" i="63"/>
  <c r="K106" i="63"/>
  <c r="L106" i="63"/>
  <c r="M106" i="63"/>
  <c r="N106" i="63"/>
  <c r="O106" i="63"/>
  <c r="P106" i="63"/>
  <c r="B107" i="63"/>
  <c r="C107" i="63"/>
  <c r="D107" i="63"/>
  <c r="E107" i="63"/>
  <c r="F107" i="63"/>
  <c r="G107" i="63"/>
  <c r="H107" i="63"/>
  <c r="I107" i="63"/>
  <c r="J107" i="63"/>
  <c r="K107" i="63"/>
  <c r="L107" i="63"/>
  <c r="M107" i="63"/>
  <c r="N107" i="63"/>
  <c r="O107" i="63"/>
  <c r="P107" i="63"/>
  <c r="B108" i="63"/>
  <c r="C108" i="63"/>
  <c r="D108" i="63"/>
  <c r="E108" i="63"/>
  <c r="F108" i="63"/>
  <c r="G108" i="63"/>
  <c r="H108" i="63"/>
  <c r="I108" i="63"/>
  <c r="J108" i="63"/>
  <c r="K108" i="63"/>
  <c r="L108" i="63"/>
  <c r="M108" i="63"/>
  <c r="N108" i="63"/>
  <c r="O108" i="63"/>
  <c r="P108" i="63"/>
  <c r="B109" i="63"/>
  <c r="C109" i="63"/>
  <c r="D109" i="63"/>
  <c r="E109" i="63"/>
  <c r="F109" i="63"/>
  <c r="G109" i="63"/>
  <c r="H109" i="63"/>
  <c r="I109" i="63"/>
  <c r="J109" i="63"/>
  <c r="K109" i="63"/>
  <c r="L109" i="63"/>
  <c r="M109" i="63"/>
  <c r="N109" i="63"/>
  <c r="O109" i="63"/>
  <c r="P109" i="63"/>
  <c r="B110" i="63"/>
  <c r="C110" i="63"/>
  <c r="D110" i="63"/>
  <c r="E110" i="63"/>
  <c r="F110" i="63"/>
  <c r="G110" i="63"/>
  <c r="H110" i="63"/>
  <c r="I110" i="63"/>
  <c r="J110" i="63"/>
  <c r="K110" i="63"/>
  <c r="L110" i="63"/>
  <c r="M110" i="63"/>
  <c r="N110" i="63"/>
  <c r="O110" i="63"/>
  <c r="P110" i="63"/>
  <c r="B111" i="63"/>
  <c r="C111" i="63"/>
  <c r="D111" i="63"/>
  <c r="E111" i="63"/>
  <c r="F111" i="63"/>
  <c r="G111" i="63"/>
  <c r="H111" i="63"/>
  <c r="I111" i="63"/>
  <c r="J111" i="63"/>
  <c r="K111" i="63"/>
  <c r="L111" i="63"/>
  <c r="M111" i="63"/>
  <c r="N111" i="63"/>
  <c r="O111" i="63"/>
  <c r="P111" i="63"/>
  <c r="B112" i="63"/>
  <c r="C112" i="63"/>
  <c r="D112" i="63"/>
  <c r="E112" i="63"/>
  <c r="F112" i="63"/>
  <c r="G112" i="63"/>
  <c r="H112" i="63"/>
  <c r="I112" i="63"/>
  <c r="J112" i="63"/>
  <c r="K112" i="63"/>
  <c r="L112" i="63"/>
  <c r="M112" i="63"/>
  <c r="N112" i="63"/>
  <c r="O112" i="63"/>
  <c r="P112" i="63"/>
  <c r="B113" i="63"/>
  <c r="C113" i="63"/>
  <c r="D113" i="63"/>
  <c r="E113" i="63"/>
  <c r="F113" i="63"/>
  <c r="G113" i="63"/>
  <c r="H113" i="63"/>
  <c r="I113" i="63"/>
  <c r="J113" i="63"/>
  <c r="K113" i="63"/>
  <c r="L113" i="63"/>
  <c r="M113" i="63"/>
  <c r="N113" i="63"/>
  <c r="O113" i="63"/>
  <c r="P113" i="63"/>
  <c r="B114" i="63"/>
  <c r="C114" i="63"/>
  <c r="D114" i="63"/>
  <c r="E114" i="63"/>
  <c r="F114" i="63"/>
  <c r="G114" i="63"/>
  <c r="H114" i="63"/>
  <c r="I114" i="63"/>
  <c r="J114" i="63"/>
  <c r="K114" i="63"/>
  <c r="L114" i="63"/>
  <c r="M114" i="63"/>
  <c r="N114" i="63"/>
  <c r="O114" i="63"/>
  <c r="P114" i="63"/>
  <c r="B115" i="63"/>
  <c r="C115" i="63"/>
  <c r="D115" i="63"/>
  <c r="E115" i="63"/>
  <c r="F115" i="63"/>
  <c r="G115" i="63"/>
  <c r="H115" i="63"/>
  <c r="I115" i="63"/>
  <c r="J115" i="63"/>
  <c r="K115" i="63"/>
  <c r="L115" i="63"/>
  <c r="M115" i="63"/>
  <c r="N115" i="63"/>
  <c r="O115" i="63"/>
  <c r="P115" i="63"/>
  <c r="B116" i="63"/>
  <c r="C116" i="63"/>
  <c r="D116" i="63"/>
  <c r="E116" i="63"/>
  <c r="F116" i="63"/>
  <c r="G116" i="63"/>
  <c r="H116" i="63"/>
  <c r="I116" i="63"/>
  <c r="J116" i="63"/>
  <c r="K116" i="63"/>
  <c r="L116" i="63"/>
  <c r="M116" i="63"/>
  <c r="N116" i="63"/>
  <c r="O116" i="63"/>
  <c r="P116" i="63"/>
  <c r="B117" i="63"/>
  <c r="C117" i="63"/>
  <c r="D117" i="63"/>
  <c r="E117" i="63"/>
  <c r="F117" i="63"/>
  <c r="G117" i="63"/>
  <c r="H117" i="63"/>
  <c r="I117" i="63"/>
  <c r="J117" i="63"/>
  <c r="K117" i="63"/>
  <c r="L117" i="63"/>
  <c r="M117" i="63"/>
  <c r="N117" i="63"/>
  <c r="O117" i="63"/>
  <c r="P117" i="63"/>
  <c r="B118" i="63"/>
  <c r="C118" i="63"/>
  <c r="D118" i="63"/>
  <c r="E118" i="63"/>
  <c r="F118" i="63"/>
  <c r="G118" i="63"/>
  <c r="H118" i="63"/>
  <c r="I118" i="63"/>
  <c r="J118" i="63"/>
  <c r="K118" i="63"/>
  <c r="L118" i="63"/>
  <c r="M118" i="63"/>
  <c r="N118" i="63"/>
  <c r="O118" i="63"/>
  <c r="P118" i="63"/>
  <c r="B119" i="63"/>
  <c r="C119" i="63"/>
  <c r="D119" i="63"/>
  <c r="E119" i="63"/>
  <c r="F119" i="63"/>
  <c r="G119" i="63"/>
  <c r="H119" i="63"/>
  <c r="I119" i="63"/>
  <c r="J119" i="63"/>
  <c r="K119" i="63"/>
  <c r="L119" i="63"/>
  <c r="M119" i="63"/>
  <c r="N119" i="63"/>
  <c r="O119" i="63"/>
  <c r="P119" i="63"/>
  <c r="B120" i="63"/>
  <c r="C120" i="63"/>
  <c r="D120" i="63"/>
  <c r="E120" i="63"/>
  <c r="F120" i="63"/>
  <c r="G120" i="63"/>
  <c r="H120" i="63"/>
  <c r="I120" i="63"/>
  <c r="J120" i="63"/>
  <c r="K120" i="63"/>
  <c r="L120" i="63"/>
  <c r="M120" i="63"/>
  <c r="N120" i="63"/>
  <c r="O120" i="63"/>
  <c r="P120" i="63"/>
  <c r="B121" i="63"/>
  <c r="C121" i="63"/>
  <c r="D121" i="63"/>
  <c r="E121" i="63"/>
  <c r="F121" i="63"/>
  <c r="G121" i="63"/>
  <c r="H121" i="63"/>
  <c r="I121" i="63"/>
  <c r="J121" i="63"/>
  <c r="K121" i="63"/>
  <c r="L121" i="63"/>
  <c r="M121" i="63"/>
  <c r="N121" i="63"/>
  <c r="O121" i="63"/>
  <c r="P121" i="63"/>
  <c r="B122" i="63"/>
  <c r="C122" i="63"/>
  <c r="D122" i="63"/>
  <c r="E122" i="63"/>
  <c r="F122" i="63"/>
  <c r="G122" i="63"/>
  <c r="H122" i="63"/>
  <c r="I122" i="63"/>
  <c r="J122" i="63"/>
  <c r="K122" i="63"/>
  <c r="L122" i="63"/>
  <c r="M122" i="63"/>
  <c r="N122" i="63"/>
  <c r="O122" i="63"/>
  <c r="P122" i="63"/>
  <c r="B123" i="63"/>
  <c r="C123" i="63"/>
  <c r="D123" i="63"/>
  <c r="E123" i="63"/>
  <c r="F123" i="63"/>
  <c r="G123" i="63"/>
  <c r="H123" i="63"/>
  <c r="I123" i="63"/>
  <c r="J123" i="63"/>
  <c r="K123" i="63"/>
  <c r="L123" i="63"/>
  <c r="M123" i="63"/>
  <c r="N123" i="63"/>
  <c r="O123" i="63"/>
  <c r="P123" i="63"/>
  <c r="B124" i="63"/>
  <c r="C124" i="63"/>
  <c r="D124" i="63"/>
  <c r="E124" i="63"/>
  <c r="F124" i="63"/>
  <c r="G124" i="63"/>
  <c r="H124" i="63"/>
  <c r="I124" i="63"/>
  <c r="J124" i="63"/>
  <c r="K124" i="63"/>
  <c r="L124" i="63"/>
  <c r="M124" i="63"/>
  <c r="N124" i="63"/>
  <c r="O124" i="63"/>
  <c r="P124" i="63"/>
  <c r="B125" i="63"/>
  <c r="C125" i="63"/>
  <c r="D125" i="63"/>
  <c r="E125" i="63"/>
  <c r="F125" i="63"/>
  <c r="G125" i="63"/>
  <c r="H125" i="63"/>
  <c r="I125" i="63"/>
  <c r="J125" i="63"/>
  <c r="K125" i="63"/>
  <c r="L125" i="63"/>
  <c r="M125" i="63"/>
  <c r="N125" i="63"/>
  <c r="O125" i="63"/>
  <c r="P125" i="63"/>
  <c r="B126" i="63"/>
  <c r="C126" i="63"/>
  <c r="D126" i="63"/>
  <c r="E126" i="63"/>
  <c r="F126" i="63"/>
  <c r="G126" i="63"/>
  <c r="H126" i="63"/>
  <c r="I126" i="63"/>
  <c r="J126" i="63"/>
  <c r="K126" i="63"/>
  <c r="L126" i="63"/>
  <c r="M126" i="63"/>
  <c r="N126" i="63"/>
  <c r="O126" i="63"/>
  <c r="P126" i="63"/>
  <c r="B127" i="63"/>
  <c r="C127" i="63"/>
  <c r="D127" i="63"/>
  <c r="E127" i="63"/>
  <c r="F127" i="63"/>
  <c r="G127" i="63"/>
  <c r="H127" i="63"/>
  <c r="I127" i="63"/>
  <c r="J127" i="63"/>
  <c r="K127" i="63"/>
  <c r="L127" i="63"/>
  <c r="M127" i="63"/>
  <c r="N127" i="63"/>
  <c r="O127" i="63"/>
  <c r="P127" i="63"/>
  <c r="B128" i="63"/>
  <c r="C128" i="63"/>
  <c r="D128" i="63"/>
  <c r="E128" i="63"/>
  <c r="F128" i="63"/>
  <c r="G128" i="63"/>
  <c r="H128" i="63"/>
  <c r="I128" i="63"/>
  <c r="J128" i="63"/>
  <c r="K128" i="63"/>
  <c r="L128" i="63"/>
  <c r="M128" i="63"/>
  <c r="N128" i="63"/>
  <c r="O128" i="63"/>
  <c r="P128" i="63"/>
  <c r="B129" i="63"/>
  <c r="C129" i="63"/>
  <c r="D129" i="63"/>
  <c r="E129" i="63"/>
  <c r="F129" i="63"/>
  <c r="G129" i="63"/>
  <c r="H129" i="63"/>
  <c r="I129" i="63"/>
  <c r="J129" i="63"/>
  <c r="K129" i="63"/>
  <c r="L129" i="63"/>
  <c r="M129" i="63"/>
  <c r="N129" i="63"/>
  <c r="O129" i="63"/>
  <c r="P129" i="63"/>
  <c r="B130" i="63"/>
  <c r="C130" i="63"/>
  <c r="D130" i="63"/>
  <c r="E130" i="63"/>
  <c r="F130" i="63"/>
  <c r="G130" i="63"/>
  <c r="H130" i="63"/>
  <c r="I130" i="63"/>
  <c r="J130" i="63"/>
  <c r="K130" i="63"/>
  <c r="L130" i="63"/>
  <c r="M130" i="63"/>
  <c r="N130" i="63"/>
  <c r="O130" i="63"/>
  <c r="P130" i="63"/>
  <c r="B131" i="63"/>
  <c r="C131" i="63"/>
  <c r="D131" i="63"/>
  <c r="E131" i="63"/>
  <c r="F131" i="63"/>
  <c r="G131" i="63"/>
  <c r="H131" i="63"/>
  <c r="I131" i="63"/>
  <c r="J131" i="63"/>
  <c r="K131" i="63"/>
  <c r="L131" i="63"/>
  <c r="M131" i="63"/>
  <c r="N131" i="63"/>
  <c r="O131" i="63"/>
  <c r="P131" i="63"/>
  <c r="B132" i="63"/>
  <c r="C132" i="63"/>
  <c r="D132" i="63"/>
  <c r="E132" i="63"/>
  <c r="F132" i="63"/>
  <c r="G132" i="63"/>
  <c r="H132" i="63"/>
  <c r="I132" i="63"/>
  <c r="J132" i="63"/>
  <c r="K132" i="63"/>
  <c r="L132" i="63"/>
  <c r="M132" i="63"/>
  <c r="N132" i="63"/>
  <c r="O132" i="63"/>
  <c r="P132" i="63"/>
  <c r="B133" i="63"/>
  <c r="C133" i="63"/>
  <c r="D133" i="63"/>
  <c r="E133" i="63"/>
  <c r="F133" i="63"/>
  <c r="G133" i="63"/>
  <c r="H133" i="63"/>
  <c r="I133" i="63"/>
  <c r="J133" i="63"/>
  <c r="K133" i="63"/>
  <c r="L133" i="63"/>
  <c r="M133" i="63"/>
  <c r="N133" i="63"/>
  <c r="O133" i="63"/>
  <c r="P133" i="63"/>
  <c r="B134" i="63"/>
  <c r="C134" i="63"/>
  <c r="D134" i="63"/>
  <c r="E134" i="63"/>
  <c r="F134" i="63"/>
  <c r="G134" i="63"/>
  <c r="H134" i="63"/>
  <c r="I134" i="63"/>
  <c r="J134" i="63"/>
  <c r="K134" i="63"/>
  <c r="L134" i="63"/>
  <c r="M134" i="63"/>
  <c r="N134" i="63"/>
  <c r="O134" i="63"/>
  <c r="P134" i="63"/>
  <c r="B135" i="63"/>
  <c r="C135" i="63"/>
  <c r="D135" i="63"/>
  <c r="E135" i="63"/>
  <c r="F135" i="63"/>
  <c r="G135" i="63"/>
  <c r="H135" i="63"/>
  <c r="I135" i="63"/>
  <c r="J135" i="63"/>
  <c r="K135" i="63"/>
  <c r="L135" i="63"/>
  <c r="M135" i="63"/>
  <c r="N135" i="63"/>
  <c r="O135" i="63"/>
  <c r="P135" i="63"/>
  <c r="B136" i="63"/>
  <c r="C136" i="63"/>
  <c r="D136" i="63"/>
  <c r="E136" i="63"/>
  <c r="F136" i="63"/>
  <c r="G136" i="63"/>
  <c r="H136" i="63"/>
  <c r="I136" i="63"/>
  <c r="J136" i="63"/>
  <c r="K136" i="63"/>
  <c r="L136" i="63"/>
  <c r="M136" i="63"/>
  <c r="N136" i="63"/>
  <c r="O136" i="63"/>
  <c r="P136" i="63"/>
  <c r="B137" i="63"/>
  <c r="C137" i="63"/>
  <c r="D137" i="63"/>
  <c r="E137" i="63"/>
  <c r="F137" i="63"/>
  <c r="G137" i="63"/>
  <c r="H137" i="63"/>
  <c r="I137" i="63"/>
  <c r="J137" i="63"/>
  <c r="K137" i="63"/>
  <c r="L137" i="63"/>
  <c r="M137" i="63"/>
  <c r="N137" i="63"/>
  <c r="O137" i="63"/>
  <c r="P137" i="63"/>
  <c r="B138" i="63"/>
  <c r="C138" i="63"/>
  <c r="D138" i="63"/>
  <c r="E138" i="63"/>
  <c r="F138" i="63"/>
  <c r="G138" i="63"/>
  <c r="H138" i="63"/>
  <c r="I138" i="63"/>
  <c r="J138" i="63"/>
  <c r="K138" i="63"/>
  <c r="L138" i="63"/>
  <c r="M138" i="63"/>
  <c r="N138" i="63"/>
  <c r="O138" i="63"/>
  <c r="P138" i="63"/>
  <c r="B139" i="63"/>
  <c r="C139" i="63"/>
  <c r="D139" i="63"/>
  <c r="E139" i="63"/>
  <c r="F139" i="63"/>
  <c r="G139" i="63"/>
  <c r="H139" i="63"/>
  <c r="I139" i="63"/>
  <c r="J139" i="63"/>
  <c r="K139" i="63"/>
  <c r="L139" i="63"/>
  <c r="M139" i="63"/>
  <c r="N139" i="63"/>
  <c r="O139" i="63"/>
  <c r="P139" i="63"/>
  <c r="B140" i="63"/>
  <c r="C140" i="63"/>
  <c r="D140" i="63"/>
  <c r="E140" i="63"/>
  <c r="F140" i="63"/>
  <c r="G140" i="63"/>
  <c r="H140" i="63"/>
  <c r="I140" i="63"/>
  <c r="J140" i="63"/>
  <c r="K140" i="63"/>
  <c r="L140" i="63"/>
  <c r="M140" i="63"/>
  <c r="N140" i="63"/>
  <c r="O140" i="63"/>
  <c r="P140" i="63"/>
  <c r="B141" i="63"/>
  <c r="C141" i="63"/>
  <c r="D141" i="63"/>
  <c r="E141" i="63"/>
  <c r="F141" i="63"/>
  <c r="G141" i="63"/>
  <c r="H141" i="63"/>
  <c r="I141" i="63"/>
  <c r="J141" i="63"/>
  <c r="K141" i="63"/>
  <c r="L141" i="63"/>
  <c r="M141" i="63"/>
  <c r="N141" i="63"/>
  <c r="O141" i="63"/>
  <c r="P141" i="63"/>
  <c r="B142" i="63"/>
  <c r="C142" i="63"/>
  <c r="D142" i="63"/>
  <c r="E142" i="63"/>
  <c r="F142" i="63"/>
  <c r="G142" i="63"/>
  <c r="H142" i="63"/>
  <c r="I142" i="63"/>
  <c r="J142" i="63"/>
  <c r="K142" i="63"/>
  <c r="L142" i="63"/>
  <c r="M142" i="63"/>
  <c r="N142" i="63"/>
  <c r="O142" i="63"/>
  <c r="P142" i="63"/>
  <c r="B143" i="63"/>
  <c r="C143" i="63"/>
  <c r="D143" i="63"/>
  <c r="E143" i="63"/>
  <c r="F143" i="63"/>
  <c r="G143" i="63"/>
  <c r="H143" i="63"/>
  <c r="I143" i="63"/>
  <c r="J143" i="63"/>
  <c r="K143" i="63"/>
  <c r="L143" i="63"/>
  <c r="M143" i="63"/>
  <c r="N143" i="63"/>
  <c r="O143" i="63"/>
  <c r="P143" i="63"/>
  <c r="B144" i="63"/>
  <c r="C144" i="63"/>
  <c r="D144" i="63"/>
  <c r="E144" i="63"/>
  <c r="F144" i="63"/>
  <c r="G144" i="63"/>
  <c r="H144" i="63"/>
  <c r="I144" i="63"/>
  <c r="J144" i="63"/>
  <c r="K144" i="63"/>
  <c r="L144" i="63"/>
  <c r="M144" i="63"/>
  <c r="N144" i="63"/>
  <c r="O144" i="63"/>
  <c r="P144" i="63"/>
  <c r="B145" i="63"/>
  <c r="C145" i="63"/>
  <c r="D145" i="63"/>
  <c r="E145" i="63"/>
  <c r="F145" i="63"/>
  <c r="G145" i="63"/>
  <c r="H145" i="63"/>
  <c r="I145" i="63"/>
  <c r="J145" i="63"/>
  <c r="K145" i="63"/>
  <c r="L145" i="63"/>
  <c r="M145" i="63"/>
  <c r="N145" i="63"/>
  <c r="O145" i="63"/>
  <c r="P145" i="63"/>
  <c r="B146" i="63"/>
  <c r="C146" i="63"/>
  <c r="D146" i="63"/>
  <c r="E146" i="63"/>
  <c r="F146" i="63"/>
  <c r="G146" i="63"/>
  <c r="H146" i="63"/>
  <c r="I146" i="63"/>
  <c r="J146" i="63"/>
  <c r="K146" i="63"/>
  <c r="L146" i="63"/>
  <c r="M146" i="63"/>
  <c r="N146" i="63"/>
  <c r="O146" i="63"/>
  <c r="P146" i="63"/>
  <c r="B147" i="63"/>
  <c r="C147" i="63"/>
  <c r="D147" i="63"/>
  <c r="E147" i="63"/>
  <c r="F147" i="63"/>
  <c r="G147" i="63"/>
  <c r="H147" i="63"/>
  <c r="I147" i="63"/>
  <c r="J147" i="63"/>
  <c r="K147" i="63"/>
  <c r="L147" i="63"/>
  <c r="M147" i="63"/>
  <c r="N147" i="63"/>
  <c r="O147" i="63"/>
  <c r="P147" i="63"/>
  <c r="B148" i="63"/>
  <c r="C148" i="63"/>
  <c r="D148" i="63"/>
  <c r="E148" i="63"/>
  <c r="F148" i="63"/>
  <c r="G148" i="63"/>
  <c r="H148" i="63"/>
  <c r="I148" i="63"/>
  <c r="J148" i="63"/>
  <c r="K148" i="63"/>
  <c r="L148" i="63"/>
  <c r="M148" i="63"/>
  <c r="N148" i="63"/>
  <c r="O148" i="63"/>
  <c r="P148" i="63"/>
  <c r="B149" i="63"/>
  <c r="C149" i="63"/>
  <c r="D149" i="63"/>
  <c r="E149" i="63"/>
  <c r="F149" i="63"/>
  <c r="G149" i="63"/>
  <c r="H149" i="63"/>
  <c r="I149" i="63"/>
  <c r="J149" i="63"/>
  <c r="K149" i="63"/>
  <c r="L149" i="63"/>
  <c r="M149" i="63"/>
  <c r="N149" i="63"/>
  <c r="O149" i="63"/>
  <c r="P149" i="63"/>
  <c r="B150" i="63"/>
  <c r="C150" i="63"/>
  <c r="D150" i="63"/>
  <c r="E150" i="63"/>
  <c r="F150" i="63"/>
  <c r="G150" i="63"/>
  <c r="H150" i="63"/>
  <c r="I150" i="63"/>
  <c r="J150" i="63"/>
  <c r="K150" i="63"/>
  <c r="L150" i="63"/>
  <c r="M150" i="63"/>
  <c r="N150" i="63"/>
  <c r="O150" i="63"/>
  <c r="P150" i="63"/>
  <c r="B151" i="63"/>
  <c r="C151" i="63"/>
  <c r="D151" i="63"/>
  <c r="E151" i="63"/>
  <c r="F151" i="63"/>
  <c r="G151" i="63"/>
  <c r="H151" i="63"/>
  <c r="I151" i="63"/>
  <c r="J151" i="63"/>
  <c r="K151" i="63"/>
  <c r="L151" i="63"/>
  <c r="M151" i="63"/>
  <c r="N151" i="63"/>
  <c r="O151" i="63"/>
  <c r="P151" i="63"/>
  <c r="B152" i="63"/>
  <c r="C152" i="63"/>
  <c r="D152" i="63"/>
  <c r="E152" i="63"/>
  <c r="F152" i="63"/>
  <c r="G152" i="63"/>
  <c r="H152" i="63"/>
  <c r="I152" i="63"/>
  <c r="J152" i="63"/>
  <c r="K152" i="63"/>
  <c r="L152" i="63"/>
  <c r="M152" i="63"/>
  <c r="N152" i="63"/>
  <c r="O152" i="63"/>
  <c r="P152" i="63"/>
  <c r="B153" i="63"/>
  <c r="C153" i="63"/>
  <c r="D153" i="63"/>
  <c r="E153" i="63"/>
  <c r="F153" i="63"/>
  <c r="G153" i="63"/>
  <c r="H153" i="63"/>
  <c r="I153" i="63"/>
  <c r="J153" i="63"/>
  <c r="K153" i="63"/>
  <c r="L153" i="63"/>
  <c r="M153" i="63"/>
  <c r="N153" i="63"/>
  <c r="O153" i="63"/>
  <c r="P153" i="63"/>
  <c r="B154" i="63"/>
  <c r="C154" i="63"/>
  <c r="D154" i="63"/>
  <c r="E154" i="63"/>
  <c r="F154" i="63"/>
  <c r="G154" i="63"/>
  <c r="H154" i="63"/>
  <c r="I154" i="63"/>
  <c r="J154" i="63"/>
  <c r="K154" i="63"/>
  <c r="L154" i="63"/>
  <c r="M154" i="63"/>
  <c r="N154" i="63"/>
  <c r="O154" i="63"/>
  <c r="P154" i="63"/>
  <c r="B155" i="63"/>
  <c r="C155" i="63"/>
  <c r="D155" i="63"/>
  <c r="E155" i="63"/>
  <c r="F155" i="63"/>
  <c r="G155" i="63"/>
  <c r="H155" i="63"/>
  <c r="I155" i="63"/>
  <c r="J155" i="63"/>
  <c r="K155" i="63"/>
  <c r="L155" i="63"/>
  <c r="M155" i="63"/>
  <c r="N155" i="63"/>
  <c r="O155" i="63"/>
  <c r="P155" i="63"/>
  <c r="B156" i="63"/>
  <c r="C156" i="63"/>
  <c r="D156" i="63"/>
  <c r="E156" i="63"/>
  <c r="F156" i="63"/>
  <c r="G156" i="63"/>
  <c r="H156" i="63"/>
  <c r="I156" i="63"/>
  <c r="J156" i="63"/>
  <c r="K156" i="63"/>
  <c r="L156" i="63"/>
  <c r="M156" i="63"/>
  <c r="N156" i="63"/>
  <c r="O156" i="63"/>
  <c r="P156" i="63"/>
  <c r="B157" i="63"/>
  <c r="C157" i="63"/>
  <c r="D157" i="63"/>
  <c r="E157" i="63"/>
  <c r="F157" i="63"/>
  <c r="G157" i="63"/>
  <c r="H157" i="63"/>
  <c r="I157" i="63"/>
  <c r="J157" i="63"/>
  <c r="K157" i="63"/>
  <c r="L157" i="63"/>
  <c r="M157" i="63"/>
  <c r="N157" i="63"/>
  <c r="O157" i="63"/>
  <c r="P157" i="63"/>
  <c r="B158" i="63"/>
  <c r="C158" i="63"/>
  <c r="D158" i="63"/>
  <c r="E158" i="63"/>
  <c r="F158" i="63"/>
  <c r="G158" i="63"/>
  <c r="H158" i="63"/>
  <c r="I158" i="63"/>
  <c r="J158" i="63"/>
  <c r="K158" i="63"/>
  <c r="L158" i="63"/>
  <c r="M158" i="63"/>
  <c r="N158" i="63"/>
  <c r="O158" i="63"/>
  <c r="P158" i="63"/>
  <c r="B159" i="63"/>
  <c r="C159" i="63"/>
  <c r="D159" i="63"/>
  <c r="E159" i="63"/>
  <c r="F159" i="63"/>
  <c r="G159" i="63"/>
  <c r="H159" i="63"/>
  <c r="I159" i="63"/>
  <c r="J159" i="63"/>
  <c r="K159" i="63"/>
  <c r="L159" i="63"/>
  <c r="M159" i="63"/>
  <c r="N159" i="63"/>
  <c r="O159" i="63"/>
  <c r="P159" i="63"/>
  <c r="B160" i="63"/>
  <c r="C160" i="63"/>
  <c r="D160" i="63"/>
  <c r="E160" i="63"/>
  <c r="F160" i="63"/>
  <c r="G160" i="63"/>
  <c r="H160" i="63"/>
  <c r="I160" i="63"/>
  <c r="J160" i="63"/>
  <c r="K160" i="63"/>
  <c r="L160" i="63"/>
  <c r="M160" i="63"/>
  <c r="N160" i="63"/>
  <c r="O160" i="63"/>
  <c r="P160" i="63"/>
  <c r="B161" i="63"/>
  <c r="C161" i="63"/>
  <c r="D161" i="63"/>
  <c r="E161" i="63"/>
  <c r="F161" i="63"/>
  <c r="G161" i="63"/>
  <c r="H161" i="63"/>
  <c r="I161" i="63"/>
  <c r="J161" i="63"/>
  <c r="K161" i="63"/>
  <c r="L161" i="63"/>
  <c r="M161" i="63"/>
  <c r="N161" i="63"/>
  <c r="O161" i="63"/>
  <c r="P161" i="63"/>
  <c r="B162" i="63"/>
  <c r="C162" i="63"/>
  <c r="D162" i="63"/>
  <c r="E162" i="63"/>
  <c r="F162" i="63"/>
  <c r="G162" i="63"/>
  <c r="H162" i="63"/>
  <c r="I162" i="63"/>
  <c r="J162" i="63"/>
  <c r="K162" i="63"/>
  <c r="L162" i="63"/>
  <c r="M162" i="63"/>
  <c r="N162" i="63"/>
  <c r="O162" i="63"/>
  <c r="P162" i="63"/>
  <c r="B163" i="63"/>
  <c r="C163" i="63"/>
  <c r="D163" i="63"/>
  <c r="E163" i="63"/>
  <c r="F163" i="63"/>
  <c r="G163" i="63"/>
  <c r="H163" i="63"/>
  <c r="I163" i="63"/>
  <c r="J163" i="63"/>
  <c r="K163" i="63"/>
  <c r="L163" i="63"/>
  <c r="M163" i="63"/>
  <c r="N163" i="63"/>
  <c r="O163" i="63"/>
  <c r="P163" i="63"/>
  <c r="B164" i="63"/>
  <c r="C164" i="63"/>
  <c r="D164" i="63"/>
  <c r="E164" i="63"/>
  <c r="F164" i="63"/>
  <c r="G164" i="63"/>
  <c r="H164" i="63"/>
  <c r="I164" i="63"/>
  <c r="J164" i="63"/>
  <c r="K164" i="63"/>
  <c r="L164" i="63"/>
  <c r="M164" i="63"/>
  <c r="N164" i="63"/>
  <c r="O164" i="63"/>
  <c r="P164" i="63"/>
  <c r="B165" i="63"/>
  <c r="C165" i="63"/>
  <c r="D165" i="63"/>
  <c r="E165" i="63"/>
  <c r="F165" i="63"/>
  <c r="G165" i="63"/>
  <c r="H165" i="63"/>
  <c r="I165" i="63"/>
  <c r="J165" i="63"/>
  <c r="K165" i="63"/>
  <c r="L165" i="63"/>
  <c r="M165" i="63"/>
  <c r="N165" i="63"/>
  <c r="O165" i="63"/>
  <c r="P165" i="63"/>
  <c r="B166" i="63"/>
  <c r="C166" i="63"/>
  <c r="D166" i="63"/>
  <c r="E166" i="63"/>
  <c r="F166" i="63"/>
  <c r="G166" i="63"/>
  <c r="H166" i="63"/>
  <c r="I166" i="63"/>
  <c r="J166" i="63"/>
  <c r="K166" i="63"/>
  <c r="L166" i="63"/>
  <c r="M166" i="63"/>
  <c r="N166" i="63"/>
  <c r="O166" i="63"/>
  <c r="P166" i="63"/>
  <c r="B167" i="63"/>
  <c r="C167" i="63"/>
  <c r="D167" i="63"/>
  <c r="E167" i="63"/>
  <c r="F167" i="63"/>
  <c r="G167" i="63"/>
  <c r="H167" i="63"/>
  <c r="I167" i="63"/>
  <c r="J167" i="63"/>
  <c r="K167" i="63"/>
  <c r="L167" i="63"/>
  <c r="M167" i="63"/>
  <c r="N167" i="63"/>
  <c r="O167" i="63"/>
  <c r="P167" i="63"/>
  <c r="B168" i="63"/>
  <c r="C168" i="63"/>
  <c r="D168" i="63"/>
  <c r="E168" i="63"/>
  <c r="F168" i="63"/>
  <c r="G168" i="63"/>
  <c r="H168" i="63"/>
  <c r="I168" i="63"/>
  <c r="J168" i="63"/>
  <c r="K168" i="63"/>
  <c r="L168" i="63"/>
  <c r="M168" i="63"/>
  <c r="N168" i="63"/>
  <c r="O168" i="63"/>
  <c r="P168" i="63"/>
  <c r="B169" i="63"/>
  <c r="C169" i="63"/>
  <c r="D169" i="63"/>
  <c r="E169" i="63"/>
  <c r="F169" i="63"/>
  <c r="G169" i="63"/>
  <c r="H169" i="63"/>
  <c r="I169" i="63"/>
  <c r="J169" i="63"/>
  <c r="K169" i="63"/>
  <c r="L169" i="63"/>
  <c r="M169" i="63"/>
  <c r="N169" i="63"/>
  <c r="O169" i="63"/>
  <c r="P169" i="63"/>
  <c r="B170" i="63"/>
  <c r="C170" i="63"/>
  <c r="D170" i="63"/>
  <c r="E170" i="63"/>
  <c r="F170" i="63"/>
  <c r="G170" i="63"/>
  <c r="H170" i="63"/>
  <c r="I170" i="63"/>
  <c r="J170" i="63"/>
  <c r="K170" i="63"/>
  <c r="L170" i="63"/>
  <c r="M170" i="63"/>
  <c r="N170" i="63"/>
  <c r="O170" i="63"/>
  <c r="P170" i="63"/>
  <c r="B171" i="63"/>
  <c r="C171" i="63"/>
  <c r="D171" i="63"/>
  <c r="E171" i="63"/>
  <c r="F171" i="63"/>
  <c r="G171" i="63"/>
  <c r="H171" i="63"/>
  <c r="I171" i="63"/>
  <c r="J171" i="63"/>
  <c r="K171" i="63"/>
  <c r="L171" i="63"/>
  <c r="M171" i="63"/>
  <c r="N171" i="63"/>
  <c r="O171" i="63"/>
  <c r="P171" i="63"/>
  <c r="B172" i="63"/>
  <c r="C172" i="63"/>
  <c r="D172" i="63"/>
  <c r="E172" i="63"/>
  <c r="F172" i="63"/>
  <c r="G172" i="63"/>
  <c r="H172" i="63"/>
  <c r="I172" i="63"/>
  <c r="J172" i="63"/>
  <c r="K172" i="63"/>
  <c r="L172" i="63"/>
  <c r="M172" i="63"/>
  <c r="N172" i="63"/>
  <c r="O172" i="63"/>
  <c r="P172" i="63"/>
  <c r="B173" i="63"/>
  <c r="C173" i="63"/>
  <c r="D173" i="63"/>
  <c r="E173" i="63"/>
  <c r="F173" i="63"/>
  <c r="G173" i="63"/>
  <c r="H173" i="63"/>
  <c r="I173" i="63"/>
  <c r="J173" i="63"/>
  <c r="K173" i="63"/>
  <c r="L173" i="63"/>
  <c r="M173" i="63"/>
  <c r="N173" i="63"/>
  <c r="O173" i="63"/>
  <c r="P173" i="63"/>
  <c r="B174" i="63"/>
  <c r="C174" i="63"/>
  <c r="D174" i="63"/>
  <c r="E174" i="63"/>
  <c r="F174" i="63"/>
  <c r="G174" i="63"/>
  <c r="H174" i="63"/>
  <c r="I174" i="63"/>
  <c r="J174" i="63"/>
  <c r="K174" i="63"/>
  <c r="L174" i="63"/>
  <c r="M174" i="63"/>
  <c r="N174" i="63"/>
  <c r="O174" i="63"/>
  <c r="P174" i="63"/>
  <c r="B175" i="63"/>
  <c r="C175" i="63"/>
  <c r="D175" i="63"/>
  <c r="E175" i="63"/>
  <c r="F175" i="63"/>
  <c r="G175" i="63"/>
  <c r="H175" i="63"/>
  <c r="I175" i="63"/>
  <c r="J175" i="63"/>
  <c r="K175" i="63"/>
  <c r="L175" i="63"/>
  <c r="M175" i="63"/>
  <c r="N175" i="63"/>
  <c r="O175" i="63"/>
  <c r="P175" i="63"/>
  <c r="B176" i="63"/>
  <c r="C176" i="63"/>
  <c r="D176" i="63"/>
  <c r="E176" i="63"/>
  <c r="F176" i="63"/>
  <c r="G176" i="63"/>
  <c r="H176" i="63"/>
  <c r="I176" i="63"/>
  <c r="J176" i="63"/>
  <c r="K176" i="63"/>
  <c r="L176" i="63"/>
  <c r="M176" i="63"/>
  <c r="N176" i="63"/>
  <c r="O176" i="63"/>
  <c r="P176" i="63"/>
  <c r="B177" i="63"/>
  <c r="C177" i="63"/>
  <c r="D177" i="63"/>
  <c r="E177" i="63"/>
  <c r="F177" i="63"/>
  <c r="G177" i="63"/>
  <c r="H177" i="63"/>
  <c r="I177" i="63"/>
  <c r="J177" i="63"/>
  <c r="K177" i="63"/>
  <c r="L177" i="63"/>
  <c r="M177" i="63"/>
  <c r="N177" i="63"/>
  <c r="O177" i="63"/>
  <c r="P177" i="63"/>
  <c r="B178" i="63"/>
  <c r="C178" i="63"/>
  <c r="D178" i="63"/>
  <c r="E178" i="63"/>
  <c r="F178" i="63"/>
  <c r="G178" i="63"/>
  <c r="H178" i="63"/>
  <c r="I178" i="63"/>
  <c r="J178" i="63"/>
  <c r="K178" i="63"/>
  <c r="L178" i="63"/>
  <c r="M178" i="63"/>
  <c r="N178" i="63"/>
  <c r="O178" i="63"/>
  <c r="P178" i="63"/>
  <c r="B179" i="63"/>
  <c r="C179" i="63"/>
  <c r="D179" i="63"/>
  <c r="E179" i="63"/>
  <c r="F179" i="63"/>
  <c r="G179" i="63"/>
  <c r="H179" i="63"/>
  <c r="I179" i="63"/>
  <c r="J179" i="63"/>
  <c r="K179" i="63"/>
  <c r="L179" i="63"/>
  <c r="M179" i="63"/>
  <c r="N179" i="63"/>
  <c r="O179" i="63"/>
  <c r="P179" i="63"/>
  <c r="B180" i="63"/>
  <c r="C180" i="63"/>
  <c r="D180" i="63"/>
  <c r="E180" i="63"/>
  <c r="F180" i="63"/>
  <c r="G180" i="63"/>
  <c r="H180" i="63"/>
  <c r="I180" i="63"/>
  <c r="J180" i="63"/>
  <c r="K180" i="63"/>
  <c r="L180" i="63"/>
  <c r="M180" i="63"/>
  <c r="N180" i="63"/>
  <c r="O180" i="63"/>
  <c r="P180" i="63"/>
  <c r="B181" i="63"/>
  <c r="C181" i="63"/>
  <c r="D181" i="63"/>
  <c r="E181" i="63"/>
  <c r="F181" i="63"/>
  <c r="G181" i="63"/>
  <c r="H181" i="63"/>
  <c r="I181" i="63"/>
  <c r="J181" i="63"/>
  <c r="K181" i="63"/>
  <c r="L181" i="63"/>
  <c r="M181" i="63"/>
  <c r="N181" i="63"/>
  <c r="O181" i="63"/>
  <c r="P181" i="63"/>
  <c r="B182" i="63"/>
  <c r="C182" i="63"/>
  <c r="D182" i="63"/>
  <c r="E182" i="63"/>
  <c r="F182" i="63"/>
  <c r="G182" i="63"/>
  <c r="H182" i="63"/>
  <c r="I182" i="63"/>
  <c r="J182" i="63"/>
  <c r="K182" i="63"/>
  <c r="L182" i="63"/>
  <c r="M182" i="63"/>
  <c r="N182" i="63"/>
  <c r="O182" i="63"/>
  <c r="P182" i="63"/>
  <c r="B183" i="63"/>
  <c r="C183" i="63"/>
  <c r="D183" i="63"/>
  <c r="E183" i="63"/>
  <c r="F183" i="63"/>
  <c r="G183" i="63"/>
  <c r="H183" i="63"/>
  <c r="I183" i="63"/>
  <c r="J183" i="63"/>
  <c r="K183" i="63"/>
  <c r="L183" i="63"/>
  <c r="M183" i="63"/>
  <c r="N183" i="63"/>
  <c r="O183" i="63"/>
  <c r="P183" i="63"/>
  <c r="B184" i="63"/>
  <c r="C184" i="63"/>
  <c r="D184" i="63"/>
  <c r="E184" i="63"/>
  <c r="F184" i="63"/>
  <c r="G184" i="63"/>
  <c r="H184" i="63"/>
  <c r="I184" i="63"/>
  <c r="J184" i="63"/>
  <c r="K184" i="63"/>
  <c r="L184" i="63"/>
  <c r="M184" i="63"/>
  <c r="N184" i="63"/>
  <c r="O184" i="63"/>
  <c r="P184" i="63"/>
  <c r="B185" i="63"/>
  <c r="C185" i="63"/>
  <c r="D185" i="63"/>
  <c r="E185" i="63"/>
  <c r="F185" i="63"/>
  <c r="G185" i="63"/>
  <c r="H185" i="63"/>
  <c r="I185" i="63"/>
  <c r="J185" i="63"/>
  <c r="K185" i="63"/>
  <c r="L185" i="63"/>
  <c r="M185" i="63"/>
  <c r="N185" i="63"/>
  <c r="O185" i="63"/>
  <c r="P185" i="63"/>
  <c r="B186" i="63"/>
  <c r="C186" i="63"/>
  <c r="D186" i="63"/>
  <c r="E186" i="63"/>
  <c r="F186" i="63"/>
  <c r="G186" i="63"/>
  <c r="H186" i="63"/>
  <c r="I186" i="63"/>
  <c r="J186" i="63"/>
  <c r="K186" i="63"/>
  <c r="L186" i="63"/>
  <c r="M186" i="63"/>
  <c r="N186" i="63"/>
  <c r="O186" i="63"/>
  <c r="P186" i="63"/>
  <c r="B187" i="63"/>
  <c r="C187" i="63"/>
  <c r="D187" i="63"/>
  <c r="E187" i="63"/>
  <c r="F187" i="63"/>
  <c r="G187" i="63"/>
  <c r="H187" i="63"/>
  <c r="I187" i="63"/>
  <c r="J187" i="63"/>
  <c r="K187" i="63"/>
  <c r="L187" i="63"/>
  <c r="M187" i="63"/>
  <c r="N187" i="63"/>
  <c r="O187" i="63"/>
  <c r="P187" i="63"/>
  <c r="B188" i="63"/>
  <c r="C188" i="63"/>
  <c r="D188" i="63"/>
  <c r="E188" i="63"/>
  <c r="F188" i="63"/>
  <c r="G188" i="63"/>
  <c r="H188" i="63"/>
  <c r="I188" i="63"/>
  <c r="J188" i="63"/>
  <c r="K188" i="63"/>
  <c r="L188" i="63"/>
  <c r="M188" i="63"/>
  <c r="N188" i="63"/>
  <c r="O188" i="63"/>
  <c r="P188" i="63"/>
  <c r="B189" i="63"/>
  <c r="C189" i="63"/>
  <c r="D189" i="63"/>
  <c r="E189" i="63"/>
  <c r="F189" i="63"/>
  <c r="G189" i="63"/>
  <c r="H189" i="63"/>
  <c r="I189" i="63"/>
  <c r="J189" i="63"/>
  <c r="K189" i="63"/>
  <c r="L189" i="63"/>
  <c r="M189" i="63"/>
  <c r="N189" i="63"/>
  <c r="O189" i="63"/>
  <c r="P189" i="63"/>
  <c r="B190" i="63"/>
  <c r="C190" i="63"/>
  <c r="D190" i="63"/>
  <c r="E190" i="63"/>
  <c r="F190" i="63"/>
  <c r="G190" i="63"/>
  <c r="H190" i="63"/>
  <c r="I190" i="63"/>
  <c r="J190" i="63"/>
  <c r="K190" i="63"/>
  <c r="L190" i="63"/>
  <c r="M190" i="63"/>
  <c r="N190" i="63"/>
  <c r="O190" i="63"/>
  <c r="P190" i="63"/>
  <c r="B191" i="63"/>
  <c r="C191" i="63"/>
  <c r="D191" i="63"/>
  <c r="E191" i="63"/>
  <c r="F191" i="63"/>
  <c r="G191" i="63"/>
  <c r="H191" i="63"/>
  <c r="I191" i="63"/>
  <c r="J191" i="63"/>
  <c r="K191" i="63"/>
  <c r="L191" i="63"/>
  <c r="M191" i="63"/>
  <c r="N191" i="63"/>
  <c r="O191" i="63"/>
  <c r="P191" i="63"/>
  <c r="B192" i="63"/>
  <c r="C192" i="63"/>
  <c r="D192" i="63"/>
  <c r="E192" i="63"/>
  <c r="F192" i="63"/>
  <c r="G192" i="63"/>
  <c r="H192" i="63"/>
  <c r="I192" i="63"/>
  <c r="J192" i="63"/>
  <c r="K192" i="63"/>
  <c r="L192" i="63"/>
  <c r="M192" i="63"/>
  <c r="N192" i="63"/>
  <c r="O192" i="63"/>
  <c r="P192" i="63"/>
  <c r="B193" i="63"/>
  <c r="C193" i="63"/>
  <c r="D193" i="63"/>
  <c r="E193" i="63"/>
  <c r="F193" i="63"/>
  <c r="G193" i="63"/>
  <c r="H193" i="63"/>
  <c r="I193" i="63"/>
  <c r="J193" i="63"/>
  <c r="K193" i="63"/>
  <c r="L193" i="63"/>
  <c r="M193" i="63"/>
  <c r="N193" i="63"/>
  <c r="O193" i="63"/>
  <c r="P193" i="63"/>
  <c r="B194" i="63"/>
  <c r="C194" i="63"/>
  <c r="D194" i="63"/>
  <c r="E194" i="63"/>
  <c r="F194" i="63"/>
  <c r="G194" i="63"/>
  <c r="H194" i="63"/>
  <c r="I194" i="63"/>
  <c r="J194" i="63"/>
  <c r="K194" i="63"/>
  <c r="L194" i="63"/>
  <c r="M194" i="63"/>
  <c r="N194" i="63"/>
  <c r="O194" i="63"/>
  <c r="P194" i="63"/>
  <c r="B195" i="63"/>
  <c r="C195" i="63"/>
  <c r="D195" i="63"/>
  <c r="E195" i="63"/>
  <c r="F195" i="63"/>
  <c r="G195" i="63"/>
  <c r="H195" i="63"/>
  <c r="I195" i="63"/>
  <c r="J195" i="63"/>
  <c r="K195" i="63"/>
  <c r="L195" i="63"/>
  <c r="M195" i="63"/>
  <c r="N195" i="63"/>
  <c r="O195" i="63"/>
  <c r="P195" i="63"/>
  <c r="B196" i="63"/>
  <c r="C196" i="63"/>
  <c r="D196" i="63"/>
  <c r="E196" i="63"/>
  <c r="F196" i="63"/>
  <c r="G196" i="63"/>
  <c r="H196" i="63"/>
  <c r="I196" i="63"/>
  <c r="J196" i="63"/>
  <c r="K196" i="63"/>
  <c r="L196" i="63"/>
  <c r="M196" i="63"/>
  <c r="N196" i="63"/>
  <c r="O196" i="63"/>
  <c r="P196" i="63"/>
  <c r="B197" i="63"/>
  <c r="C197" i="63"/>
  <c r="D197" i="63"/>
  <c r="E197" i="63"/>
  <c r="F197" i="63"/>
  <c r="G197" i="63"/>
  <c r="H197" i="63"/>
  <c r="I197" i="63"/>
  <c r="J197" i="63"/>
  <c r="K197" i="63"/>
  <c r="L197" i="63"/>
  <c r="M197" i="63"/>
  <c r="N197" i="63"/>
  <c r="O197" i="63"/>
  <c r="P197" i="63"/>
  <c r="B198" i="63"/>
  <c r="C198" i="63"/>
  <c r="D198" i="63"/>
  <c r="E198" i="63"/>
  <c r="F198" i="63"/>
  <c r="G198" i="63"/>
  <c r="H198" i="63"/>
  <c r="I198" i="63"/>
  <c r="J198" i="63"/>
  <c r="K198" i="63"/>
  <c r="L198" i="63"/>
  <c r="M198" i="63"/>
  <c r="N198" i="63"/>
  <c r="O198" i="63"/>
  <c r="P198" i="63"/>
  <c r="B199" i="63"/>
  <c r="C199" i="63"/>
  <c r="D199" i="63"/>
  <c r="E199" i="63"/>
  <c r="F199" i="63"/>
  <c r="G199" i="63"/>
  <c r="H199" i="63"/>
  <c r="I199" i="63"/>
  <c r="J199" i="63"/>
  <c r="K199" i="63"/>
  <c r="L199" i="63"/>
  <c r="M199" i="63"/>
  <c r="N199" i="63"/>
  <c r="O199" i="63"/>
  <c r="P199" i="63"/>
  <c r="B200" i="63"/>
  <c r="C200" i="63"/>
  <c r="D200" i="63"/>
  <c r="E200" i="63"/>
  <c r="F200" i="63"/>
  <c r="G200" i="63"/>
  <c r="H200" i="63"/>
  <c r="I200" i="63"/>
  <c r="J200" i="63"/>
  <c r="K200" i="63"/>
  <c r="L200" i="63"/>
  <c r="M200" i="63"/>
  <c r="N200" i="63"/>
  <c r="O200" i="63"/>
  <c r="P200" i="63"/>
  <c r="B201" i="63"/>
  <c r="C201" i="63"/>
  <c r="D201" i="63"/>
  <c r="E201" i="63"/>
  <c r="F201" i="63"/>
  <c r="G201" i="63"/>
  <c r="H201" i="63"/>
  <c r="I201" i="63"/>
  <c r="J201" i="63"/>
  <c r="K201" i="63"/>
  <c r="L201" i="63"/>
  <c r="M201" i="63"/>
  <c r="N201" i="63"/>
  <c r="O201" i="63"/>
  <c r="P201" i="63"/>
  <c r="B202" i="63"/>
  <c r="C202" i="63"/>
  <c r="D202" i="63"/>
  <c r="E202" i="63"/>
  <c r="F202" i="63"/>
  <c r="G202" i="63"/>
  <c r="H202" i="63"/>
  <c r="I202" i="63"/>
  <c r="J202" i="63"/>
  <c r="K202" i="63"/>
  <c r="L202" i="63"/>
  <c r="M202" i="63"/>
  <c r="N202" i="63"/>
  <c r="O202" i="63"/>
  <c r="P202" i="63"/>
  <c r="B203" i="63"/>
  <c r="C203" i="63"/>
  <c r="D203" i="63"/>
  <c r="E203" i="63"/>
  <c r="F203" i="63"/>
  <c r="G203" i="63"/>
  <c r="H203" i="63"/>
  <c r="I203" i="63"/>
  <c r="J203" i="63"/>
  <c r="K203" i="63"/>
  <c r="L203" i="63"/>
  <c r="M203" i="63"/>
  <c r="N203" i="63"/>
  <c r="O203" i="63"/>
  <c r="P203" i="63"/>
  <c r="B204" i="63"/>
  <c r="C204" i="63"/>
  <c r="D204" i="63"/>
  <c r="E204" i="63"/>
  <c r="F204" i="63"/>
  <c r="G204" i="63"/>
  <c r="H204" i="63"/>
  <c r="I204" i="63"/>
  <c r="J204" i="63"/>
  <c r="K204" i="63"/>
  <c r="L204" i="63"/>
  <c r="M204" i="63"/>
  <c r="N204" i="63"/>
  <c r="O204" i="63"/>
  <c r="P204" i="63"/>
  <c r="B205" i="63"/>
  <c r="C205" i="63"/>
  <c r="D205" i="63"/>
  <c r="E205" i="63"/>
  <c r="F205" i="63"/>
  <c r="G205" i="63"/>
  <c r="H205" i="63"/>
  <c r="I205" i="63"/>
  <c r="J205" i="63"/>
  <c r="K205" i="63"/>
  <c r="L205" i="63"/>
  <c r="M205" i="63"/>
  <c r="N205" i="63"/>
  <c r="O205" i="63"/>
  <c r="P205" i="63"/>
  <c r="B206" i="63"/>
  <c r="C206" i="63"/>
  <c r="D206" i="63"/>
  <c r="E206" i="63"/>
  <c r="F206" i="63"/>
  <c r="G206" i="63"/>
  <c r="H206" i="63"/>
  <c r="I206" i="63"/>
  <c r="J206" i="63"/>
  <c r="K206" i="63"/>
  <c r="L206" i="63"/>
  <c r="M206" i="63"/>
  <c r="N206" i="63"/>
  <c r="O206" i="63"/>
  <c r="P206" i="63"/>
  <c r="B207" i="63"/>
  <c r="C207" i="63"/>
  <c r="D207" i="63"/>
  <c r="E207" i="63"/>
  <c r="F207" i="63"/>
  <c r="G207" i="63"/>
  <c r="H207" i="63"/>
  <c r="I207" i="63"/>
  <c r="J207" i="63"/>
  <c r="K207" i="63"/>
  <c r="L207" i="63"/>
  <c r="M207" i="63"/>
  <c r="N207" i="63"/>
  <c r="O207" i="63"/>
  <c r="P207" i="63"/>
  <c r="B208" i="63"/>
  <c r="C208" i="63"/>
  <c r="D208" i="63"/>
  <c r="E208" i="63"/>
  <c r="F208" i="63"/>
  <c r="G208" i="63"/>
  <c r="H208" i="63"/>
  <c r="I208" i="63"/>
  <c r="J208" i="63"/>
  <c r="K208" i="63"/>
  <c r="L208" i="63"/>
  <c r="M208" i="63"/>
  <c r="N208" i="63"/>
  <c r="O208" i="63"/>
  <c r="P208" i="63"/>
  <c r="B209" i="63"/>
  <c r="C209" i="63"/>
  <c r="D209" i="63"/>
  <c r="E209" i="63"/>
  <c r="F209" i="63"/>
  <c r="G209" i="63"/>
  <c r="H209" i="63"/>
  <c r="I209" i="63"/>
  <c r="J209" i="63"/>
  <c r="K209" i="63"/>
  <c r="L209" i="63"/>
  <c r="M209" i="63"/>
  <c r="N209" i="63"/>
  <c r="O209" i="63"/>
  <c r="P209" i="63"/>
  <c r="B210" i="63"/>
  <c r="C210" i="63"/>
  <c r="D210" i="63"/>
  <c r="E210" i="63"/>
  <c r="F210" i="63"/>
  <c r="G210" i="63"/>
  <c r="H210" i="63"/>
  <c r="I210" i="63"/>
  <c r="J210" i="63"/>
  <c r="K210" i="63"/>
  <c r="L210" i="63"/>
  <c r="M210" i="63"/>
  <c r="N210" i="63"/>
  <c r="O210" i="63"/>
  <c r="P210" i="63"/>
  <c r="B211" i="63"/>
  <c r="C211" i="63"/>
  <c r="D211" i="63"/>
  <c r="E211" i="63"/>
  <c r="F211" i="63"/>
  <c r="G211" i="63"/>
  <c r="H211" i="63"/>
  <c r="I211" i="63"/>
  <c r="J211" i="63"/>
  <c r="K211" i="63"/>
  <c r="L211" i="63"/>
  <c r="M211" i="63"/>
  <c r="N211" i="63"/>
  <c r="O211" i="63"/>
  <c r="P211" i="63"/>
  <c r="B212" i="63"/>
  <c r="C212" i="63"/>
  <c r="D212" i="63"/>
  <c r="E212" i="63"/>
  <c r="F212" i="63"/>
  <c r="G212" i="63"/>
  <c r="H212" i="63"/>
  <c r="I212" i="63"/>
  <c r="J212" i="63"/>
  <c r="K212" i="63"/>
  <c r="L212" i="63"/>
  <c r="M212" i="63"/>
  <c r="N212" i="63"/>
  <c r="O212" i="63"/>
  <c r="P212" i="63"/>
  <c r="B213" i="63"/>
  <c r="C213" i="63"/>
  <c r="D213" i="63"/>
  <c r="E213" i="63"/>
  <c r="F213" i="63"/>
  <c r="G213" i="63"/>
  <c r="H213" i="63"/>
  <c r="I213" i="63"/>
  <c r="J213" i="63"/>
  <c r="K213" i="63"/>
  <c r="L213" i="63"/>
  <c r="M213" i="63"/>
  <c r="N213" i="63"/>
  <c r="O213" i="63"/>
  <c r="P213" i="63"/>
  <c r="B214" i="63"/>
  <c r="C214" i="63"/>
  <c r="D214" i="63"/>
  <c r="E214" i="63"/>
  <c r="F214" i="63"/>
  <c r="G214" i="63"/>
  <c r="H214" i="63"/>
  <c r="I214" i="63"/>
  <c r="J214" i="63"/>
  <c r="K214" i="63"/>
  <c r="L214" i="63"/>
  <c r="M214" i="63"/>
  <c r="N214" i="63"/>
  <c r="O214" i="63"/>
  <c r="P214" i="63"/>
  <c r="B215" i="63"/>
  <c r="C215" i="63"/>
  <c r="D215" i="63"/>
  <c r="E215" i="63"/>
  <c r="F215" i="63"/>
  <c r="G215" i="63"/>
  <c r="H215" i="63"/>
  <c r="I215" i="63"/>
  <c r="J215" i="63"/>
  <c r="K215" i="63"/>
  <c r="L215" i="63"/>
  <c r="M215" i="63"/>
  <c r="N215" i="63"/>
  <c r="O215" i="63"/>
  <c r="P215" i="63"/>
  <c r="B216" i="63"/>
  <c r="C216" i="63"/>
  <c r="D216" i="63"/>
  <c r="E216" i="63"/>
  <c r="F216" i="63"/>
  <c r="G216" i="63"/>
  <c r="H216" i="63"/>
  <c r="I216" i="63"/>
  <c r="J216" i="63"/>
  <c r="K216" i="63"/>
  <c r="L216" i="63"/>
  <c r="M216" i="63"/>
  <c r="N216" i="63"/>
  <c r="O216" i="63"/>
  <c r="P216" i="63"/>
  <c r="B217" i="63"/>
  <c r="C217" i="63"/>
  <c r="D217" i="63"/>
  <c r="E217" i="63"/>
  <c r="F217" i="63"/>
  <c r="G217" i="63"/>
  <c r="H217" i="63"/>
  <c r="I217" i="63"/>
  <c r="J217" i="63"/>
  <c r="K217" i="63"/>
  <c r="L217" i="63"/>
  <c r="M217" i="63"/>
  <c r="N217" i="63"/>
  <c r="O217" i="63"/>
  <c r="P217" i="63"/>
  <c r="B218" i="63"/>
  <c r="C218" i="63"/>
  <c r="D218" i="63"/>
  <c r="E218" i="63"/>
  <c r="F218" i="63"/>
  <c r="G218" i="63"/>
  <c r="H218" i="63"/>
  <c r="I218" i="63"/>
  <c r="J218" i="63"/>
  <c r="K218" i="63"/>
  <c r="L218" i="63"/>
  <c r="M218" i="63"/>
  <c r="N218" i="63"/>
  <c r="O218" i="63"/>
  <c r="P218" i="63"/>
  <c r="B219" i="63"/>
  <c r="C219" i="63"/>
  <c r="D219" i="63"/>
  <c r="E219" i="63"/>
  <c r="F219" i="63"/>
  <c r="G219" i="63"/>
  <c r="H219" i="63"/>
  <c r="I219" i="63"/>
  <c r="J219" i="63"/>
  <c r="K219" i="63"/>
  <c r="L219" i="63"/>
  <c r="M219" i="63"/>
  <c r="N219" i="63"/>
  <c r="O219" i="63"/>
  <c r="P219" i="63"/>
  <c r="B220" i="63"/>
  <c r="C220" i="63"/>
  <c r="D220" i="63"/>
  <c r="E220" i="63"/>
  <c r="F220" i="63"/>
  <c r="G220" i="63"/>
  <c r="H220" i="63"/>
  <c r="I220" i="63"/>
  <c r="J220" i="63"/>
  <c r="K220" i="63"/>
  <c r="L220" i="63"/>
  <c r="M220" i="63"/>
  <c r="N220" i="63"/>
  <c r="O220" i="63"/>
  <c r="P220" i="63"/>
  <c r="B221" i="63"/>
  <c r="C221" i="63"/>
  <c r="D221" i="63"/>
  <c r="E221" i="63"/>
  <c r="F221" i="63"/>
  <c r="G221" i="63"/>
  <c r="H221" i="63"/>
  <c r="I221" i="63"/>
  <c r="J221" i="63"/>
  <c r="K221" i="63"/>
  <c r="L221" i="63"/>
  <c r="M221" i="63"/>
  <c r="N221" i="63"/>
  <c r="O221" i="63"/>
  <c r="P221" i="63"/>
  <c r="B222" i="63"/>
  <c r="C222" i="63"/>
  <c r="D222" i="63"/>
  <c r="E222" i="63"/>
  <c r="F222" i="63"/>
  <c r="G222" i="63"/>
  <c r="H222" i="63"/>
  <c r="I222" i="63"/>
  <c r="J222" i="63"/>
  <c r="K222" i="63"/>
  <c r="L222" i="63"/>
  <c r="M222" i="63"/>
  <c r="N222" i="63"/>
  <c r="O222" i="63"/>
  <c r="P222" i="63"/>
  <c r="B223" i="63"/>
  <c r="C223" i="63"/>
  <c r="D223" i="63"/>
  <c r="E223" i="63"/>
  <c r="F223" i="63"/>
  <c r="G223" i="63"/>
  <c r="H223" i="63"/>
  <c r="I223" i="63"/>
  <c r="J223" i="63"/>
  <c r="K223" i="63"/>
  <c r="L223" i="63"/>
  <c r="M223" i="63"/>
  <c r="N223" i="63"/>
  <c r="O223" i="63"/>
  <c r="P223" i="63"/>
  <c r="B224" i="63"/>
  <c r="C224" i="63"/>
  <c r="D224" i="63"/>
  <c r="E224" i="63"/>
  <c r="F224" i="63"/>
  <c r="G224" i="63"/>
  <c r="H224" i="63"/>
  <c r="I224" i="63"/>
  <c r="J224" i="63"/>
  <c r="K224" i="63"/>
  <c r="L224" i="63"/>
  <c r="M224" i="63"/>
  <c r="N224" i="63"/>
  <c r="O224" i="63"/>
  <c r="P224" i="63"/>
  <c r="B225" i="63"/>
  <c r="C225" i="63"/>
  <c r="D225" i="63"/>
  <c r="E225" i="63"/>
  <c r="F225" i="63"/>
  <c r="G225" i="63"/>
  <c r="H225" i="63"/>
  <c r="I225" i="63"/>
  <c r="J225" i="63"/>
  <c r="K225" i="63"/>
  <c r="L225" i="63"/>
  <c r="M225" i="63"/>
  <c r="N225" i="63"/>
  <c r="O225" i="63"/>
  <c r="P225" i="63"/>
  <c r="B226" i="63"/>
  <c r="C226" i="63"/>
  <c r="D226" i="63"/>
  <c r="E226" i="63"/>
  <c r="F226" i="63"/>
  <c r="G226" i="63"/>
  <c r="H226" i="63"/>
  <c r="I226" i="63"/>
  <c r="J226" i="63"/>
  <c r="K226" i="63"/>
  <c r="L226" i="63"/>
  <c r="M226" i="63"/>
  <c r="N226" i="63"/>
  <c r="O226" i="63"/>
  <c r="P226" i="63"/>
  <c r="B227" i="63"/>
  <c r="C227" i="63"/>
  <c r="D227" i="63"/>
  <c r="E227" i="63"/>
  <c r="F227" i="63"/>
  <c r="G227" i="63"/>
  <c r="H227" i="63"/>
  <c r="I227" i="63"/>
  <c r="J227" i="63"/>
  <c r="K227" i="63"/>
  <c r="L227" i="63"/>
  <c r="M227" i="63"/>
  <c r="N227" i="63"/>
  <c r="O227" i="63"/>
  <c r="P227" i="63"/>
  <c r="B228" i="63"/>
  <c r="C228" i="63"/>
  <c r="D228" i="63"/>
  <c r="E228" i="63"/>
  <c r="F228" i="63"/>
  <c r="G228" i="63"/>
  <c r="H228" i="63"/>
  <c r="I228" i="63"/>
  <c r="J228" i="63"/>
  <c r="K228" i="63"/>
  <c r="L228" i="63"/>
  <c r="M228" i="63"/>
  <c r="N228" i="63"/>
  <c r="O228" i="63"/>
  <c r="P228" i="63"/>
  <c r="B229" i="63"/>
  <c r="C229" i="63"/>
  <c r="D229" i="63"/>
  <c r="E229" i="63"/>
  <c r="F229" i="63"/>
  <c r="G229" i="63"/>
  <c r="H229" i="63"/>
  <c r="I229" i="63"/>
  <c r="J229" i="63"/>
  <c r="K229" i="63"/>
  <c r="L229" i="63"/>
  <c r="M229" i="63"/>
  <c r="N229" i="63"/>
  <c r="O229" i="63"/>
  <c r="P229" i="63"/>
  <c r="B230" i="63"/>
  <c r="C230" i="63"/>
  <c r="D230" i="63"/>
  <c r="E230" i="63"/>
  <c r="F230" i="63"/>
  <c r="G230" i="63"/>
  <c r="H230" i="63"/>
  <c r="I230" i="63"/>
  <c r="J230" i="63"/>
  <c r="K230" i="63"/>
  <c r="L230" i="63"/>
  <c r="M230" i="63"/>
  <c r="N230" i="63"/>
  <c r="O230" i="63"/>
  <c r="P230" i="63"/>
  <c r="B231" i="63"/>
  <c r="C231" i="63"/>
  <c r="D231" i="63"/>
  <c r="E231" i="63"/>
  <c r="F231" i="63"/>
  <c r="G231" i="63"/>
  <c r="H231" i="63"/>
  <c r="I231" i="63"/>
  <c r="J231" i="63"/>
  <c r="K231" i="63"/>
  <c r="L231" i="63"/>
  <c r="M231" i="63"/>
  <c r="N231" i="63"/>
  <c r="O231" i="63"/>
  <c r="P231" i="63"/>
  <c r="B232" i="63"/>
  <c r="C232" i="63"/>
  <c r="D232" i="63"/>
  <c r="E232" i="63"/>
  <c r="F232" i="63"/>
  <c r="G232" i="63"/>
  <c r="H232" i="63"/>
  <c r="I232" i="63"/>
  <c r="J232" i="63"/>
  <c r="K232" i="63"/>
  <c r="L232" i="63"/>
  <c r="M232" i="63"/>
  <c r="N232" i="63"/>
  <c r="O232" i="63"/>
  <c r="P232" i="63"/>
  <c r="B233" i="63"/>
  <c r="C233" i="63"/>
  <c r="D233" i="63"/>
  <c r="E233" i="63"/>
  <c r="F233" i="63"/>
  <c r="G233" i="63"/>
  <c r="H233" i="63"/>
  <c r="I233" i="63"/>
  <c r="J233" i="63"/>
  <c r="K233" i="63"/>
  <c r="L233" i="63"/>
  <c r="M233" i="63"/>
  <c r="N233" i="63"/>
  <c r="O233" i="63"/>
  <c r="P233" i="63"/>
  <c r="B234" i="63"/>
  <c r="C234" i="63"/>
  <c r="D234" i="63"/>
  <c r="E234" i="63"/>
  <c r="F234" i="63"/>
  <c r="G234" i="63"/>
  <c r="H234" i="63"/>
  <c r="I234" i="63"/>
  <c r="J234" i="63"/>
  <c r="K234" i="63"/>
  <c r="L234" i="63"/>
  <c r="M234" i="63"/>
  <c r="N234" i="63"/>
  <c r="O234" i="63"/>
  <c r="P234" i="63"/>
  <c r="B235" i="63"/>
  <c r="C235" i="63"/>
  <c r="D235" i="63"/>
  <c r="E235" i="63"/>
  <c r="F235" i="63"/>
  <c r="G235" i="63"/>
  <c r="H235" i="63"/>
  <c r="I235" i="63"/>
  <c r="J235" i="63"/>
  <c r="K235" i="63"/>
  <c r="L235" i="63"/>
  <c r="M235" i="63"/>
  <c r="N235" i="63"/>
  <c r="O235" i="63"/>
  <c r="P235" i="63"/>
  <c r="B236" i="63"/>
  <c r="C236" i="63"/>
  <c r="D236" i="63"/>
  <c r="E236" i="63"/>
  <c r="F236" i="63"/>
  <c r="G236" i="63"/>
  <c r="H236" i="63"/>
  <c r="I236" i="63"/>
  <c r="J236" i="63"/>
  <c r="K236" i="63"/>
  <c r="L236" i="63"/>
  <c r="M236" i="63"/>
  <c r="N236" i="63"/>
  <c r="O236" i="63"/>
  <c r="P236" i="63"/>
  <c r="B237" i="63"/>
  <c r="C237" i="63"/>
  <c r="D237" i="63"/>
  <c r="E237" i="63"/>
  <c r="F237" i="63"/>
  <c r="G237" i="63"/>
  <c r="H237" i="63"/>
  <c r="I237" i="63"/>
  <c r="J237" i="63"/>
  <c r="K237" i="63"/>
  <c r="L237" i="63"/>
  <c r="M237" i="63"/>
  <c r="N237" i="63"/>
  <c r="O237" i="63"/>
  <c r="P237" i="63"/>
  <c r="B238" i="63"/>
  <c r="C238" i="63"/>
  <c r="D238" i="63"/>
  <c r="E238" i="63"/>
  <c r="F238" i="63"/>
  <c r="G238" i="63"/>
  <c r="H238" i="63"/>
  <c r="I238" i="63"/>
  <c r="J238" i="63"/>
  <c r="K238" i="63"/>
  <c r="L238" i="63"/>
  <c r="M238" i="63"/>
  <c r="N238" i="63"/>
  <c r="O238" i="63"/>
  <c r="P238" i="63"/>
  <c r="B239" i="63"/>
  <c r="C239" i="63"/>
  <c r="D239" i="63"/>
  <c r="E239" i="63"/>
  <c r="F239" i="63"/>
  <c r="G239" i="63"/>
  <c r="H239" i="63"/>
  <c r="I239" i="63"/>
  <c r="J239" i="63"/>
  <c r="K239" i="63"/>
  <c r="L239" i="63"/>
  <c r="M239" i="63"/>
  <c r="N239" i="63"/>
  <c r="O239" i="63"/>
  <c r="P239" i="63"/>
  <c r="B240" i="63"/>
  <c r="C240" i="63"/>
  <c r="D240" i="63"/>
  <c r="E240" i="63"/>
  <c r="F240" i="63"/>
  <c r="G240" i="63"/>
  <c r="H240" i="63"/>
  <c r="I240" i="63"/>
  <c r="J240" i="63"/>
  <c r="K240" i="63"/>
  <c r="L240" i="63"/>
  <c r="M240" i="63"/>
  <c r="N240" i="63"/>
  <c r="O240" i="63"/>
  <c r="P240" i="63"/>
  <c r="B241" i="63"/>
  <c r="C241" i="63"/>
  <c r="D241" i="63"/>
  <c r="E241" i="63"/>
  <c r="F241" i="63"/>
  <c r="G241" i="63"/>
  <c r="H241" i="63"/>
  <c r="I241" i="63"/>
  <c r="J241" i="63"/>
  <c r="K241" i="63"/>
  <c r="L241" i="63"/>
  <c r="M241" i="63"/>
  <c r="N241" i="63"/>
  <c r="O241" i="63"/>
  <c r="P241" i="63"/>
  <c r="B242" i="63"/>
  <c r="C242" i="63"/>
  <c r="D242" i="63"/>
  <c r="E242" i="63"/>
  <c r="F242" i="63"/>
  <c r="G242" i="63"/>
  <c r="H242" i="63"/>
  <c r="I242" i="63"/>
  <c r="J242" i="63"/>
  <c r="K242" i="63"/>
  <c r="L242" i="63"/>
  <c r="M242" i="63"/>
  <c r="N242" i="63"/>
  <c r="O242" i="63"/>
  <c r="P242" i="63"/>
  <c r="B243" i="63"/>
  <c r="C243" i="63"/>
  <c r="D243" i="63"/>
  <c r="E243" i="63"/>
  <c r="F243" i="63"/>
  <c r="G243" i="63"/>
  <c r="H243" i="63"/>
  <c r="I243" i="63"/>
  <c r="J243" i="63"/>
  <c r="K243" i="63"/>
  <c r="L243" i="63"/>
  <c r="M243" i="63"/>
  <c r="N243" i="63"/>
  <c r="O243" i="63"/>
  <c r="P243" i="63"/>
  <c r="B244" i="63"/>
  <c r="C244" i="63"/>
  <c r="D244" i="63"/>
  <c r="E244" i="63"/>
  <c r="F244" i="63"/>
  <c r="G244" i="63"/>
  <c r="H244" i="63"/>
  <c r="I244" i="63"/>
  <c r="J244" i="63"/>
  <c r="K244" i="63"/>
  <c r="L244" i="63"/>
  <c r="M244" i="63"/>
  <c r="N244" i="63"/>
  <c r="O244" i="63"/>
  <c r="P244" i="63"/>
  <c r="B245" i="63"/>
  <c r="C245" i="63"/>
  <c r="D245" i="63"/>
  <c r="E245" i="63"/>
  <c r="F245" i="63"/>
  <c r="G245" i="63"/>
  <c r="H245" i="63"/>
  <c r="I245" i="63"/>
  <c r="J245" i="63"/>
  <c r="K245" i="63"/>
  <c r="L245" i="63"/>
  <c r="M245" i="63"/>
  <c r="N245" i="63"/>
  <c r="O245" i="63"/>
  <c r="P245" i="63"/>
  <c r="B246" i="63"/>
  <c r="C246" i="63"/>
  <c r="D246" i="63"/>
  <c r="E246" i="63"/>
  <c r="F246" i="63"/>
  <c r="G246" i="63"/>
  <c r="H246" i="63"/>
  <c r="I246" i="63"/>
  <c r="J246" i="63"/>
  <c r="K246" i="63"/>
  <c r="L246" i="63"/>
  <c r="M246" i="63"/>
  <c r="N246" i="63"/>
  <c r="O246" i="63"/>
  <c r="P246" i="63"/>
  <c r="B247" i="63"/>
  <c r="C247" i="63"/>
  <c r="D247" i="63"/>
  <c r="E247" i="63"/>
  <c r="F247" i="63"/>
  <c r="G247" i="63"/>
  <c r="H247" i="63"/>
  <c r="I247" i="63"/>
  <c r="J247" i="63"/>
  <c r="K247" i="63"/>
  <c r="L247" i="63"/>
  <c r="M247" i="63"/>
  <c r="N247" i="63"/>
  <c r="O247" i="63"/>
  <c r="P247" i="63"/>
  <c r="B248" i="63"/>
  <c r="C248" i="63"/>
  <c r="D248" i="63"/>
  <c r="E248" i="63"/>
  <c r="F248" i="63"/>
  <c r="G248" i="63"/>
  <c r="H248" i="63"/>
  <c r="I248" i="63"/>
  <c r="J248" i="63"/>
  <c r="K248" i="63"/>
  <c r="L248" i="63"/>
  <c r="M248" i="63"/>
  <c r="N248" i="63"/>
  <c r="O248" i="63"/>
  <c r="P248" i="63"/>
  <c r="B249" i="63"/>
  <c r="C249" i="63"/>
  <c r="D249" i="63"/>
  <c r="E249" i="63"/>
  <c r="F249" i="63"/>
  <c r="G249" i="63"/>
  <c r="H249" i="63"/>
  <c r="I249" i="63"/>
  <c r="J249" i="63"/>
  <c r="K249" i="63"/>
  <c r="L249" i="63"/>
  <c r="M249" i="63"/>
  <c r="N249" i="63"/>
  <c r="O249" i="63"/>
  <c r="P249" i="63"/>
  <c r="B250" i="63"/>
  <c r="C250" i="63"/>
  <c r="D250" i="63"/>
  <c r="E250" i="63"/>
  <c r="F250" i="63"/>
  <c r="G250" i="63"/>
  <c r="H250" i="63"/>
  <c r="I250" i="63"/>
  <c r="J250" i="63"/>
  <c r="K250" i="63"/>
  <c r="L250" i="63"/>
  <c r="M250" i="63"/>
  <c r="N250" i="63"/>
  <c r="O250" i="63"/>
  <c r="P250" i="63"/>
  <c r="B251" i="63"/>
  <c r="C251" i="63"/>
  <c r="D251" i="63"/>
  <c r="E251" i="63"/>
  <c r="F251" i="63"/>
  <c r="G251" i="63"/>
  <c r="H251" i="63"/>
  <c r="I251" i="63"/>
  <c r="J251" i="63"/>
  <c r="K251" i="63"/>
  <c r="L251" i="63"/>
  <c r="M251" i="63"/>
  <c r="N251" i="63"/>
  <c r="O251" i="63"/>
  <c r="P251" i="63"/>
  <c r="B252" i="63"/>
  <c r="C252" i="63"/>
  <c r="D252" i="63"/>
  <c r="E252" i="63"/>
  <c r="F252" i="63"/>
  <c r="G252" i="63"/>
  <c r="H252" i="63"/>
  <c r="I252" i="63"/>
  <c r="J252" i="63"/>
  <c r="K252" i="63"/>
  <c r="L252" i="63"/>
  <c r="M252" i="63"/>
  <c r="N252" i="63"/>
  <c r="O252" i="63"/>
  <c r="P252" i="63"/>
  <c r="B253" i="63"/>
  <c r="C253" i="63"/>
  <c r="D253" i="63"/>
  <c r="E253" i="63"/>
  <c r="F253" i="63"/>
  <c r="G253" i="63"/>
  <c r="H253" i="63"/>
  <c r="I253" i="63"/>
  <c r="J253" i="63"/>
  <c r="K253" i="63"/>
  <c r="L253" i="63"/>
  <c r="M253" i="63"/>
  <c r="N253" i="63"/>
  <c r="O253" i="63"/>
  <c r="P253" i="63"/>
  <c r="B254" i="63"/>
  <c r="C254" i="63"/>
  <c r="D254" i="63"/>
  <c r="E254" i="63"/>
  <c r="F254" i="63"/>
  <c r="G254" i="63"/>
  <c r="H254" i="63"/>
  <c r="I254" i="63"/>
  <c r="J254" i="63"/>
  <c r="K254" i="63"/>
  <c r="L254" i="63"/>
  <c r="M254" i="63"/>
  <c r="N254" i="63"/>
  <c r="O254" i="63"/>
  <c r="P254" i="63"/>
  <c r="B255" i="63"/>
  <c r="C255" i="63"/>
  <c r="D255" i="63"/>
  <c r="E255" i="63"/>
  <c r="F255" i="63"/>
  <c r="G255" i="63"/>
  <c r="H255" i="63"/>
  <c r="I255" i="63"/>
  <c r="J255" i="63"/>
  <c r="K255" i="63"/>
  <c r="L255" i="63"/>
  <c r="M255" i="63"/>
  <c r="N255" i="63"/>
  <c r="O255" i="63"/>
  <c r="P255" i="63"/>
  <c r="B256" i="63"/>
  <c r="C256" i="63"/>
  <c r="D256" i="63"/>
  <c r="E256" i="63"/>
  <c r="F256" i="63"/>
  <c r="G256" i="63"/>
  <c r="H256" i="63"/>
  <c r="I256" i="63"/>
  <c r="J256" i="63"/>
  <c r="K256" i="63"/>
  <c r="L256" i="63"/>
  <c r="M256" i="63"/>
  <c r="N256" i="63"/>
  <c r="O256" i="63"/>
  <c r="P256" i="63"/>
  <c r="B257" i="63"/>
  <c r="C257" i="63"/>
  <c r="D257" i="63"/>
  <c r="E257" i="63"/>
  <c r="F257" i="63"/>
  <c r="G257" i="63"/>
  <c r="H257" i="63"/>
  <c r="I257" i="63"/>
  <c r="J257" i="63"/>
  <c r="K257" i="63"/>
  <c r="L257" i="63"/>
  <c r="M257" i="63"/>
  <c r="N257" i="63"/>
  <c r="O257" i="63"/>
  <c r="P257" i="63"/>
  <c r="Y13" i="38" l="1"/>
  <c r="Y12" i="38"/>
  <c r="Y10" i="38"/>
  <c r="Y9" i="38"/>
  <c r="Y8" i="38"/>
  <c r="Y7" i="38"/>
  <c r="Y6" i="38"/>
  <c r="Y5" i="38"/>
  <c r="Y4" i="38"/>
  <c r="G11" i="38" l="1"/>
  <c r="G6" i="38"/>
  <c r="K5" i="38"/>
  <c r="I5" i="38"/>
  <c r="G5" i="38"/>
  <c r="W28" i="38" l="1"/>
  <c r="S28" i="38"/>
  <c r="S27" i="38"/>
  <c r="Q28" i="38"/>
  <c r="Q27" i="38"/>
  <c r="M28" i="38"/>
  <c r="M27" i="38"/>
  <c r="P3" i="63" l="1"/>
  <c r="M3" i="63" l="1"/>
  <c r="K3" i="63"/>
  <c r="L3" i="63"/>
  <c r="J3" i="63"/>
  <c r="H3" i="63"/>
  <c r="G3" i="63"/>
  <c r="C3" i="63"/>
  <c r="F3" i="63"/>
  <c r="D3" i="63"/>
  <c r="E3" i="63"/>
  <c r="I3" i="63"/>
  <c r="N3" i="63"/>
  <c r="O3" i="63"/>
  <c r="B3" i="63"/>
  <c r="W4" i="38" l="1"/>
  <c r="S3" i="38"/>
  <c r="E16" i="38" l="1"/>
  <c r="K16" i="38"/>
  <c r="K4" i="38"/>
  <c r="E4" i="38"/>
  <c r="W52" i="38"/>
  <c r="S52" i="38"/>
  <c r="Q52" i="38"/>
  <c r="M52" i="38"/>
  <c r="S51" i="38"/>
  <c r="Q51" i="38"/>
  <c r="M51" i="38"/>
  <c r="V50" i="38"/>
  <c r="U50" i="38"/>
  <c r="K51" i="38" s="1"/>
  <c r="T50" i="38"/>
  <c r="S50" i="38"/>
  <c r="K50" i="38" s="1"/>
  <c r="P50" i="38"/>
  <c r="O50" i="38"/>
  <c r="E51" i="38" s="1"/>
  <c r="N50" i="38"/>
  <c r="M50" i="38"/>
  <c r="E50" i="38" s="1"/>
  <c r="U49" i="38"/>
  <c r="K49" i="38" s="1"/>
  <c r="S49" i="38"/>
  <c r="AM19" i="38" s="1"/>
  <c r="AM40" i="38" s="1"/>
  <c r="AM61" i="38" s="1"/>
  <c r="O49" i="38"/>
  <c r="E49" i="38" s="1"/>
  <c r="M49" i="38"/>
  <c r="AA19" i="38" s="1"/>
  <c r="AA40" i="38" s="1"/>
  <c r="AA61" i="38" s="1"/>
  <c r="W40" i="38"/>
  <c r="S40" i="38"/>
  <c r="Q40" i="38"/>
  <c r="M40" i="38"/>
  <c r="S39" i="38"/>
  <c r="Q39" i="38"/>
  <c r="M39" i="38"/>
  <c r="V38" i="38"/>
  <c r="U38" i="38"/>
  <c r="K39" i="38" s="1"/>
  <c r="T38" i="38"/>
  <c r="S38" i="38"/>
  <c r="K38" i="38" s="1"/>
  <c r="P38" i="38"/>
  <c r="O38" i="38"/>
  <c r="E39" i="38" s="1"/>
  <c r="N38" i="38"/>
  <c r="M38" i="38"/>
  <c r="E38" i="38" s="1"/>
  <c r="U37" i="38"/>
  <c r="K37" i="38" s="1"/>
  <c r="S37" i="38"/>
  <c r="AM15" i="38" s="1"/>
  <c r="AM36" i="38" s="1"/>
  <c r="AM57" i="38" s="1"/>
  <c r="O37" i="38"/>
  <c r="E37" i="38" s="1"/>
  <c r="M37" i="38"/>
  <c r="AA15" i="38" s="1"/>
  <c r="AA36" i="38" s="1"/>
  <c r="AA57" i="38" s="1"/>
  <c r="V26" i="38"/>
  <c r="U26" i="38"/>
  <c r="K27" i="38" s="1"/>
  <c r="T26" i="38"/>
  <c r="S26" i="38"/>
  <c r="K26" i="38" s="1"/>
  <c r="P26" i="38"/>
  <c r="O26" i="38"/>
  <c r="E27" i="38" s="1"/>
  <c r="N26" i="38"/>
  <c r="M26" i="38"/>
  <c r="E26" i="38" s="1"/>
  <c r="U25" i="38"/>
  <c r="K25" i="38" s="1"/>
  <c r="S25" i="38"/>
  <c r="AM11" i="38" s="1"/>
  <c r="AM32" i="38" s="1"/>
  <c r="AM53" i="38" s="1"/>
  <c r="O25" i="38"/>
  <c r="E25" i="38" s="1"/>
  <c r="M25" i="38"/>
  <c r="AA11" i="38" s="1"/>
  <c r="AA32" i="38" s="1"/>
  <c r="AA53" i="38" s="1"/>
  <c r="W16" i="38"/>
  <c r="S16" i="38"/>
  <c r="Q16" i="38"/>
  <c r="M16" i="38"/>
  <c r="S15" i="38"/>
  <c r="Q15" i="38"/>
  <c r="M15" i="38"/>
  <c r="V14" i="38"/>
  <c r="U14" i="38"/>
  <c r="K15" i="38" s="1"/>
  <c r="T14" i="38"/>
  <c r="S14" i="38"/>
  <c r="K14" i="38" s="1"/>
  <c r="P14" i="38"/>
  <c r="O14" i="38"/>
  <c r="E15" i="38" s="1"/>
  <c r="N14" i="38"/>
  <c r="E14" i="38"/>
  <c r="U13" i="38"/>
  <c r="K13" i="38" s="1"/>
  <c r="S13" i="38"/>
  <c r="AM7" i="38" s="1"/>
  <c r="AM28" i="38" s="1"/>
  <c r="AM49" i="38" s="1"/>
  <c r="O13" i="38"/>
  <c r="E13" i="38" s="1"/>
  <c r="M13" i="38"/>
  <c r="AA7" i="38" s="1"/>
  <c r="AA28" i="38" s="1"/>
  <c r="AA49" i="38" s="1"/>
  <c r="S4" i="38"/>
  <c r="Q4" i="38"/>
  <c r="M4" i="38"/>
  <c r="Q3" i="38"/>
  <c r="M3" i="38"/>
  <c r="V2" i="38"/>
  <c r="U2" i="38"/>
  <c r="K3" i="38" s="1"/>
  <c r="T2" i="38"/>
  <c r="S2" i="38"/>
  <c r="K2" i="38" s="1"/>
  <c r="P2" i="38"/>
  <c r="O2" i="38"/>
  <c r="E3" i="38" s="1"/>
  <c r="N2" i="38"/>
  <c r="M2" i="38"/>
  <c r="E2" i="38" s="1"/>
  <c r="U1" i="38"/>
  <c r="K1" i="38" s="1"/>
  <c r="S1" i="38"/>
  <c r="AM3" i="38" s="1"/>
  <c r="AM24" i="38" s="1"/>
  <c r="AM45" i="38" s="1"/>
  <c r="O1" i="38"/>
  <c r="E1" i="38" s="1"/>
  <c r="M1" i="38"/>
  <c r="AA3" i="38" s="1"/>
  <c r="AA24" i="38" s="1"/>
  <c r="AA45" i="38" s="1"/>
  <c r="M14" i="37" l="1"/>
  <c r="M15" i="37"/>
  <c r="M16" i="37"/>
  <c r="M17" i="37"/>
  <c r="M18" i="37"/>
  <c r="M19" i="37"/>
  <c r="M20" i="37"/>
  <c r="M21" i="37"/>
  <c r="M22" i="37"/>
  <c r="D14" i="37"/>
  <c r="D15" i="37"/>
  <c r="D16" i="37"/>
  <c r="D17" i="37"/>
  <c r="D18" i="37"/>
  <c r="D19" i="37"/>
  <c r="D20" i="37"/>
  <c r="D21" i="37"/>
  <c r="D22" i="37"/>
  <c r="C14" i="37"/>
  <c r="C15" i="37"/>
  <c r="C16" i="37"/>
  <c r="C17" i="37"/>
  <c r="C18" i="37"/>
  <c r="C19" i="37"/>
  <c r="C20" i="37"/>
  <c r="C21" i="37"/>
  <c r="C22" i="37"/>
  <c r="D13" i="37" l="1"/>
  <c r="M13" i="37"/>
  <c r="C13" i="37" l="1"/>
</calcChain>
</file>

<file path=xl/sharedStrings.xml><?xml version="1.0" encoding="utf-8"?>
<sst xmlns="http://schemas.openxmlformats.org/spreadsheetml/2006/main" count="16454" uniqueCount="3110">
  <si>
    <t>성함</t>
  </si>
  <si>
    <t>성별</t>
  </si>
  <si>
    <t>나이</t>
  </si>
  <si>
    <t>종교</t>
  </si>
  <si>
    <t>키</t>
  </si>
  <si>
    <t>직업(직장과 파트)</t>
  </si>
  <si>
    <t>MBTI</t>
  </si>
  <si>
    <t>남</t>
    <phoneticPr fontId="1" type="noConversion"/>
  </si>
  <si>
    <t>남</t>
  </si>
  <si>
    <t>무교</t>
  </si>
  <si>
    <t>무관</t>
  </si>
  <si>
    <t>자영업</t>
  </si>
  <si>
    <t>ISFJ</t>
  </si>
  <si>
    <t>INFP</t>
  </si>
  <si>
    <t>여</t>
  </si>
  <si>
    <t>170~</t>
  </si>
  <si>
    <t>자기소개</t>
    <phoneticPr fontId="1" type="noConversion"/>
  </si>
  <si>
    <t>30~35</t>
  </si>
  <si>
    <t>ENFJ</t>
  </si>
  <si>
    <t>ISTP</t>
  </si>
  <si>
    <t>천주교</t>
  </si>
  <si>
    <t>~170</t>
  </si>
  <si>
    <t>~165</t>
  </si>
  <si>
    <t>ENTP</t>
  </si>
  <si>
    <t>INTJ</t>
  </si>
  <si>
    <t>28~34</t>
  </si>
  <si>
    <t>이상형</t>
    <phoneticPr fontId="1" type="noConversion"/>
  </si>
  <si>
    <t>성별</t>
    <phoneticPr fontId="1" type="noConversion"/>
  </si>
  <si>
    <t>ESTJ</t>
  </si>
  <si>
    <t>동일</t>
  </si>
  <si>
    <t>INFJ</t>
  </si>
  <si>
    <t>기독교</t>
  </si>
  <si>
    <t>기술직, 자영업</t>
  </si>
  <si>
    <t>20~31</t>
  </si>
  <si>
    <t>160~170</t>
  </si>
  <si>
    <t>ESFJ</t>
  </si>
  <si>
    <t>31~38</t>
  </si>
  <si>
    <t>ENFP</t>
  </si>
  <si>
    <t>INFP, ISFP, INFJ, ISFJ, ENFP, ESFP, ENFJ, ESFJ, ENTP, ESTP, ENTJ, ESTJ</t>
  </si>
  <si>
    <t>35~</t>
  </si>
  <si>
    <t>이름</t>
    <phoneticPr fontId="1" type="noConversion"/>
  </si>
  <si>
    <t>선호나이</t>
  </si>
  <si>
    <t>선호 키</t>
  </si>
  <si>
    <t>선호 MBTI</t>
    <phoneticPr fontId="1" type="noConversion"/>
  </si>
  <si>
    <t>비선호 직군</t>
  </si>
  <si>
    <t>상대 - 선호종교</t>
    <phoneticPr fontId="1" type="noConversion"/>
  </si>
  <si>
    <t>간단한 자기소개</t>
  </si>
  <si>
    <t>이상형</t>
  </si>
  <si>
    <t>건의사항</t>
  </si>
  <si>
    <t>불교</t>
  </si>
  <si>
    <t>기술직, 공무원</t>
  </si>
  <si>
    <t>Enfj</t>
  </si>
  <si>
    <t>이름</t>
  </si>
  <si>
    <t>선호 MBTI</t>
  </si>
  <si>
    <t>상대 - 선호종교</t>
  </si>
  <si>
    <t>170~180</t>
  </si>
  <si>
    <t>무교, 기독교</t>
  </si>
  <si>
    <t>동일, 무관</t>
  </si>
  <si>
    <t>김유진</t>
  </si>
  <si>
    <t>ISFP</t>
  </si>
  <si>
    <t>자영업, 연구직</t>
  </si>
  <si>
    <t>무교, 천주교</t>
  </si>
  <si>
    <t>24~31</t>
  </si>
  <si>
    <t>본인과 동일</t>
  </si>
  <si>
    <t>~160</t>
  </si>
  <si>
    <t>180~</t>
  </si>
  <si>
    <t>ISTJ</t>
  </si>
  <si>
    <t>김가현</t>
  </si>
  <si>
    <t>ESTP</t>
  </si>
  <si>
    <t>자영업, 공무원</t>
  </si>
  <si>
    <t>istp</t>
  </si>
  <si>
    <t>estj</t>
  </si>
  <si>
    <t>INTP</t>
  </si>
  <si>
    <t>자영업, 무관</t>
  </si>
  <si>
    <t>정유진</t>
  </si>
  <si>
    <t>무교, 불교</t>
  </si>
  <si>
    <t>ESFP</t>
  </si>
  <si>
    <t>강현지</t>
  </si>
  <si>
    <t>학문 쪽 커리어를 쌓아온 사람이라 삶의 방향이 뚜렷하고, 관계에서는 관계에서는 상대를 먼저 살피는 사람이라서 안정감을 주는 편</t>
  </si>
  <si>
    <t>공무원</t>
  </si>
  <si>
    <t>Isfj</t>
  </si>
  <si>
    <t>Entp</t>
  </si>
  <si>
    <t>31~34</t>
  </si>
  <si>
    <t>enfj</t>
  </si>
  <si>
    <t>이강범</t>
  </si>
  <si>
    <t>istj</t>
  </si>
  <si>
    <t>귀여운 사람</t>
  </si>
  <si>
    <t>건의사항</t>
    <phoneticPr fontId="1" type="noConversion"/>
  </si>
  <si>
    <t>환경+국제개발협력 분야 사업관리</t>
  </si>
  <si>
    <t>따뜻하고 재미를 추구하는 사람</t>
  </si>
  <si>
    <t>장항준 영화감독</t>
  </si>
  <si>
    <t>165~170</t>
  </si>
  <si>
    <t>다정다감한 사람</t>
  </si>
  <si>
    <t>175~</t>
  </si>
  <si>
    <t>김은하</t>
  </si>
  <si>
    <t>대기업계열사 기획자</t>
  </si>
  <si>
    <t>INFP, ISFP, INFJ, ISFJ</t>
  </si>
  <si>
    <t>활발하고 밝음</t>
  </si>
  <si>
    <t>내향인, 운동 좋아하는 사람</t>
  </si>
  <si>
    <t>문지호</t>
  </si>
  <si>
    <t>010-5841-4307</t>
  </si>
  <si>
    <t>삼성서울병원/ 신경외과 병동</t>
  </si>
  <si>
    <t>무관, ISTJ, ESFP, ESFJ, ESTJ</t>
  </si>
  <si>
    <t>활동적인 것에 관심이 많은 사람/데이트 할 때 제안하는 것도 좋아하고 제안을 받는 것도 좋아하는 편인 것 같습니다</t>
  </si>
  <si>
    <t>피지컬이 좋고 성격이 좋은 사람</t>
  </si>
  <si>
    <t>Infj</t>
  </si>
  <si>
    <t>임경선</t>
  </si>
  <si>
    <t>010-2739-5606</t>
  </si>
  <si>
    <t>SMC 광고회사 디자인팀</t>
  </si>
  <si>
    <t>ISFP, INTP, ISTP, INFJ, ISTJ, INTJ, ISFJ, ESFP, ENFJ, ESFJ, ENTP, ESTP, ENTJ, ESTJ</t>
  </si>
  <si>
    <t>잘 웃고 성실하고 건강한 일상 루틴 실천하는 사람입니다.</t>
  </si>
  <si>
    <t>듬직하고 무던하시면서 성실하신 분을 선호합니다.</t>
  </si>
  <si>
    <t>조시연</t>
  </si>
  <si>
    <t>공무원(연구직, 7급)</t>
  </si>
  <si>
    <t>ISTJ, ISFJ, ESFJ</t>
  </si>
  <si>
    <t>따뜻하지만 야무지고 귀여운 사람 🙂</t>
  </si>
  <si>
    <t>책임감 있고, 성실하며 안정적인 사람</t>
  </si>
  <si>
    <t>송아현</t>
  </si>
  <si>
    <t>010-7656-6814</t>
  </si>
  <si>
    <t>자산운용사</t>
  </si>
  <si>
    <t>ENFJ, ESFJ, ENTJ, ESTJ</t>
  </si>
  <si>
    <t>차분하고 열심히 사는 사람</t>
  </si>
  <si>
    <t>예의바르고 열심히 사는 사람</t>
  </si>
  <si>
    <t>장세라</t>
  </si>
  <si>
    <t>초등학교 방과후 컴퓨터강사</t>
  </si>
  <si>
    <t>잘웃고,잘들어주는 사람,BBW</t>
  </si>
  <si>
    <t>술,담배,게임 안하고 문신없고 연락 잘되고 나만 바라봐주는 남자</t>
  </si>
  <si>
    <t>홍여경</t>
  </si>
  <si>
    <t>주택관리사무소 직원</t>
  </si>
  <si>
    <t>밝고 긍정적이며 리액션 좋은 사람</t>
  </si>
  <si>
    <t>하얀무쌍 리트리버 멍뭉미있는 남자</t>
  </si>
  <si>
    <t>요즘엔 만나이로 적어야하는지 헷갈려요.. 1989년생입니다!</t>
  </si>
  <si>
    <t>잘 부탁 드립니다</t>
  </si>
  <si>
    <t>공무원, 연구직, 회사원</t>
  </si>
  <si>
    <t>김광민</t>
  </si>
  <si>
    <t>회사원(플랫폼업체 영업직)</t>
  </si>
  <si>
    <t>상대방에게 웃음을 주는 게 좋고 일상 대화를 하면서 평일에 받았던 스트레스가 풀리기도 합니다
처음에는 어색해하기도 하고 낯도 많이 가리기도 하지만 몇 번 얘기하다 보면 어색함도 풀리고 더 말을 걸고 있기도 합니다
일과 생활이 완벽하게 분리가 되어있어 일할 때는 일만 하고 쉴 때는 절대 일 생각도 안 하고 일 얘기도 안 하고 살아가고 있습니다
취미는 야구를 보러 다니고 주말 아침에 축구를 하러 나가고 있습니다 야구를 같이 보러 다니는 걸 좋아하며 맛있는 음식점이 생각나면 찾아가는것도 좋아합니다
집 데이트와 밖에서 하는 데이트를 한쪽으로 몰리지 않게 하는 걸 좋아합니다
연애 스타일은 주도적인 편은 아닌 거 같고 상대방에게 맞춰주는 편입니다 뭘 하든 대화를 통해 하려고 하며 싸우더라도 대화로 바로 푸는 스타일이며 한번 좋아하기 시작하면 정말 정말 많이 좋아하는 타입입니다</t>
  </si>
  <si>
    <t>안정적이며 대화가 잘 통하는 사람 연상이면 더 좋을거같고 연하는 선호하지 않습니다</t>
  </si>
  <si>
    <t>정유민</t>
  </si>
  <si>
    <t xml:space="preserve">캐스팅디렉터 </t>
  </si>
  <si>
    <t>요리를 좋아하는 사람</t>
  </si>
  <si>
    <t>자기 일 열심히 하는 사람</t>
  </si>
  <si>
    <t>김경희</t>
  </si>
  <si>
    <t>부산대학병원 간호부</t>
  </si>
  <si>
    <t>차분함, 다정함, 꾸준함, 혼자서도 시간 잘 보냄</t>
  </si>
  <si>
    <t>다정, 안정적인분</t>
  </si>
  <si>
    <t>황동민</t>
  </si>
  <si>
    <t>개발자</t>
  </si>
  <si>
    <t>Isfp</t>
  </si>
  <si>
    <t>내성적이지만 친해지면서 활발해지는 사람
입니다.</t>
  </si>
  <si>
    <t>전임교수(대구 4년제 사립대학교, 간호학과)</t>
  </si>
  <si>
    <t>여유있고 상황을 회피하지 않는 사람, 직업적/경제적으로 안정된 상태</t>
  </si>
  <si>
    <t>서울-대구 장거리연애&amp;주말부부 상관없는 분이 좋습니다.</t>
  </si>
  <si>
    <t>김세정</t>
  </si>
  <si>
    <t>행사기획자(국제회의)</t>
  </si>
  <si>
    <t>INFJ, ENFP, ESFJ</t>
  </si>
  <si>
    <t>차분하지만 밝은 사람</t>
  </si>
  <si>
    <t>유머코드, 대화가 잘 통하는 사람, 외모(두부상)</t>
  </si>
  <si>
    <t>유지현</t>
  </si>
  <si>
    <t>하얏트 호텔 cs 파트</t>
  </si>
  <si>
    <t>긍정적이고 현실적이고 일 열심히 하는 사람</t>
  </si>
  <si>
    <t>예의바르고 자기 일 열심히하고 배려심있는 사람</t>
  </si>
  <si>
    <t>보라매병원 간호부</t>
  </si>
  <si>
    <t>직업적으로는 직업 전문성을 키우기 위해 끊임없이 노력합니다. 석사 학위를 가지고 있으며 현재 전문간호사 자격증 취득을 위해 다시 대학원을 다니고 있습니다.
웨이트 트레이닝을 좋아하며 식단관리까지 병행하여 자기 관리를 하고 있습니다. 나이가 들어도 망가지지 않도록 꾸준히 자기관리를 하는 것이 목표입니다.
일에서든 다른 것에서든 책임감 있게 행동합니다. 또한 긍정적이고 성실한 것이 장점입니다.
초반에는 낯을 많이 가리는 편입니다. 하지만 친해지고 내 사람이라는 생각이 들면 장난도 많이 치고 잘 챙겨줍니다.</t>
  </si>
  <si>
    <t>외모적으로는 눈이 이쁘고, 얼굴형이 이쁜 분을 좋아합니다. 본인의 직업에 자부심이 있고 전문적이며, 긍정적이고 성실한 분이 좋습니다. 담배는 피지 않으셨으면 좋겠습니다.</t>
  </si>
  <si>
    <t>김세아</t>
  </si>
  <si>
    <t>삼화 -HR팀</t>
  </si>
  <si>
    <t>무관, ENFP, ENFJ</t>
  </si>
  <si>
    <t>세련된 취향과 따뜻한 정을 동시에 가진, '알수록 무해하고 매력적인' 사람입니다. 평일엔 치열하게 일하고, 주말엔 드라이브와 운동으로 에너지를 채우는 갓생러(God-生)예요."</t>
  </si>
  <si>
    <t>"함께 있으면 친구처럼 편안하고 티격태격 수다 떨 수 있는 분이 이상형이에요. 본인 일에 열정적이면서도 퇴근 후엔 드라이브 한 잔의 여유를 즐길 줄 아는 듬직한 체격의 남자다운 분이면 좋겠습니다. 무엇보다 대화가 잘 통하고 배울 점이 있는 분에게 매력을 느낍니다.</t>
  </si>
  <si>
    <t>박종훈</t>
  </si>
  <si>
    <t>ktds 보안파트</t>
  </si>
  <si>
    <t>처음에는 어색하지만 친해지면 친구처럼 편한사람입니다
베이킹 하면서 좋은 인연 만들었으면 좋겠습니다</t>
  </si>
  <si>
    <t>말 잘 통하고 생각이 깊은 사람</t>
  </si>
  <si>
    <t>친구랑 같이 신청 할수 있으면 같이 하고 싶어요
친구도 여기 같이 신청 했습니다
친구 이름은 황동민 입니다</t>
  </si>
  <si>
    <t>이하승</t>
  </si>
  <si>
    <t>실내건축업 사업체 운영</t>
  </si>
  <si>
    <t>무관, ISTJ, ISFJ, ENFJ, ESFJ</t>
  </si>
  <si>
    <t>밝고 웃음이 많음, 애정표현잘함, 술담배x, 자기관리 꾸준히 하는편</t>
  </si>
  <si>
    <t>차분하고 대화 티키타카 잘되는 사람, 다정하고 섬세한 사람, 술담배x, 자기관리하고 패션 센스(깔끔)있는 사람</t>
  </si>
  <si>
    <t>최아현</t>
  </si>
  <si>
    <t>대학원생</t>
  </si>
  <si>
    <t>무관, ISTP, ISTJ, ISFJ, ESTJ</t>
  </si>
  <si>
    <t>밝고 똑부러짐</t>
  </si>
  <si>
    <t>배려심있고 자기관리 하시는 분</t>
  </si>
  <si>
    <t>이진미</t>
  </si>
  <si>
    <t>010-3312-1338</t>
  </si>
  <si>
    <t>현대카드 영업지원</t>
  </si>
  <si>
    <t>밝고 다정다감한 테토녀</t>
  </si>
  <si>
    <t>표현 잘하고 말을 이쁘게 하는 테토남</t>
  </si>
  <si>
    <t>회사원, 무관</t>
  </si>
  <si>
    <t>장보리</t>
  </si>
  <si>
    <t>경리회계</t>
  </si>
  <si>
    <t>무관, ESFJ</t>
  </si>
  <si>
    <t>은근 예민하지만 리액션과 공감은 누구보다도 자신있는사람</t>
  </si>
  <si>
    <t>자상하고성실하고유머코드가 맞는사람</t>
  </si>
  <si>
    <t>회사원</t>
  </si>
  <si>
    <t>허재희</t>
  </si>
  <si>
    <t>바리스타</t>
  </si>
  <si>
    <t>긍정적이고 예민하지않은 사람</t>
  </si>
  <si>
    <t>털털하고 다정한사람</t>
  </si>
  <si>
    <t>장지현</t>
  </si>
  <si>
    <t>치과위생사</t>
  </si>
  <si>
    <t>isfp</t>
  </si>
  <si>
    <t>ENFJ, ESFJ</t>
  </si>
  <si>
    <t>낯을 좀 가리지만 친해지면 재밌고 엉뚱한사람 !</t>
  </si>
  <si>
    <t>최주연</t>
  </si>
  <si>
    <t>비알코리아 개발팀</t>
  </si>
  <si>
    <t>INTJ, ENFJ, ENTJ, ESTJ</t>
  </si>
  <si>
    <t>성격은 밝고 잘 웃는 성격이고 처음 친해지는데엔 어려움이 없지만 마음을 여는데 시간이 조금 걸리는 편인 것 같습니다. 
현재 혼자 반려견을 키우고 있어서 만나는 분의 배려가 조금 필요하지만 책임감의 영역으로 이해해주시는 분이면 좋을 것 같고 어떠한 상황이든 현재에 있어 최선을 다하는 성격입니다. 남들이 보면 테토...라고 하지만 연애에 있어서만큼은 에겐인것 같아요!</t>
  </si>
  <si>
    <t>이상형은 딱히 없습니다.. 그냥 첫눈에 꽂히는 편인 것 같아요. 자기 일 잘하고 J 스러운 면모가 많은 분에게 설레는 것 같아요.</t>
  </si>
  <si>
    <t>송수연</t>
  </si>
  <si>
    <t>필라테스 강사</t>
  </si>
  <si>
    <t>바르고 자기관리 잘하고 거짓말,내숭 없는 사람이에요! 베이킹 하는걸 좋아해서 원데이 클래스를 많이 다녀봤어요! 항상 열심히하고 제 일에 자부심을 가지고 사는 사람입니다 :) 오래 회사생활 하다가 이직한거라 굉장히 긍정적으로 활발하게 공부하며 살고있어요!</t>
  </si>
  <si>
    <t>깔끔하고 다정하고 센스있는 분을 좋아해요! 예의있으면서 상대방한테 맞는 배려가 뭔지 아는 너드남 스타일🩷</t>
  </si>
  <si>
    <t>무조건 안된다는 아니지만 enfj entp enfp 분들이랑은 별로 안맞았던 것 같아서 좀 만나기 두려워요 😂</t>
  </si>
  <si>
    <t>최지연</t>
  </si>
  <si>
    <t>010-6649-4230</t>
  </si>
  <si>
    <t>증견기업 회계팀</t>
  </si>
  <si>
    <t>INFP, ISFP, INFJ, ISFJ, ENFP, ESFP, ENFJ, ESFJ</t>
  </si>
  <si>
    <t>밝고 긍정적이며 운동을 좋아하는 사람</t>
  </si>
  <si>
    <t>다정다감하고 함께 운동,여행 취미를 즐길 수 있는 사람</t>
  </si>
  <si>
    <t>임동국</t>
  </si>
  <si>
    <t>디앤지관세사무소 대표 (관세사)</t>
  </si>
  <si>
    <t>무교, 천주교, 불교</t>
  </si>
  <si>
    <t>일잘하고 성실하고 자상한사람</t>
  </si>
  <si>
    <t>밝고 긍정적이고 잘 웃으시는 분</t>
  </si>
  <si>
    <t>한소라</t>
  </si>
  <si>
    <t>바리스타 /대형카페 매니저</t>
  </si>
  <si>
    <t>진중하고 긍정적인사람</t>
  </si>
  <si>
    <t xml:space="preserve">대화가 잘통하는 사람 티키타카가 잘되시는 분 </t>
  </si>
  <si>
    <t>조아딘</t>
  </si>
  <si>
    <t>국립중앙박물관회 사무직</t>
  </si>
  <si>
    <t>생각이 깊고 스스로의 기준이 분명한 편</t>
  </si>
  <si>
    <t>바르고 표현을 잘하는, 운동을 취미로 갖고 있는 사람</t>
  </si>
  <si>
    <t>이유미</t>
  </si>
  <si>
    <t>핀에어 승무원</t>
  </si>
  <si>
    <t>ESFJ-T</t>
  </si>
  <si>
    <t>ISTJ, ISFJ, ESTJ</t>
  </si>
  <si>
    <t>딘순하고 밝고 유쾌함</t>
  </si>
  <si>
    <t>마음이 넓고 대화가잘통하는 편한사람</t>
  </si>
  <si>
    <t>서다빈</t>
  </si>
  <si>
    <t>사회복지사(장애인 자립생활센터)</t>
  </si>
  <si>
    <t>INT(F)P</t>
  </si>
  <si>
    <t>쩝쩝거리지 않고 주먹으로 젓가락질 하지 않는 사람</t>
  </si>
  <si>
    <t>병원직군, 기술직, 공무원, 연구직, 회사원, 무관</t>
  </si>
  <si>
    <t>김민정</t>
  </si>
  <si>
    <t>어린이집/보육교사</t>
  </si>
  <si>
    <t xml:space="preserve">안녕하세요.
아이들을 가르치는 일을 하고 있고, 성실하게 하루하루 보내려고 노력하는 편입니다. 아침 수영으로 하루를 시작하는 걸 좋아합니다. 대화가 편하고 서로 배려할 수 있는 분을 만나면 좋겠습니다.
</t>
  </si>
  <si>
    <t>다정한사람</t>
  </si>
  <si>
    <t>윤은진</t>
  </si>
  <si>
    <t>Hs인터내셔널 디자이너</t>
  </si>
  <si>
    <t>ENTJ</t>
  </si>
  <si>
    <t>INFJ, ISTJ, INTJ, ISFJ, ENFJ, ESFJ, ENTJ, ESTJ</t>
  </si>
  <si>
    <t xml:space="preserve">도전하는 걸 좋아하고 사람들과 활발하게 잘 지내지만 때론 저에게 집중하는 시간도 좋아하는 사람입니다. </t>
  </si>
  <si>
    <t>미래에 대해 노력하는 사람</t>
  </si>
  <si>
    <t>다솜</t>
  </si>
  <si>
    <t>대학병원 간호사</t>
  </si>
  <si>
    <t xml:space="preserve">웃는 모습이 선하고 배려심 깊은 사람 </t>
  </si>
  <si>
    <t>웃는 모습이 선하고 대화 잘 통하고 가치관 비슷한 사람</t>
  </si>
  <si>
    <t>카톡은 연락처 검색 비허용을 해놓아서 문자로 연락부탁드려용</t>
  </si>
  <si>
    <t>오유진</t>
  </si>
  <si>
    <t>안과에서 근무- 상담실장</t>
  </si>
  <si>
    <t>Estp</t>
  </si>
  <si>
    <t>잘 웃고 밝은 성격으로 처음 보는 사람들이 어색하지 않게 주도적으로 대화를 이끌어 가는편이고 
운동을 좋아해서 꾸준한 운동으로 자기 관리 열심히 하고있어요
연애하는 스타일은 집착적이지않고 쿨한편이나 
상대방에 가부장적이고, 거짓말하거나 무책임한 과시적인 성향인 사람에게는 매력을 느끼지 못하는 것 같아요</t>
  </si>
  <si>
    <t>남현지</t>
  </si>
  <si>
    <t>병원 간호사</t>
  </si>
  <si>
    <t xml:space="preserve">Estp </t>
  </si>
  <si>
    <t>재밌고 잘웃는 밝은 사람</t>
  </si>
  <si>
    <t>자기일 열심히 하는 다정한 사람</t>
  </si>
  <si>
    <t>한유태</t>
  </si>
  <si>
    <t>다정한 사람</t>
  </si>
  <si>
    <t>같이 있을 때 즐거운 사람</t>
  </si>
  <si>
    <t>간호사</t>
  </si>
  <si>
    <t>잘 웃고 상대방을 배려하는 사람</t>
  </si>
  <si>
    <t>귀엽고 다정다감한 사람 + 비흡연자</t>
  </si>
  <si>
    <t>김민영</t>
  </si>
  <si>
    <t>디자이너</t>
  </si>
  <si>
    <t>밝고 긍정적이고 유쾌한사람</t>
  </si>
  <si>
    <t>운동하는 사람!</t>
  </si>
  <si>
    <t>박혜리</t>
  </si>
  <si>
    <t>인테리어디자이너(설계실)</t>
  </si>
  <si>
    <t>새로운 경험을 좋아하고 즐겁게 지내는 사람</t>
  </si>
  <si>
    <t>웃기고귀여운사람</t>
  </si>
  <si>
    <t>오진우</t>
  </si>
  <si>
    <t>종합건설사 /관리직</t>
  </si>
  <si>
    <t>배려하고 경청을잘하고 친해지면 말많음</t>
  </si>
  <si>
    <t>배려하고 마음씨가 착하신분</t>
  </si>
  <si>
    <t>이유경</t>
  </si>
  <si>
    <t>유아특수교사</t>
  </si>
  <si>
    <t>infj</t>
  </si>
  <si>
    <t>배려심깊고 다정한사람</t>
  </si>
  <si>
    <t xml:space="preserve">개그코드가 맞고 배울점이 많은 사람 </t>
  </si>
  <si>
    <t>박승원</t>
  </si>
  <si>
    <t>중학교 교사</t>
  </si>
  <si>
    <t>무관, ISFP, ISFJ, ESFP, ESFJ, ESTJ</t>
  </si>
  <si>
    <t>재밌는 걸 좋아하고 알잘딱깔센이 어느정도 되는 성격</t>
  </si>
  <si>
    <t>대화가 잘통하는 사람, 활발한 사람, 재밌는 사람</t>
  </si>
  <si>
    <t>이지수</t>
  </si>
  <si>
    <t>경영지원부 총무</t>
  </si>
  <si>
    <t>웃음이 많고 배려심이 깊은 사람</t>
  </si>
  <si>
    <t>키크고 내사람에게만 다정하고 안정적인 사람</t>
  </si>
  <si>
    <t>신영랑</t>
  </si>
  <si>
    <t>솔직하고 신뢰를 중시하는 사람</t>
  </si>
  <si>
    <t>다정하고 재밋는 사람</t>
  </si>
  <si>
    <t>공윤재</t>
  </si>
  <si>
    <t>공인중개사 대표</t>
  </si>
  <si>
    <t>ENFJ ESFJ</t>
  </si>
  <si>
    <t>밝고 다정한편이고 직진스타일 입니다! 운동이랑 관리도 꾸준히 하고 성실하게 살아가려고 하고 있어요!</t>
  </si>
  <si>
    <t>키 크고 즐겨하시는 운동이 있으셨으면 좋겠습니다!</t>
  </si>
  <si>
    <t>이선해</t>
  </si>
  <si>
    <t>최근 퇴사하고 이직준비중 - 전직장 (작업치료사)</t>
  </si>
  <si>
    <t>차분하고 솔직한 성격</t>
  </si>
  <si>
    <t>차분한 너드남</t>
  </si>
  <si>
    <t>양예림</t>
  </si>
  <si>
    <t>치기공사</t>
  </si>
  <si>
    <t>Esfp</t>
  </si>
  <si>
    <t>재밌고 통통튀는 사람</t>
  </si>
  <si>
    <t>단정하고 구릿빛 피부 웃기고 다정한사람</t>
  </si>
  <si>
    <t>병원직군, 연구직, 회사원</t>
  </si>
  <si>
    <t>이시준</t>
  </si>
  <si>
    <t>현대오토에버 IT개발</t>
  </si>
  <si>
    <t>주위 분들 착하고 다정한 사람이라고 많이 말씀해주십니다.. ㅎㅎ.. 화도 잘 안내고 무던한 편입니다! 하는 일에 있어서는 책임감있게 해내려고 하는 편이에요</t>
  </si>
  <si>
    <t>경제관념이 있으신분. 키가 크신분. 선하게 생기신 분</t>
  </si>
  <si>
    <t>병원직군, 자영업, 공무원</t>
  </si>
  <si>
    <t>나이대가 저와 2-3살 정도 아래였으면 싶습니다.. ㅎㅎ..</t>
  </si>
  <si>
    <t>조정연</t>
  </si>
  <si>
    <t>010-4009-0624</t>
  </si>
  <si>
    <t>쇼핑몰</t>
  </si>
  <si>
    <t>entp/enfp</t>
  </si>
  <si>
    <t>ISFP, INTP, ISTP, ISTJ, INTJ</t>
  </si>
  <si>
    <t>동물사랑하고 책임감강하고 다소 개인주의</t>
  </si>
  <si>
    <t>옷잘입고 인성바른 술자리안좋아하는사람</t>
  </si>
  <si>
    <t>병원직군, 기술직, 자영업, 연구직, 회사원, 무관</t>
  </si>
  <si>
    <t>곽찬미</t>
  </si>
  <si>
    <t>회사원(출판업계)</t>
  </si>
  <si>
    <t>투명한 사람</t>
  </si>
  <si>
    <t>대화코드 잘 맞는 분, 선하신 분</t>
  </si>
  <si>
    <t>김슬기</t>
  </si>
  <si>
    <t>간호사(경희대병원)</t>
  </si>
  <si>
    <t>친해지면 다정하고 정많은사람</t>
  </si>
  <si>
    <t>무쌍에 눈이크고 웃는게 이쁘고 다정한사람</t>
  </si>
  <si>
    <t>혹시나 같은직장사람은 피하고싶어요ㅠㅠ</t>
  </si>
  <si>
    <t>최수지</t>
  </si>
  <si>
    <t>삼성전자/반도체연구소연구원</t>
  </si>
  <si>
    <t>ISFP, ISTJ, ISFJ, ESFP, ESFJ, ESTJ</t>
  </si>
  <si>
    <t>차가워보이는 고양이지만 친해지면 긍정적이고 웃음이 많음</t>
  </si>
  <si>
    <t>강아지상의 공대오빠..? 안경이 잘어울리고 댄디한 사람..! (니트셔츠 잘어울리는사람)다정한사람!!</t>
  </si>
  <si>
    <t>박예림</t>
  </si>
  <si>
    <t>치과 진료실(대학 치위생과 다니면서 일하는중)</t>
  </si>
  <si>
    <t>처음에는 낯가리는데 친해지면 활발</t>
  </si>
  <si>
    <t>다정한성격</t>
  </si>
  <si>
    <t>유동선</t>
  </si>
  <si>
    <t>경찰공무원(지구대 근무)</t>
  </si>
  <si>
    <t>무던한 성격, 남자답고 듬직한 스타일</t>
  </si>
  <si>
    <t>밝은 성격, 수수하고 여성스러운 스타일</t>
  </si>
  <si>
    <t>저와 동일한 직업과 같이 참여하는 건 피하고 싶습니다.</t>
  </si>
  <si>
    <t>강유진</t>
  </si>
  <si>
    <t>포워딩회사</t>
  </si>
  <si>
    <t>ENFP, ESFP, ENFJ, ESFJ, ENTP, ESTP, ENTJ</t>
  </si>
  <si>
    <t>겉모습은 차가워보일 수 있지만 알고보면 털털하고 웃음이 많은 사람</t>
  </si>
  <si>
    <t>다정하고 긍정적인사람</t>
  </si>
  <si>
    <t>임지현</t>
  </si>
  <si>
    <t>신한DS 라이프개발팀(신한라이프)</t>
  </si>
  <si>
    <t>ISFP, INTP, ISTP, ISTJ, INTJ, ISFJ, ESFP, ESFJ, ENTP, ESTP, ENTJ, ESTJ</t>
  </si>
  <si>
    <t>솔찍하고 담백하지만 밝은 기운이 있는 사람</t>
  </si>
  <si>
    <t>다정하고 솔찍하고 웃을때 예쁜 남자</t>
  </si>
  <si>
    <t>박지연</t>
  </si>
  <si>
    <t>성형외과 웹디자이너</t>
  </si>
  <si>
    <t>INFJ, INTJ, ISFJ</t>
  </si>
  <si>
    <t>차분하지만 가끔 사차원 매력이 있다!</t>
  </si>
  <si>
    <t>감정기복이 심하지않고 진중하고 배려심이 많은 사람</t>
  </si>
  <si>
    <t>기술직, 연구직, 회사원, 무관</t>
  </si>
  <si>
    <t>이미나</t>
  </si>
  <si>
    <t>회사원(보스톤사이언티픽, Medical)</t>
  </si>
  <si>
    <t>무관, ISFJ</t>
  </si>
  <si>
    <t>무엇보다 빵을 너무 사랑하는 빵순이이고, 빵과 아아면 행복을 느끼는, 소소한 힐링과 행복에 감사함을 느끼는 긍정적인 사람이에요! 찐 ISFJ 인간으로서 공감능력이 좋고 정이 많다는 소릴 들어요! 그리고 첫인상과 다르다는 이야기도 많이 듣는데 이건 아마 외적으론 차가워 보이는데 속은 의외로(?) 따뜻해서..? 🫢 속은 두부 그 자체라 가끔 상처받고 너덜너덜해지지만 긍정적인 편으로 멘탈회복력이 좋아서 금방 극뽁! 하는 편이에요. 루틴이 확실한 집순이라 집밖으로 잘 안나가지만 그만큼 사고(?)날 일이 없는 사람! ㅎㅎㅎ 입니다</t>
  </si>
  <si>
    <t xml:space="preserve">연락과 표현을 잘하고, 불안하게 만들지 않는 사람이 좋아요! 연락이 자연스럽게 이어지고 관계에서 불확실함을 주지 않는 안정적인 사람에게 매력을 느끼는데무엇보다 공감 능력이 있고 다정하고 자상한 사람이 중요해요! 서로의 감정을 이해하고 지지해 줄 수 있는 감정적인 교류가 가능한 관계를 원하며, 회피형 성향보다는 진중함 속에 유쾌함이 함께 있는 사람이 좋아요. 첫인상도 중요하고, 무엇보다 대화가 잘 통해 티키타카가 되는 사람이면 좋겠고 또한 자기 관리를 하며 스스로의 삶을 잘 가꾸는 사람이라면 더욱 좋겠어요! </t>
  </si>
  <si>
    <t>김우영</t>
  </si>
  <si>
    <t>테이블오더 법인회사 대표</t>
  </si>
  <si>
    <t>Esfj</t>
  </si>
  <si>
    <t>다정한듯 잘 챙겨주고 배려하는 재밌는 사람</t>
  </si>
  <si>
    <t>반전매력의 소유자</t>
  </si>
  <si>
    <t>김준수</t>
  </si>
  <si>
    <t>체육관관장</t>
  </si>
  <si>
    <t>재치있고 유머러스함.편하다는 소리를 자주 들음</t>
  </si>
  <si>
    <t>귀엽고 나를 잘 이해해주고 공감해주는사람</t>
  </si>
  <si>
    <t>진푸름</t>
  </si>
  <si>
    <t>010-3351-0469</t>
  </si>
  <si>
    <t>편곡가</t>
  </si>
  <si>
    <t>INTJ, ENTJ</t>
  </si>
  <si>
    <t>문화 예술을 사랑하는 사람</t>
  </si>
  <si>
    <t>예의 바르고 문화예술을 사랑하는 사람</t>
  </si>
  <si>
    <t>최재범</t>
  </si>
  <si>
    <t>아이스크림 회사 및 사업</t>
  </si>
  <si>
    <t>장난잘치고 재밌는사람?</t>
  </si>
  <si>
    <t>대화잘통하고 배려있는분</t>
  </si>
  <si>
    <t>김효진</t>
  </si>
  <si>
    <t>외국계기업/인허가</t>
  </si>
  <si>
    <t>이해를 잘 하는 사람</t>
  </si>
  <si>
    <t>다정하고 이해를 잘 하는 사람</t>
  </si>
  <si>
    <t>권민재</t>
  </si>
  <si>
    <t>진취적, 성장과 성공을 목표로 하는 사람</t>
  </si>
  <si>
    <t>외적, 작고 아담한 스타일 (연예인, 박보영 남보라 윈터) 내적, 든든한 동료로서 미래를 함께 그려나갈 수 있는 분</t>
  </si>
  <si>
    <t>베이킹을 통해 인연을 만나는 자리가 있다는걸 처음 알았네요, 좋은 자리 만들어주셔서 감사합니다. 좋은 인연 만날 수 있기를 기원합니다🙏</t>
  </si>
  <si>
    <t>서지연</t>
  </si>
  <si>
    <t>사무직(티빙/광고사업부)</t>
  </si>
  <si>
    <t>처음엔 낯을 가리지만 친해지면 털털</t>
  </si>
  <si>
    <t>다정하고 가볍지 않은 사람</t>
  </si>
  <si>
    <t>이유민</t>
  </si>
  <si>
    <t>010-8354-2920</t>
  </si>
  <si>
    <t>다정하고 밝은 귀여운 사람!</t>
  </si>
  <si>
    <t>다정하고 섬세하고 집돌이에 헬스가 취미인 사람, 흡연x</t>
  </si>
  <si>
    <t>너무 나이차이가 많이나지 않았으면 좋겠어요</t>
  </si>
  <si>
    <t>김가영</t>
  </si>
  <si>
    <t>소품샵 매니저</t>
  </si>
  <si>
    <t>매너가 좋은 사람</t>
  </si>
  <si>
    <t>차태현 최우식</t>
  </si>
  <si>
    <t>안녕하세요! 제가 직업 특성상 월, 화요일에 쉬어서 이때만 가능합니다</t>
  </si>
  <si>
    <t>김성연</t>
  </si>
  <si>
    <t>광고대행사 마케팅</t>
  </si>
  <si>
    <t>챙겨주고 챙김받는 거 좋아하는 사람 온전히 집중할 줄 아는사람
밝고 활동적인사람</t>
  </si>
  <si>
    <t>술 많이 좋아하지않고 거짓말하지않는 사람 자기일 잘 하고있고 자격지심없는사람</t>
  </si>
  <si>
    <t>안정진</t>
  </si>
  <si>
    <t>회사원(마케팅)</t>
  </si>
  <si>
    <t>차분하고 상냥한 사람. 차분한 첫인상 때문에 오해받기도 하지만, 알고 보면 꽤 장난기 넘치고 활발한 성격이에요.</t>
  </si>
  <si>
    <t>제가 차분한 편이라, 밝고 에너제틱한 기운을 가진 분과 함께할 때 즐거움을 느낍니다. 겉모습을 화려하게 포장하기보다 자신의 있는 그대로를 사랑할 줄 아는 분이 이상형이에요.</t>
  </si>
  <si>
    <t>임혜성</t>
  </si>
  <si>
    <t>웹디자이너</t>
  </si>
  <si>
    <t xml:space="preserve">밝고 친근한사람? </t>
  </si>
  <si>
    <t>진중하고 자상한분</t>
  </si>
  <si>
    <t>연락처</t>
  </si>
  <si>
    <t>상대 - 선호 나이대 (중복가능)</t>
  </si>
  <si>
    <t>상대 - 이상형 키 (중복가능)</t>
  </si>
  <si>
    <t>상대 - 원하는 MBTI</t>
  </si>
  <si>
    <t>나는 어떤사람?</t>
  </si>
  <si>
    <t>상대 - 비선호 직군 (중복가능)</t>
  </si>
  <si>
    <t>운영진에게 건의사항 or 요청사항 (필수X)</t>
  </si>
  <si>
    <t>31~38</t>
    <phoneticPr fontId="1" type="noConversion"/>
  </si>
  <si>
    <t>28~34</t>
    <phoneticPr fontId="1" type="noConversion"/>
  </si>
  <si>
    <t>24~31</t>
    <phoneticPr fontId="1" type="noConversion"/>
  </si>
  <si>
    <t>28~38</t>
    <phoneticPr fontId="1" type="noConversion"/>
  </si>
  <si>
    <t>35~41</t>
    <phoneticPr fontId="1" type="noConversion"/>
  </si>
  <si>
    <t>31~41</t>
    <phoneticPr fontId="1" type="noConversion"/>
  </si>
  <si>
    <t>38~</t>
    <phoneticPr fontId="1" type="noConversion"/>
  </si>
  <si>
    <t>35~</t>
    <phoneticPr fontId="1" type="noConversion"/>
  </si>
  <si>
    <t>~175</t>
    <phoneticPr fontId="1" type="noConversion"/>
  </si>
  <si>
    <t>160~170</t>
    <phoneticPr fontId="1" type="noConversion"/>
  </si>
  <si>
    <t>~165</t>
    <phoneticPr fontId="1" type="noConversion"/>
  </si>
  <si>
    <t>160~175</t>
    <phoneticPr fontId="1" type="noConversion"/>
  </si>
  <si>
    <t>165~175</t>
    <phoneticPr fontId="1" type="noConversion"/>
  </si>
  <si>
    <t>~170</t>
    <phoneticPr fontId="1" type="noConversion"/>
  </si>
  <si>
    <t>170~</t>
    <phoneticPr fontId="1" type="noConversion"/>
  </si>
  <si>
    <t>175~</t>
    <phoneticPr fontId="1" type="noConversion"/>
  </si>
  <si>
    <t>175~180</t>
    <phoneticPr fontId="1" type="noConversion"/>
  </si>
  <si>
    <t>165~</t>
    <phoneticPr fontId="1" type="noConversion"/>
  </si>
  <si>
    <t>무관</t>
    <phoneticPr fontId="1" type="noConversion"/>
  </si>
  <si>
    <t>28~31</t>
    <phoneticPr fontId="1" type="noConversion"/>
  </si>
  <si>
    <t>175~180</t>
  </si>
  <si>
    <t>28~31</t>
  </si>
  <si>
    <t>24~34</t>
  </si>
  <si>
    <t>31~41</t>
  </si>
  <si>
    <t>28~38</t>
  </si>
  <si>
    <t>165~</t>
  </si>
  <si>
    <t>31~ 무관</t>
  </si>
  <si>
    <t>35~38</t>
  </si>
  <si>
    <t>35~41</t>
  </si>
  <si>
    <t>38~</t>
  </si>
  <si>
    <t>170~175</t>
  </si>
  <si>
    <t>Enfp</t>
  </si>
  <si>
    <t>38~41</t>
  </si>
  <si>
    <t>잘부탁드립니다 😊</t>
  </si>
  <si>
    <t>자영업자 (통신업, 법인 임원/개인사업자 대표)</t>
  </si>
  <si>
    <t>이준석</t>
  </si>
  <si>
    <t>010 3539 5185</t>
  </si>
  <si>
    <t>인테리어 유지보수</t>
  </si>
  <si>
    <t>눈치 삐르고 섬세한 자기 관리 열심히</t>
  </si>
  <si>
    <t>운동하고 요리하는거 좋아하시는분</t>
  </si>
  <si>
    <t>김세련</t>
  </si>
  <si>
    <t>경찰 공무원</t>
  </si>
  <si>
    <t>isfj</t>
  </si>
  <si>
    <t>책임감이 강하고 성실하고 사랑하는 사람을 챙겨주고 지지해줄수 있는 지혜로운 사람!</t>
  </si>
  <si>
    <t>사람을 소중하게 생각하고 다름을 인정하고 마음이 따뜻한 사람</t>
  </si>
  <si>
    <t>황신혜</t>
  </si>
  <si>
    <t>프리랜서</t>
  </si>
  <si>
    <t>친절한사람</t>
  </si>
  <si>
    <t>친절하고 나랑 잘 맞는 사람</t>
  </si>
  <si>
    <t>김연재</t>
  </si>
  <si>
    <t>프리랜서 강사</t>
  </si>
  <si>
    <t>자기관리 잘하고 운동 좋아하고 온화하면 상대방 말을 잘 들어줌</t>
  </si>
  <si>
    <t>재밌고 듬직하고 다정다감하고 자기관리 잘하시는 키큰 분</t>
  </si>
  <si>
    <t>김다슬</t>
  </si>
  <si>
    <t>신라스테이 경영지원</t>
  </si>
  <si>
    <t>estj/ estp</t>
  </si>
  <si>
    <t>무관, INFP, ISFP, INFJ, ISFJ, ENFP, ESFP, ENFJ, ESFJ</t>
  </si>
  <si>
    <t>외관상 도도해보여 다가가기 어려워보이나 내면은 순딩순딩 친해지면 첫인상과 전혀 다른 마음 따뜻한 사람</t>
  </si>
  <si>
    <t>키큰 강아지상</t>
  </si>
  <si>
    <t>병원직군, 공무원</t>
  </si>
  <si>
    <t>김유경</t>
  </si>
  <si>
    <t>학원 사업</t>
  </si>
  <si>
    <t>INFP, INTP, INFJ, INTJ, ENFP, ENFJ, ENTP, ENTJ</t>
  </si>
  <si>
    <t>사람들과 금방 친해지고 배우는걸 좋아하는 호기심이 많은 사람입니다.</t>
  </si>
  <si>
    <t>성실하고 다정한 분 . 예술가 선호 합니다.</t>
  </si>
  <si>
    <t>박혜빈</t>
  </si>
  <si>
    <t>ISFP, ISFJ, ESFJ, ENTJ, ESTJ</t>
  </si>
  <si>
    <t>책임감 있고 처음엔 낯을 가리지만 수용적인 상대를 만나면 금방 친해짐</t>
  </si>
  <si>
    <t>비흡연자. 기독교인. 성실하고 다정한 사람.</t>
  </si>
  <si>
    <t>교대근무라 일정조율 문제가 있습니다</t>
  </si>
  <si>
    <t>유지희</t>
  </si>
  <si>
    <t>회사원 / 사무직</t>
  </si>
  <si>
    <t>잘웃고 따뜻한사람ㅎ 내사람이 아닌 사람에겐 조금 차가운 사람 주어진 일에 최선을 다할줄 아는 사람</t>
  </si>
  <si>
    <t>배울점이 있는 사람, 키가 좀 큰사람, 다정한 사람</t>
  </si>
  <si>
    <t>이연재</t>
  </si>
  <si>
    <t>대기업 과장</t>
  </si>
  <si>
    <t>차분하고 상대방 말 잘 들어주는 사람</t>
  </si>
  <si>
    <t>박찬용</t>
  </si>
  <si>
    <t>대기업 해외영업</t>
  </si>
  <si>
    <t>유머러스하고 다정다감한 느낌</t>
  </si>
  <si>
    <t>티키타카가 잘 통하시는 분</t>
  </si>
  <si>
    <t>배민정</t>
  </si>
  <si>
    <t>현대모비스 진천공장</t>
  </si>
  <si>
    <t>감정이 얼굴에 들어날 정도로 약간 솔직한편 입니다.
(남에 대한것이 아닌 제 감정에 솔직히 말하는편)
말로 서로 조율하는걸 선호 하는 편 입니다.
성격은 약간 테토스러운 면이 있습니다
먼저 사과하고 먼저 연락 잘 합니다</t>
  </si>
  <si>
    <t>느낌이 좋고 말이 잘 통하며 유머가 있었으면 합니다</t>
  </si>
  <si>
    <t>특이사항 없습니다. 아 지방사람이라 주말에만 가능 합니다</t>
  </si>
  <si>
    <t>소혜민</t>
  </si>
  <si>
    <t>긍정적이고 센스있다</t>
  </si>
  <si>
    <t>긴머리 유쌍 예의 있으신분</t>
  </si>
  <si>
    <t>강이경</t>
  </si>
  <si>
    <t>010-6812-2569</t>
  </si>
  <si>
    <t>필라테스강사</t>
  </si>
  <si>
    <t>Estj</t>
  </si>
  <si>
    <t>INFP, ISFP, INTP, ISTP, INFJ, ISFJ, ENFJ, ESFJ</t>
  </si>
  <si>
    <t>몸과 마음이 건강한 사람!</t>
  </si>
  <si>
    <t>운동하고 밝은분</t>
  </si>
  <si>
    <t>비흡연자 원해요</t>
  </si>
  <si>
    <t>노소진</t>
  </si>
  <si>
    <t>수학강사</t>
  </si>
  <si>
    <t>esTj</t>
  </si>
  <si>
    <t>무던 털털 성격좋은</t>
  </si>
  <si>
    <t>훈훈한 똑똑하고 다정한</t>
  </si>
  <si>
    <t>곽원호</t>
  </si>
  <si>
    <t>제조업</t>
  </si>
  <si>
    <t>낮을 좀 가리지만 친해지면 말많고 이야기 잘하지만 나서는 스타일이 아님 소극적이지만 적극적일때는 또 달라짐</t>
  </si>
  <si>
    <t>밝고 웃는 사람 제가 조용하고 그러다보니 좀 저는 밝고 웃는 사람 이었으면 좋겠습니다</t>
  </si>
  <si>
    <t>조미현</t>
  </si>
  <si>
    <t>IT에이전시회사 퍼블리싱 파트</t>
  </si>
  <si>
    <t>INFP, ISFP, ISTP, ISTJ, ISFJ, ESFP, ESFJ, ESTP, ENTJ, ESTJ</t>
  </si>
  <si>
    <t>적당히 선 지킬줄 아는사람</t>
  </si>
  <si>
    <t>배울점 많고 자기 할일 열심히 하고 미래 예측 가능한 사람</t>
  </si>
  <si>
    <t>김지현</t>
  </si>
  <si>
    <t>010-7138-3001</t>
  </si>
  <si>
    <t>건축설계 프리랜서</t>
  </si>
  <si>
    <t>ENFP, ESFP, ENFJ, ESFJ, ENTP, ESTP, ENTJ, ESTJ</t>
  </si>
  <si>
    <t>활발 긍정 밝음</t>
  </si>
  <si>
    <t>활동적 진취적</t>
  </si>
  <si>
    <t>강다영</t>
  </si>
  <si>
    <t>헤어디자이너</t>
  </si>
  <si>
    <t>estp</t>
  </si>
  <si>
    <t>밝고 뒤끝없는사람</t>
  </si>
  <si>
    <t>헬스하고 하얀사람..? 어른스럽고 차분한사람</t>
  </si>
  <si>
    <t>박수빈</t>
  </si>
  <si>
    <t>010-4072-0311</t>
  </si>
  <si>
    <t>하고싶은거 다하는사람</t>
  </si>
  <si>
    <t>무던하고 예의바른사람</t>
  </si>
  <si>
    <t>추지은</t>
  </si>
  <si>
    <t>010-5193-0099</t>
  </si>
  <si>
    <t>중소기업/회계총무</t>
  </si>
  <si>
    <t>밝은 사람</t>
  </si>
  <si>
    <t>대화가 통하는 사람</t>
  </si>
  <si>
    <t>연구직, 회사원</t>
  </si>
  <si>
    <t>최윤지</t>
  </si>
  <si>
    <t>CJ_무대감독</t>
  </si>
  <si>
    <t>ISFP, ESFP, ESFJ</t>
  </si>
  <si>
    <t>긍정적인 에너지를 가진 사람
술, 담배 안하고 타투 X /운동 헬스 필라테스 병행 중
회사 경력 5년차, 한 곳에 꾸준히 일할 수 있는 인내심 보유
T긴 하지만 애교 많고 리액션 잘하는 다정한 타입이에요
사람들과 대화하고 소통하는 일을 하고 있어서
처음봐도 어색함 없이 대하는 걸 잘해요
어딜가도 적응력이 좋아요
츄 닮았다고 자주 들어요..^,,^ 하하</t>
  </si>
  <si>
    <t>감자상 공룡상, 술,담배,타투 X 운동하고 근육덩치가 있으신 분, 말 예쁘게 하는 사람, 건실한 사람</t>
  </si>
  <si>
    <t>안녕하세요 운영진님
직업에서 직업군인은 피하고 싶어요..!
제가 직업이 방송쪽이라 교대근무여서
교대근무가 괜찮으신 분이면 좋겠습니다 
좋은 사람으로 잘부탁드립니다~! 감사해요🩶</t>
  </si>
  <si>
    <t>김송미</t>
  </si>
  <si>
    <t>소니/scm</t>
  </si>
  <si>
    <t>밝고 긍정적인사람</t>
  </si>
  <si>
    <t>자기 관리 열심히하고 배울점이 있는사람</t>
  </si>
  <si>
    <t>조아라</t>
  </si>
  <si>
    <t>중랑구청직장어린이집/보육교사</t>
  </si>
  <si>
    <t>I(E)SFJ</t>
  </si>
  <si>
    <t>낯가림이 있지만 친해지면 밝고 긍정적이며 솔직한 모습이 보이는 사람인 것 같아요!</t>
  </si>
  <si>
    <t>선하고 감정기복이 심하지 않은 분 무쌍?</t>
  </si>
  <si>
    <t>조소희</t>
  </si>
  <si>
    <t>퇴사후 쉬는중</t>
  </si>
  <si>
    <t>몸과 마음이 건강한 사람</t>
  </si>
  <si>
    <t>피지컬 좋고 언행 바르고 둥글둥글한 사람</t>
  </si>
  <si>
    <t>김민호</t>
  </si>
  <si>
    <t>회사원 (유통업)</t>
  </si>
  <si>
    <t>160~165</t>
  </si>
  <si>
    <t>ISFP, ENFP, ESFP, ENFJ, ESFJ</t>
  </si>
  <si>
    <t>친해지기 전까진 조용한 꼼꼼한 에겐
친해지면 댕댕미 있는</t>
  </si>
  <si>
    <t>고양이상 꼼꼼하고 돌려말하지않는 여자..?</t>
  </si>
  <si>
    <t>이상희</t>
  </si>
  <si>
    <t>010-8076-8676</t>
  </si>
  <si>
    <t>강북삼성병원 병동간호사</t>
  </si>
  <si>
    <t>친절하고 착하고 동안인 사람</t>
  </si>
  <si>
    <t>병원직군, 공무원, 연구직, 회사원</t>
  </si>
  <si>
    <t>전수영</t>
  </si>
  <si>
    <t>(전 개발자) 필라테스강사</t>
  </si>
  <si>
    <t>일에 열정이 있고 무던한 사람</t>
  </si>
  <si>
    <t>다정하고 이야기 잘통하는 사람 자기 일에 열정이 있고 배우려고 노력하는 사람</t>
  </si>
  <si>
    <t>이대근</t>
  </si>
  <si>
    <t>010-5142-7542</t>
  </si>
  <si>
    <t>건설업 관리자</t>
  </si>
  <si>
    <t>ISFP, ESFJ</t>
  </si>
  <si>
    <t>처음에 낯을 많이 가리지만 친해지면 리액션도 많고 잘 웃는 사람입니다.</t>
  </si>
  <si>
    <t>청순하고 귀여운사람.</t>
  </si>
  <si>
    <t>조준형</t>
  </si>
  <si>
    <t>010-2912-2697</t>
  </si>
  <si>
    <t>개인사업자</t>
  </si>
  <si>
    <t>저는 인연이 나타나길 기다리던 사람 이였지만... 나타나질 않아 이제는 직접 찾아다니는 사람입니다ㅠㅠ
대화를 나누는걸 좋아하고, 활동적이지만 차분한 느낌이 있는 사람입니다. 또, 하나에 꽂히면 직진하는 스타일로 소소한 취미활동도 좋아하고, 퇴근하면 어떠한 재밌는걸 할까?? 라는 고민을 가장 많이 하는 사람으로 하루를 재밌게 보내려고 많은 노력을 합니다. 그래서 얼른 연애를 해서 공유하고 더 재밌는 하루를 보내고 싶습니다..!</t>
  </si>
  <si>
    <t>자기관리 잘 하며, 말 이쁘게 하는사람 단발머리가 잘 어울리고 같이 웃을 수 있는 사람</t>
  </si>
  <si>
    <t>정재현</t>
  </si>
  <si>
    <t>010-4892-5605</t>
  </si>
  <si>
    <t>자영업 (요식업)</t>
  </si>
  <si>
    <t>INFP, INFJ, ISTJ, INTJ, ENTP, ESTP</t>
  </si>
  <si>
    <t>유쾌 다정 다감 어색한걸 편안하게 해주는 사람</t>
  </si>
  <si>
    <t>피부가 햐얗고 흡연 문신 없는 사람</t>
  </si>
  <si>
    <t>박예령</t>
  </si>
  <si>
    <t>간호학과 졸업 후 취업 대기중입니다!</t>
  </si>
  <si>
    <t>INFP, ISFP, INFJ, ISTJ, INTJ, ISFJ, ENFP, ESFP, ENFJ, ESFJ, ENTP, ESTP, ENTJ, ESTJ</t>
  </si>
  <si>
    <t>밝고 텐션 높아요! 무던하고 뒤끝없고 즉흥적인 면이 있어요! 특별히 싫어하는 일이 아니면 상대 취미도 함께 해주고 같이 추억만드는걸 좋아해요. 성격은 조금 빠른편인것 같고 자기자신을 꾸미는 것을 좋아합니당</t>
  </si>
  <si>
    <t>외적으로는 뚱뚱하지 않은 체형에 순한 인상이나 반장했을것 같은 반듯한 사람을 좋아합니다! 내적으로는 나를 웃겨줄수 있는 센스와 재치가 있었으면 좋겠어요! 친구같은 연애하는것을 추구하고 연락이나 만남횟수 같은것에 효율따지지 않고 최선을 다하는 연애하는 사람이 좋아요</t>
  </si>
  <si>
    <t>박준형</t>
  </si>
  <si>
    <t>패션마케터</t>
  </si>
  <si>
    <t>밝게 웃으며 상대를 배려 하는 사람</t>
  </si>
  <si>
    <t>모자 안경이 잘 어울리는사람</t>
  </si>
  <si>
    <t>빵 만드는거 배워보고싶습니다</t>
  </si>
  <si>
    <t>김상아</t>
  </si>
  <si>
    <t>필라테스 협회 교육강사</t>
  </si>
  <si>
    <t>esfp</t>
  </si>
  <si>
    <t>INFP, ISFP, INFJ, INTJ, ISFJ, ENFJ, ESFJ, ENTJ, ESTJ</t>
  </si>
  <si>
    <t>분위기가 밝고 따뜻한사람</t>
  </si>
  <si>
    <t>회피형 아니고 대화 잘되는 분, 안정적인 사람</t>
  </si>
  <si>
    <t>원하경</t>
  </si>
  <si>
    <t>박물관 인사</t>
  </si>
  <si>
    <t>ISFJ, ESFJ</t>
  </si>
  <si>
    <t>영혼없는 리액션장인</t>
  </si>
  <si>
    <t>요리잘하고 잘먹고 관리하는 남자</t>
  </si>
  <si>
    <t>문채영</t>
  </si>
  <si>
    <t>강동성심병원 간호사</t>
  </si>
  <si>
    <t>선하고 단단한 사람</t>
  </si>
  <si>
    <t>섬세하고 유머있는 분</t>
  </si>
  <si>
    <t>병원직군</t>
  </si>
  <si>
    <t>종교는 기독교만 아니면 괜찮습니다</t>
  </si>
  <si>
    <t>서현석</t>
  </si>
  <si>
    <t>소프트웨어 개발자(RSQUARE 홈닷FE)</t>
  </si>
  <si>
    <t>평소에 성실하고 섬세하다는 말을 많이 듣습니다.</t>
  </si>
  <si>
    <t>관계 유지에 노력을 기울이는 사람을 선호합니다. 외적으로는 작고 귀여운 두부상 스타일 좋아합니다.</t>
  </si>
  <si>
    <t>김응혁</t>
  </si>
  <si>
    <t>향수매장 직원</t>
  </si>
  <si>
    <t>솔직한 사람</t>
  </si>
  <si>
    <t>기댈수있는 사람</t>
  </si>
  <si>
    <t>잘부탁드립니다!</t>
  </si>
  <si>
    <t>엄승희</t>
  </si>
  <si>
    <t>공무원(녹지직)</t>
  </si>
  <si>
    <t>INFJ, ISFJ, ENFJ, ESFJ</t>
  </si>
  <si>
    <t>저는 전공을 살려 서울시에서 기술직 공무원으로 일하고 있습니다. 제가 일하므로써 이 사회가 굴러가고 제 전공으로 사람들에게 기여한다는 생각을 가지고 일에 임하고 있어요! 안정적이고 복지가 좋은 회사에 다니고 있다고 자부 할 수 있습니다ㅎㅎ
저는 이것저것 해보는 것도 좋아하고 여행,캠핑 등 활동적인 것들도 여러가지 도전해보는거를 좋아합니다. 하지만 이제는 혼자 하기보다는 좋은 분과 함께하는 도전을 하고 싶네요🤭
연애할때는 연애에 몰입하면 후회남지 않는 연애를 하는거 같아요 상대방을 최대한 배려해주고 아닌 부분은 대화를 통해 맞춰가는 연애를 추구해요</t>
  </si>
  <si>
    <t>기본적으로 다정한 분 좋아하구, 술자리&amp;술 잦으신분들은 죄송합니다. 저는 연애에서 연락과 책임감을 중요하게 여겨요! 연락은 하루종일 붙잡고 있는게 아니더라도 상대가 궁금하거나 답답해하지 않을 정도는 해줘야 한다고 생각해요 그리고 관계에 책임감이 없는분은 작은 위기라도 같이 극복하기 어렵다고 생각하는 편이에요 ㅎㅎ *회피형 지양합니다 연애 및 결혼은 쿵짝 맞는 최고의 동반자를 찾는 과정이라고 생각해요. 그렇기 때문에 연애에서 서로에게 좋은 영향을 줄 수 있는 관계가 되었으면 좋겠어요 누군가에게 결핍이 있다면 채워줄 수 있고 서로 밀고 끌어줄 수 있는 관계요! 또 저는 상대방을 최대한 이해하려고 노력하고 맞추려고 하기때문에 상대도 본성이 선한 책임감 있는 분이 었으면 좋겠어요</t>
  </si>
  <si>
    <t>이상형에 적합한 답변을 내주신 분과 매칭해주세요</t>
  </si>
  <si>
    <t>이민규</t>
  </si>
  <si>
    <t>외국계 IT 기업 / PM</t>
  </si>
  <si>
    <t>저는 운동 좋아하고 대화하고 서로 일상 공유하는 것도 좋습니다. 본인 일에 최선을 다하고 데이트할 땐 데이트에 집중하는 성향을 가지고 있습니다</t>
  </si>
  <si>
    <t>대화 잘 통하고 선하게 생기신 분</t>
  </si>
  <si>
    <t>전혜린</t>
  </si>
  <si>
    <t>경찰병원 간호간병통합서비스 병동근무중</t>
  </si>
  <si>
    <t>유쾌하고 호탕함</t>
  </si>
  <si>
    <t>차분한사람, 내말 잘들어주는 사람</t>
  </si>
  <si>
    <t>외모중심이라면 pass</t>
  </si>
  <si>
    <t>검안사</t>
  </si>
  <si>
    <t>잘 웃고 밝은사람, 긍정적인편, 강해보이지만여린편, 행복지수가 높은사람, 테겐녀, 배려도 있고 강단도 있음</t>
  </si>
  <si>
    <t>나랑 비슷한 느낌의 사람(선하게 생겼고 잘 웃는 사람, 유연한사고를 하는사람, 자존심내세우지않고 자존감은 높은사람, 배려가 있는사람) 테겐남, 고은말을 사용하고 다정한 사람</t>
  </si>
  <si>
    <t>장승희</t>
  </si>
  <si>
    <t>010-4766-9609</t>
  </si>
  <si>
    <t>취준생입니다</t>
  </si>
  <si>
    <t>ISTJ, ENTP</t>
  </si>
  <si>
    <t>밝고 뒤끝없고 호탕하고 친화력좋운사람</t>
  </si>
  <si>
    <t>다정하고 술,담배안하고 안정적인사람</t>
  </si>
  <si>
    <t>최기쁨</t>
  </si>
  <si>
    <t>사무(경영지원)</t>
  </si>
  <si>
    <t>첫인상은 차분 친해지면 재밌는 사람</t>
  </si>
  <si>
    <t>키크고 코드 맞는 사람</t>
  </si>
  <si>
    <t>남대우</t>
  </si>
  <si>
    <t>사업</t>
  </si>
  <si>
    <t>솔직한사람</t>
  </si>
  <si>
    <t>솔직하고 반전있는 스타일</t>
  </si>
  <si>
    <t>문지현</t>
  </si>
  <si>
    <t>디자이너(제약회사 계열사)</t>
  </si>
  <si>
    <t>선하고 밝은 사람</t>
  </si>
  <si>
    <t>댕댕미 있는 강아지상</t>
  </si>
  <si>
    <t>안정원</t>
  </si>
  <si>
    <t>BYN블랙야크</t>
  </si>
  <si>
    <t>ESTP/ISTP</t>
  </si>
  <si>
    <t>ISFP, ISTP, ISTJ, ISFJ, ESFP, ESFJ, ESTP, ESTJ</t>
  </si>
  <si>
    <t>훈훈한 두부상/피부 좋은분/절제력이 있는 분</t>
  </si>
  <si>
    <t>강혜진</t>
  </si>
  <si>
    <t>서비스직(아티제, 바리스타)</t>
  </si>
  <si>
    <t>밝고 다른 사람들과 즐겁게 지내는 걸 좋아하는 사람</t>
  </si>
  <si>
    <t>대화가 통하고 가정적인 사람</t>
  </si>
  <si>
    <t>연구직</t>
  </si>
  <si>
    <t>김형준</t>
  </si>
  <si>
    <t>발전소 사무직</t>
  </si>
  <si>
    <t>잘웃는 웃상에 다정한사람</t>
  </si>
  <si>
    <t>나와 비슷한 루틴한사람</t>
  </si>
  <si>
    <t>병원직군, 자영업</t>
  </si>
  <si>
    <t>이한나</t>
  </si>
  <si>
    <t>치위생사 치과 실장직</t>
  </si>
  <si>
    <t>긍정적인,성실한</t>
  </si>
  <si>
    <t>성실하고,다정한</t>
  </si>
  <si>
    <t>김진리</t>
  </si>
  <si>
    <t>사무직(주임)</t>
  </si>
  <si>
    <t>무관, ISTJ, INTJ, ENTJ, ESTJ</t>
  </si>
  <si>
    <t>동안/사랑스러움</t>
  </si>
  <si>
    <t>표현잘하는 사람</t>
  </si>
  <si>
    <t>손종민</t>
  </si>
  <si>
    <t>학원강사 (초중고)</t>
  </si>
  <si>
    <t>착함(진짜) (타칭)</t>
  </si>
  <si>
    <t>귀여운(but 무관)</t>
  </si>
  <si>
    <t>시간이 어떻게되는지 모르겠네요ㅠ</t>
  </si>
  <si>
    <t>김영현</t>
  </si>
  <si>
    <t>글로벌 마케팅 (아모레퍼시픽)</t>
  </si>
  <si>
    <t>처음엔 차분하고 조용하지만 친해지면 장난도 많이 치는 친근한 스타일입니다</t>
  </si>
  <si>
    <t>선한 사람, 본인 일에 열심히 인 사람</t>
  </si>
  <si>
    <t>윤현덕</t>
  </si>
  <si>
    <t>로펌 상담팀</t>
  </si>
  <si>
    <t>착실하고 건실한 사람</t>
  </si>
  <si>
    <t>잘부탁드립니다</t>
  </si>
  <si>
    <t>한민희</t>
  </si>
  <si>
    <t>한의원 원무직원</t>
  </si>
  <si>
    <t>esfj</t>
  </si>
  <si>
    <t>자가관리 잘하려고 노력하며 긍정적인 운 좋은 사람</t>
  </si>
  <si>
    <t>웃는거 이쁜 사람 청결한 사람 예의있는 사람 배울점 많은 사람</t>
  </si>
  <si>
    <t>정지동</t>
  </si>
  <si>
    <t>반도체 장비 프로그래머</t>
  </si>
  <si>
    <t>24~27</t>
  </si>
  <si>
    <t>현실적이며 이성적이다, 감정의 폭이 크지 않으며 낯을 가리는 편이다. 하지만 좀 친해지면 재밌게 잘 하는 것 같다. 사람이 너무 많으면 말을 잘 못하는 편이며 오히려 소수일수록 편하게 말하는 것 같다. 친할수록 현실적으로 해결책을 같이 고민하며 오히려 낯선 사람은 공감을 잘 해주는 것 같다.</t>
  </si>
  <si>
    <t>예의바르고 너무 감정적이지 않으며 반묶음 잘 어울리는분</t>
  </si>
  <si>
    <t>신현정</t>
  </si>
  <si>
    <t>외국계회사/영업지원</t>
  </si>
  <si>
    <t>잘웃고 책임감이 강한 사람</t>
  </si>
  <si>
    <t>쌍커풀 없고 다정한 사람, 재밌는 사람</t>
  </si>
  <si>
    <t>최소리</t>
  </si>
  <si>
    <t>영화음악작곡가/ 학교 강사</t>
  </si>
  <si>
    <t>intj</t>
  </si>
  <si>
    <t>INFP, INTP, INFJ, INTJ, ENTJ</t>
  </si>
  <si>
    <t>낙천적이고 생각 깊은 사람</t>
  </si>
  <si>
    <t>결이 비슷한 사람</t>
  </si>
  <si>
    <t>이수빈</t>
  </si>
  <si>
    <t>밝음 재미 솔직 차분 따뜻</t>
  </si>
  <si>
    <t>나와 결이 비슷한사람</t>
  </si>
  <si>
    <t>외모를 좀 봅니다.. 최대한 반영해주시면 감사합니다🥹</t>
  </si>
  <si>
    <t>이두희</t>
  </si>
  <si>
    <t>010-6270-2247</t>
  </si>
  <si>
    <t>법무법인 송무팀</t>
  </si>
  <si>
    <t>안녕하세요! 저는 제 삶을 긍정적으로 채워나가려 노력하고 있습니다! 운동을 통해 에너지를 채우는 것도 제 소중한 일과 중 하나입니다. 제가 생각하는 제 장점은 '다정함, 꾸준함'이에요. 스스로를 아끼는 만큼 인연에게도 따뜻한 관심을 표현하고, 사소한 대화 속에서도 즐거움을 찾아내는 편입니다.</t>
  </si>
  <si>
    <t>서로의 성장을 응원하면서도, 쉴 때는 누구보다 다정하게 쉴 수 있는 그런 따뜻한 인연을 기다려요! 연락 문제로 불안하게 하지 않고, 변덕스럽지 않은 사람이 좋고, 비흡연자를 선호합니다!</t>
  </si>
  <si>
    <t>31~34</t>
    <phoneticPr fontId="1" type="noConversion"/>
  </si>
  <si>
    <t>160~165</t>
    <phoneticPr fontId="1" type="noConversion"/>
  </si>
  <si>
    <t>35~38</t>
    <phoneticPr fontId="1" type="noConversion"/>
  </si>
  <si>
    <t>38~41</t>
    <phoneticPr fontId="1" type="noConversion"/>
  </si>
  <si>
    <t>180~</t>
    <phoneticPr fontId="1" type="noConversion"/>
  </si>
  <si>
    <t>28~41</t>
  </si>
  <si>
    <t>24~38</t>
  </si>
  <si>
    <t>24~34</t>
    <phoneticPr fontId="1" type="noConversion"/>
  </si>
  <si>
    <t>20~34</t>
  </si>
  <si>
    <t>20~27</t>
  </si>
  <si>
    <t>165~180</t>
  </si>
  <si>
    <t>165~180</t>
    <phoneticPr fontId="1" type="noConversion"/>
  </si>
  <si>
    <t>~160</t>
    <phoneticPr fontId="1" type="noConversion"/>
  </si>
  <si>
    <t>160~175</t>
  </si>
  <si>
    <t>165~175</t>
  </si>
  <si>
    <t>~175</t>
  </si>
  <si>
    <t>20~38</t>
  </si>
  <si>
    <t>이승재</t>
  </si>
  <si>
    <t>공공기관 종합병원 재활</t>
  </si>
  <si>
    <t>예의있고 진중하면서도 유머를 갖춘 사람</t>
  </si>
  <si>
    <t>웃음이 이쁘고 말 이쁘게 하시는 분</t>
  </si>
  <si>
    <t>결혼까지 생각하며 빵 열심히 만들게요 : )</t>
  </si>
  <si>
    <t>강병규</t>
  </si>
  <si>
    <t>디스플레이허브 기술파트</t>
  </si>
  <si>
    <t>항상 긍정적으로 살아가려고 노력하고 굴곡이 맞지 않은 사람</t>
  </si>
  <si>
    <t>베이지가 잘 어울리는 여자</t>
  </si>
  <si>
    <t>우지연</t>
  </si>
  <si>
    <t>물리치료사, 사원</t>
  </si>
  <si>
    <t>자연을 좋아하고 산책과 맛있는거 먹는것을 좋아한다.
낯 가려서 친해지기까지 시간이 걸리지만 친해지면 세상 다정한 사람이 된다.
지인들에게 다정하고 착하다는 말을 듣는다.</t>
  </si>
  <si>
    <t>웃는게 이쁜사람, 대화의 티키타카가 잘되는 사람, 다정한 사람</t>
  </si>
  <si>
    <t>김경선</t>
  </si>
  <si>
    <t>시립어린이집교사-주임교사</t>
  </si>
  <si>
    <t>isfp-istj</t>
  </si>
  <si>
    <t>164에 58-9 통통한 편이고, 참해보인다는 이야기를 종종듣는 인상입노다. 친해지면 털털하고 애교도 있는데, 낮가림이 있어 먼저 다가가 편해지는데 시간을 필요로 합니다. 올곧게 바르게 살았고, 앞으로도 그럴 예정입니다. 여행을 좋아하고 맛있는걸 좋아합니다^^</t>
  </si>
  <si>
    <t>너무 감수성이 높은 사람은 잘 안맞는것 같아요.유쾌하고 투명한 사람이 좋습니다. 성실한 사람이 좋습니다.노담이면 좋지만 아니어도 상관없고, 문신은 어려울것같습니다.</t>
  </si>
  <si>
    <t>박진훈</t>
  </si>
  <si>
    <t>연구직 ( 열유동 시뮬레이션 해석 및 개발)</t>
  </si>
  <si>
    <t>Intp</t>
  </si>
  <si>
    <t>순하고 착한 사람! 매사 긍정적인 사고를 하고 열심히 사는 사람!</t>
  </si>
  <si>
    <t>청순하고 귀여운 사람! 착하고 순한 사람!</t>
  </si>
  <si>
    <t>잘부탁드립니다..!</t>
  </si>
  <si>
    <t>김세향</t>
  </si>
  <si>
    <t>엔터테인먼트/매니저</t>
  </si>
  <si>
    <t>ESFJ/ESTJ</t>
  </si>
  <si>
    <t>알아갈 수록 첫인상이랑 다른 사람</t>
  </si>
  <si>
    <t>골격이 크고 다정하고 상대가 뭘 좋아할까 고민하는 사람</t>
  </si>
  <si>
    <t>이창우</t>
  </si>
  <si>
    <t>물리치료사</t>
  </si>
  <si>
    <t>착하다 섬세하다 활발하다</t>
  </si>
  <si>
    <t>밝고 긍정적인 사람</t>
  </si>
  <si>
    <t>조수진</t>
  </si>
  <si>
    <t>010-2038-4831</t>
  </si>
  <si>
    <t>교사(중학교)</t>
  </si>
  <si>
    <t>밝고 긍정적이고 일에도 열정이 가득한 사람. 사람을 좋아하고 웃음이 많음. 책임감이 강하고 남을 배려하는 사람. 거절을 잘 못 함. 책과 음악을 좋아하고 영화나 드라마도 좋아함. 운명적인 사랑을 믿고 운명을 기다리는 사람. 상처도 잘 받지만 또 금새 털어버리는 사람(잘 까먹음). 동물을 사랑하고 세상에 긍정적인 영향력을 조금이라도 미치고 싶은 사람. 바르게 살기 위해 노력하는 사람. 같이 있는 사람(친구나 연인)에게 동화가 잘 되는 편.</t>
  </si>
  <si>
    <t>듬직하고 다정한 사람. 성격이 선하고 바른 사람. 담배를 피지 않고, 운동을 좋아하는 사람. 대화가 잘 통하고 편안하면서도 같이 있는게 너무 즐거운 사람. 웃음 코드가 잘 맞고, 다른 사람에게 상처주는 말이나 행동을 웃음 소재로 쓰지 않는 사람. 기본적인 예의가 있는 사람. 자기 일에 열정적인 사람. 내면이 단단하고 말을 예쁘게 하는 사람.</t>
  </si>
  <si>
    <t>직업 무관이라고 했지만 교사는 아니었으면 좋겠습니다. 운명을 만나면 좋겠지만 아니더라도 베이킹이 너무 기대됩니다!</t>
  </si>
  <si>
    <t>조수영</t>
  </si>
  <si>
    <t>교육업</t>
  </si>
  <si>
    <t>무관, ENFJ</t>
  </si>
  <si>
    <t>리액션좋고 친해지면 엉뚱한면이있음</t>
  </si>
  <si>
    <t>선하고 두부상/다정하면서 무던한분</t>
  </si>
  <si>
    <t>동의</t>
  </si>
  <si>
    <t>이승준</t>
  </si>
  <si>
    <t>귀엽고 애교 많은 사람, 루틴이 있는 사람</t>
  </si>
  <si>
    <t>지연희</t>
  </si>
  <si>
    <t>대기업 IT / UX기획</t>
  </si>
  <si>
    <t>처음엔 낯을 좀 가리지만 친해지면 장난기 있는 성격. 잘 웃고 긍정적이려고 노력합니다. 리액션이 좋다는 말을 많이 들어요</t>
  </si>
  <si>
    <t>재미있고 듬직한 사람. 좀 활동적인 분이 좋습니다</t>
  </si>
  <si>
    <t>진현수</t>
  </si>
  <si>
    <t>중앙대병원 간호사</t>
  </si>
  <si>
    <t>화려하거나 한방을 노리기보다 꾸준함, 성실한 사람, 주7일 일하는사람</t>
  </si>
  <si>
    <t>가능하면 평일 저녁 클래스 오픈 하면 참여 원합니다</t>
  </si>
  <si>
    <t>한채린</t>
  </si>
  <si>
    <t>비영리기관(사무직)</t>
  </si>
  <si>
    <t>무관, ESFP, ESFJ, ESTP, ENTJ</t>
  </si>
  <si>
    <t>안녕하세요.
차분한 시간을 좋아하고, 작은 순간들을 소중하게 생각하는 사람입니다.
평소에는 음악을 듣거나 카페에서 조용히 시간을 보내는 걸 좋아하고, 피아노연주나 클래식공연 보는것도 좋아합니다. 일상의 소소한 장면들을 기록하는 것도 즐깁니다. 베이킹처럼 손으로 무언가를 함께 만들어가는 시간도 참 따뜻할 것 같아 신청하게 되었습니다.</t>
  </si>
  <si>
    <t>밝고 긍정적인 에너지, 자신의 일과 삶에 책임감을 가지고 성실하게 살아가는 사람. 편안하게 대화하며 소소한 시간을 함께 즐길 수 있는 사람. 외적인건 뚱뚱한것과 자기관리가 안되는것.</t>
  </si>
  <si>
    <t xml:space="preserve">
</t>
  </si>
  <si>
    <t>INTJ, ENTP</t>
  </si>
  <si>
    <t>황혜선</t>
  </si>
  <si>
    <t>010-4631-6301</t>
  </si>
  <si>
    <t>학교,학원 바이올린 선생님</t>
  </si>
  <si>
    <t>잘 웃고 마음이 따뜻한 사람</t>
  </si>
  <si>
    <t>한결같고 티키타카가 잘 되는 사람. 표현이 많은 솔직한 사람</t>
  </si>
  <si>
    <t>강영연</t>
  </si>
  <si>
    <t>42~</t>
  </si>
  <si>
    <t>다정하고 재밌는 사람</t>
  </si>
  <si>
    <t>다정하고 세심한 사람</t>
  </si>
  <si>
    <t>이성원</t>
  </si>
  <si>
    <t>010-7377-7226</t>
  </si>
  <si>
    <t>한국이스포츠협회/심판운영파트</t>
  </si>
  <si>
    <t>지속적으로 성장하기 위해 끊임없이 노력하는 사람.
놀땐 놀고, 일할 때는 일하고!</t>
  </si>
  <si>
    <t>키 165 이상, 긴생머리, 외국어 능력자</t>
  </si>
  <si>
    <t>참여비와 참여 시간 등이 궁금해요.</t>
  </si>
  <si>
    <t>김해님</t>
  </si>
  <si>
    <t>의료컨설팅, 간호사</t>
  </si>
  <si>
    <t>infp</t>
  </si>
  <si>
    <t>무관, ESFP, ENFJ</t>
  </si>
  <si>
    <t>내성적이지만 친해지면 활발한 모습, 차가워 보이지만 세상 따뜻한 사람! 운동을 사랑함</t>
  </si>
  <si>
    <t>매녀, 배려심, 이해심이 많고 착한사람. 자기관리와 운동하는 재밌는 사람.</t>
  </si>
  <si>
    <t>이송미</t>
  </si>
  <si>
    <t>메이크업 - 부원장</t>
  </si>
  <si>
    <t>츤데레</t>
  </si>
  <si>
    <t>티키타카 잘되는 개그성향</t>
  </si>
  <si>
    <t>이은지</t>
  </si>
  <si>
    <t>회사원/사무직</t>
  </si>
  <si>
    <t>ISTJ, ISFJ, ENFJ, ESFJ, ENTJ, ESTJ</t>
  </si>
  <si>
    <t>밝고 행복한 사람&gt;&lt;</t>
  </si>
  <si>
    <t>박다솜</t>
  </si>
  <si>
    <t>교사</t>
  </si>
  <si>
    <t>긍정적이고 밝은 사람!</t>
  </si>
  <si>
    <t>선한 인상의 선한 사람</t>
  </si>
  <si>
    <t>42~</t>
    <phoneticPr fontId="1" type="noConversion"/>
  </si>
  <si>
    <t>이미소</t>
  </si>
  <si>
    <t>제약회사 품질보증팀</t>
  </si>
  <si>
    <t>잘 웃고 다정한 사람. 성격이 둥글둥글해서 두루 좋게 지내나 어떤 면에선 좋고 싫은게 분명한 사람이에요. 가끔 말을 차갑게 할때가 있는데 그건 그냥 상황판단만 한거지 감정이 섞인건 아니에요</t>
  </si>
  <si>
    <t>착하고 따뜻한 사람.자존감이 낮지 않은 사람이 좋은 것 같아요. 그리고 상대방의 말을 잘 귀담아 듣고 기억해주는 사람이요.</t>
  </si>
  <si>
    <t>최다혜</t>
  </si>
  <si>
    <t>미술학원운영</t>
  </si>
  <si>
    <t>Enfp(거의반반)</t>
  </si>
  <si>
    <t>무교, 천주교, 기독교, 불교</t>
  </si>
  <si>
    <t>흘러가는대로 살고싶은 사람!</t>
  </si>
  <si>
    <t>다정다감한..모두의 이상형</t>
  </si>
  <si>
    <t>어예나</t>
  </si>
  <si>
    <t>회계법인 세무대리</t>
  </si>
  <si>
    <t>Istp</t>
  </si>
  <si>
    <t>ISFP, ISTJ, ENTP, ESTP, ENTJ, ESTJ</t>
  </si>
  <si>
    <t>말 수는 적지만 할 말은 다 하는 편이고, 의외로 챙겨주는거 좋아하고 다정한 면이 있습니다!</t>
  </si>
  <si>
    <t>다정하고 무던한 분/ 자기관리 하는 분</t>
  </si>
  <si>
    <t>윤예은</t>
  </si>
  <si>
    <t>010-6237-1274</t>
  </si>
  <si>
    <t>댄서</t>
  </si>
  <si>
    <t>INFP, INFJ, ENFP, ESFP, ENFJ</t>
  </si>
  <si>
    <t>웃음이 많고 밝으면서 매너있고 긍정적인 사람입니다!</t>
  </si>
  <si>
    <t>키가 크시고 다정한 성격이랑 말투를 가지신 분을 좋아하고 강아지상에 비흡연자이신분을 좋아합니다!</t>
  </si>
  <si>
    <t>이상형에 부합하는 분이 나오셨으면 하는 바람이 있습니다:) ,,!!</t>
  </si>
  <si>
    <t>전미현</t>
  </si>
  <si>
    <t>간호보조 및 상담</t>
  </si>
  <si>
    <t>이타적인 사랑꾼?</t>
  </si>
  <si>
    <t>안정적,다정다감,사랑꾼</t>
  </si>
  <si>
    <t>정린</t>
  </si>
  <si>
    <t>010-5947-2511</t>
  </si>
  <si>
    <t>건설업 (건축감리-대리)</t>
  </si>
  <si>
    <t>밝고 차분한 사람, 성실하고 자기관리 열씸히하는 빵순이+집순이</t>
  </si>
  <si>
    <t>무쌍 강아지상 자기관리 잘하는</t>
  </si>
  <si>
    <t>김수민</t>
  </si>
  <si>
    <t>010-2729-0334</t>
  </si>
  <si>
    <t>사이버대학교/콘텐츠개발 교직원</t>
  </si>
  <si>
    <t>Istj</t>
  </si>
  <si>
    <t>ESFJ, ESTJ</t>
  </si>
  <si>
    <t>활동적이지만 조용한 사람</t>
  </si>
  <si>
    <t>말투가 이쁘고 다정한 사람</t>
  </si>
  <si>
    <t>안석준</t>
  </si>
  <si>
    <t>010-8246-6206</t>
  </si>
  <si>
    <t>1인 개인사업자</t>
  </si>
  <si>
    <t>다정, 유머, 긍정적인 사람, 강아지 좋아하고 키우고 있어요!</t>
  </si>
  <si>
    <t>귀여운 외모를 가지신 분, 유쾌하고 긍정적이신 분</t>
  </si>
  <si>
    <t>이은규</t>
  </si>
  <si>
    <t>에어컨설치, 판매(개인사업자)</t>
  </si>
  <si>
    <t>성격이 둥글둥글 하고 감정기복이 거의없음</t>
  </si>
  <si>
    <t>테토녀</t>
  </si>
  <si>
    <t>이희영</t>
  </si>
  <si>
    <t>의료기기, 인허가(규제전문가)</t>
  </si>
  <si>
    <t>ISFP, INFJ, ISTJ, INTJ, ISFJ, ESFP, ESFJ, ENTJ, ESTJ</t>
  </si>
  <si>
    <t>예쁜사람</t>
  </si>
  <si>
    <t>자기 일을 좋아하는 사람</t>
  </si>
  <si>
    <t>제가 수원사는데 너무 강북만 아니면 좋을거 같아요..</t>
  </si>
  <si>
    <t>김진연</t>
  </si>
  <si>
    <t>베이커리</t>
  </si>
  <si>
    <t>ESTP ISTP</t>
  </si>
  <si>
    <t>무관, ENFP</t>
  </si>
  <si>
    <t>하루하루가 즐거운사람</t>
  </si>
  <si>
    <t>배려있고 저를 먼저 생각해주는 사람</t>
  </si>
  <si>
    <t>손진</t>
  </si>
  <si>
    <t>패션업 / 마케팅</t>
  </si>
  <si>
    <t>텐션은 있는데 감정은 안정된 사람</t>
  </si>
  <si>
    <t>대화가 통하고, 삶의 결이 어느 정도 자리 잡힌 사람</t>
  </si>
  <si>
    <t>김사윤</t>
  </si>
  <si>
    <t>010-9870-8563</t>
  </si>
  <si>
    <t>개인 광고사진 스튜디오</t>
  </si>
  <si>
    <t>INFP, ISFP, INFJ, ENFP, ESFP, ENFJ, ENTJ</t>
  </si>
  <si>
    <t>서울에서 광고사진 스튜디오를 운영하는 전문사진가입니다.</t>
  </si>
  <si>
    <t>병원직군, 기술직, 자영업, 공무원, 회사원, 무관</t>
  </si>
  <si>
    <t>권영훈</t>
  </si>
  <si>
    <t>010-5566-4480</t>
  </si>
  <si>
    <t>코웰메디 임플란트 / 영업센터장</t>
  </si>
  <si>
    <t>ISFP, ISTP, ISTJ, ESFP, ESFJ, ESTP, ESTJ</t>
  </si>
  <si>
    <t>차분하고 상대의 이야기를 잘 들어주고 배려심 있는 감정의 기복이 크지 않아요.</t>
  </si>
  <si>
    <t>잘 웃고 배려심 있으며 자신만의 독특한 매력이 있는 사람</t>
  </si>
  <si>
    <t>업무로 인해 참석이 어려운 날에 배정된다면 변경이 가능한지 궁금합니다</t>
  </si>
  <si>
    <t>양대광</t>
  </si>
  <si>
    <t>010-2575-3225</t>
  </si>
  <si>
    <t>중소기업(유통업) 팀장</t>
  </si>
  <si>
    <t>웃음 많고 밝고 말많은사람</t>
  </si>
  <si>
    <t>강기태</t>
  </si>
  <si>
    <t>010-2307-9728</t>
  </si>
  <si>
    <t>작업치료사</t>
  </si>
  <si>
    <t>INFP, INFJ, INTJ, ISFJ, ENFP, ESFP, ENFJ, ESFJ, ENTP, ENTJ</t>
  </si>
  <si>
    <t>긍정적이고 밝은사람</t>
  </si>
  <si>
    <t>밝고 재밌는분</t>
  </si>
  <si>
    <t>김나영</t>
  </si>
  <si>
    <t>(직장)어린이집 교사</t>
  </si>
  <si>
    <t>ISFP, ISTP, INFJ, ISTJ, INTJ, ISFJ, ESFP, ENFJ, ESFJ, ENTP, ESTP, ENTJ, ESTJ</t>
  </si>
  <si>
    <t>처음 볼 때 낯가림이 있어 조금 뚝닥대고 차가워보일 수 있으나 사람 좋아하고 정이 많음. 집순이, 남사친 X 외적으로 통통한 편.. 빵 좋아하고 작고 귀여운 것들 좋아함. 최애 캐릭터는 짱구,, 입니다.</t>
  </si>
  <si>
    <t>담배, 문신 X / 키 175 이상에 직업 있고 자기 일 열심히 하는 사람. 안경은 약간 비선호.. 무쌍이나 얇은 유쌍 선호(아랍 보다는 두부 선호) 마른 체형보다는 조금 덩치가 있는 분 선호(근육질X)</t>
  </si>
  <si>
    <t>마케터</t>
  </si>
  <si>
    <t>entp &amp; enfp</t>
  </si>
  <si>
    <t>무관, ISFJ, ENFJ, ESFJ, ENTP, ENTJ</t>
  </si>
  <si>
    <t>취미부자 비타민c인간</t>
  </si>
  <si>
    <t>티키타카잘되는사람</t>
  </si>
  <si>
    <t>박수지</t>
  </si>
  <si>
    <t>안경사</t>
  </si>
  <si>
    <t>무관, ISFJ, ESFJ</t>
  </si>
  <si>
    <t>첫만남보단 알아갈수록 매력있는 사람!</t>
  </si>
  <si>
    <t>키크고 골격있고 다정하고 세심한 쌍꺼풀 진하지 않은 책임감 있는 연상같은 사람</t>
  </si>
  <si>
    <t>모의해커</t>
  </si>
  <si>
    <t>다정하고 알고보면 재밌는 사람??</t>
  </si>
  <si>
    <t>하얗고 고양이상에 꾸미는걸 좋아하는분</t>
  </si>
  <si>
    <t>비흡연자가 좋습니다</t>
  </si>
  <si>
    <t>김정용</t>
  </si>
  <si>
    <t>010-3380-3481</t>
  </si>
  <si>
    <t>컬리, MD</t>
  </si>
  <si>
    <t>INFP, INFJ, INTJ, ENFJ, ENTJ</t>
  </si>
  <si>
    <t>안녕하세요.
사람 만나는 걸 좋아하는 93년생 ENFP 남자입니다. 혼자보다는 여럿이 함께할 때 더 즐겁고, 같이 좋은 분위기를 만들어가는 걸 좋아합니다. 그래서 회사든 일상이든 혼자 결과를 내는 것보다, 함께 웃으면서 성과를 냈을 때 더 보람을 느끼는 편인 것 같습니다.
주변에서는 다정하고 세심하다는 이야기를 종종 듣습니다. 성격 자체가 즐거움을 추구하고 밝고 긍정적인 편이라서, 동성·이성 가리지 않고 재밌고 편한 분들과 잘 어울리는 것 같습니다.
[일상 &amp; 취미]
보통 쉬는 날에는 맛집이나 분위기가 좋은 카페에 가서 시간을 보내는 걸 좋아합니다. 노트북 하나 들고 가서 이것저것 기록하거나, 커피를 천천히 음미하면서 보내는 여유로운 시간이 평일에 커피 마시는 것과는 다르게 꽤 소중하다고 생각합니다.
운동도 꾸준히 하고 있습니다. 퇴근 후에 바로 크로스핏 같은 단체 운동을 3년 정도 하고 있는데, 친목 목적이라기보다는 “같이 운동하는 에너지”가 좋아서 꾸준히 하고 있습니다.
그리고 작년 여름부터 날씨 좋은 날에는 러닝도 하고 있습니다. 생각이 많을 때 뛰면 머리가 정리되고 기분이 한결 가벼워져서 주말에 자주 뛰는 편입니다.</t>
  </si>
  <si>
    <t>[외적 부분] - 너무 화려하기 보다는 수수하고 청순한 느낌을 좋아합니다. 이목구비의 조화가 좋으신 분을 선호합니다. 또한, 머리숱이 많으신 분에게 매력을 느낍니다. - 이상형으로는 김아랑 선수, 최윤지 배우님, 한로로님, 김시현 셰프님과 같은 분들이 있지만, 결국 이상형은 이상형일 뿐 직접 만나서 느낌이 오는 분은 이 부분과 또 다르다고 생각합니다. [성격] - 성격은 저랑 비슷한 분을 선호합니다. 감정선이 너무 감정적이시기 보다는 조금은 평온한 성격을 좋아합니다. 그렇다고 감정이 없는 분이 아니라 기쁠 때 같이 기뻐하고, 화낼 때 같이 화낼 수 있는 분이 좋습니다. 그리고 너무 나서는 성격보다는 눈치를 보더라도 조금은 조심스러워하는 성격을 선호하는 편입니다. 또한 제가 장난치거나 재밌는 이야기를 하는 걸 좋아하는 편이다 보니 개그 코드가 잘 맞는 분이거나 잘 들어줄 수 있는 성격이면 좋을 것 같습니다. [직업] - 직업은 크게 상관 없다고 생각합니다. 비슷한 업계에서 일해서 업무적인 이야기를 어느 정도 해도 좋다고 생각하고, 아예 달라서 그런 점들을 이야기하는 것도 좋다고 생각합니다. 공통적으로 이야기할 것들이 많으면 좋을 것 같습니다. 다만, 스케줄 근무를 하시거나 직장을 다니시지 않는 프리랜서분들보다는 보통적인 9-6 직장인을 더 선호합니다. [취미] - 저처럼 운동을 즐길 수 있는 분이면 좋을 것 같습니다. 같이 운동을 하러 가거나 같이 런닝을 해도 좋을 것 같습니다. 그러면서 동시에 맛집이나 카페 같이 새로운 곳들에 가서 새로운 음식들을 경험하는 것을 좋아하는 분이면 좋을 것 같습니다.</t>
  </si>
  <si>
    <t>성은진</t>
  </si>
  <si>
    <t>대학병원 의료기사</t>
  </si>
  <si>
    <t>자기관리를 잘하고 성격은 밝고 긍정적이며 책임감 있고 배려심 많음</t>
  </si>
  <si>
    <t>다정하고 배려심 많으며 배울 점이 많고 안정감이 드는 사람</t>
  </si>
  <si>
    <t>잘부탁드립니다!!!</t>
  </si>
  <si>
    <t>김민경</t>
  </si>
  <si>
    <t>대기업계열사, 사이버 보안</t>
  </si>
  <si>
    <t>잘웃고 리액션 장인이라는 소리를 많이 들어요</t>
  </si>
  <si>
    <t>제 키를 부담스러워하지 않는 사람, 말을 예쁘게 하는 사람</t>
  </si>
  <si>
    <t>이윤선</t>
  </si>
  <si>
    <t>010-4629-9499</t>
  </si>
  <si>
    <t>밝고 배려심있는 따뜻한사람 + 여행을 좋아함</t>
  </si>
  <si>
    <t>듬직하고, 성실하고, 재미있는 사람 + 비흡연자 선호</t>
  </si>
  <si>
    <t>20~31</t>
    <phoneticPr fontId="1" type="noConversion"/>
  </si>
  <si>
    <t>김예림</t>
  </si>
  <si>
    <t>밝고 리액션이 좋아 남의 이야기를 잘 들어줍니다. 주변에서는 분위기가 편안하다는 이야길 종종 듣습니다. 자기계발하는걸 좋아해 취미도 다양하게 가지고 있습니다. 최근에는 서울로 이직하고 싶어 이직준비 중입니다.</t>
  </si>
  <si>
    <t>자신의 일에 자부심이 있고 이야기를 잘 들어주는 사람</t>
  </si>
  <si>
    <t>임용관</t>
  </si>
  <si>
    <t>010-9194-0874</t>
  </si>
  <si>
    <t>회사원 / 개발자</t>
  </si>
  <si>
    <t>INFP, ISFP, INTP, INFJ, ISTJ, INTJ, ISFJ, ENFP, ESFP, ENFJ, ESFJ, ENTP, ESTP, ENTJ, ESTJ</t>
  </si>
  <si>
    <t>일할 때는 집중해서 끝까지 파고드는 편이지만 평소에는 편하게 웃고 대화하는 시간을 좋아하는 사람입니다.
운동과 자기관리를 꾸준히 하면서 균형 있는 삶을 지향하고 있습니다.</t>
  </si>
  <si>
    <t>잘 웃고 밝은 에너지를 가진 분에게 자연스럽게 끌립니다. 외적으로는 고양이상이나 여우상처럼 분위기가 또렷한 분을 선호하고, 웃을 때 매력이 느껴지는 분에게 호감을 느끼는 편입니다.</t>
  </si>
  <si>
    <t>김문환</t>
  </si>
  <si>
    <t>작가, 철학연구가</t>
  </si>
  <si>
    <t>장난기 많지만 진중한 사람</t>
  </si>
  <si>
    <t>장윤지</t>
  </si>
  <si>
    <t>CG 제작관리팀</t>
  </si>
  <si>
    <t>차분하고 내향적인 편이지만, 가까운 사람들에겐 편하고 따뜻한 사람이에요.
혼자 보내는 시간도 좋아하지만, 좋아하는 사람과 함께하는 시간은 더 소중하게 생각해요.
일이나 관계 모두 가볍게 넘기지 않는 편입니다.</t>
  </si>
  <si>
    <t>차분하고 배려심 있는 분이 좋아요. 함께 있을 때 편안하고, 서로 존중하면서 오래 볼 수 있는 관계를 중요하게 생각합니다.</t>
  </si>
  <si>
    <t>이동연</t>
  </si>
  <si>
    <t>레이저장비회사, sw프로그래머</t>
  </si>
  <si>
    <t>잘 배려해주는 사람</t>
  </si>
  <si>
    <t>성지원</t>
  </si>
  <si>
    <t>서울장곡초등학교 교사</t>
  </si>
  <si>
    <t>무관, ISTJ, ISFJ, ESTJ</t>
  </si>
  <si>
    <t>차분하고 친해지면 귀여운 매력</t>
  </si>
  <si>
    <t>심신이 건강한 사람</t>
  </si>
  <si>
    <t>이관용</t>
  </si>
  <si>
    <t>주식회사 액트 영업</t>
  </si>
  <si>
    <t>주중엔 일에 집중하고 퇴근 후엔 운동과 강아지와 산책하며 보내며, 차분하지만 친해지면 잘 웃고 리액션 좋은편입니다.커피,맛집,영화 좋아합니다. 부담없이 천천히 알아가면서 서로 존중하는 관계를 찾고 있습니다.</t>
  </si>
  <si>
    <t>자영업자(애견미용사</t>
  </si>
  <si>
    <t>키크고 자기관리 잘하고 운동 잘하는 사람</t>
  </si>
  <si>
    <t>김반석</t>
  </si>
  <si>
    <t>IT엔지니어</t>
  </si>
  <si>
    <t>저는 솔직한 편이라, 좋고 싫은 게 표정에 조금 드러나는 편이에요. 그래서 오히려 편하다는 얘기를 듣기도 해요.
인연을 소중하게 생각하는 편이라 한 번 만나면 오래 보고 싶은 스타일이고요.
너무 무겁기보다는, 가끔씩 툭툭 웃기는 편이에요.
목표가 생기면 어떻게든 이루려고 노력하는 편이라, 스스로는 진취적인 성향이라고 생각합니다.
잘 부탁드립니다 🙂</t>
  </si>
  <si>
    <t>비흡연자였으면 좋겠고, 긴 머리가 잘 어울리는 분을 좋아해요. 연하이신 분이 조금 더 편하게 느껴지고, 같이 있을 때 밝고 에너지가 좋은 분이면 더 잘 맞을 것 같아요.</t>
  </si>
  <si>
    <t>김지연</t>
  </si>
  <si>
    <t>초등교사</t>
  </si>
  <si>
    <t>긍정적이고 밝은 에너지를 가진 사람. 다정하고 책임감 있음. 새로운 거에 대한 두려움 없음.</t>
  </si>
  <si>
    <t>맹구(무던, 듬직, 자기 분야가 있는 사람!)</t>
  </si>
  <si>
    <t>오예성</t>
  </si>
  <si>
    <t>디자이너 BX파트</t>
  </si>
  <si>
    <t>Istj / isfj</t>
  </si>
  <si>
    <t>저는 낯을 많이 가리는 소극적잉 집순이지만 예의를 잘 지키고 잘 웃고 다른 사람 얘기 듣는것도 좋아합니다 ! 
디자이너라는 직업을 사랑하고 앞으로도 계속 일하고 싶구요 ! 
꾸미는 걸 좋아해서 옷도 잘입고 외모는 동안입니다 :) 
(그렇다고 상대방도 잘 꾸미는걸 원하는건 아니에요..)</t>
  </si>
  <si>
    <t>티키타카 대화가 잘 되는 분이셨으면 좋겠어요. 본인의 일 착실하게 잘하고 ! 피부 좋으신분 !</t>
  </si>
  <si>
    <t>24~27</t>
    <phoneticPr fontId="1" type="noConversion"/>
  </si>
  <si>
    <t>165~170</t>
    <phoneticPr fontId="1" type="noConversion"/>
  </si>
  <si>
    <t>[외적 부분] - 너무 화려하기 보다는 수수하고 청순한 느낌을 좋아합니다. 이목구비의 조화가 좋으신 분을 선호합니다. 또한, 머리숱이 많으신 분에게 매력을 느낍니다. - 이상형으로는 김아랑 선수, 최윤지 배우님, 한로로님, 김시현 셰프님과 같은 분들이 있지만, 결국 이상형은 이상형일 뿐 직접 만나서 느낌이 오는 분은 이 부분과 또 다르다고 생각합니다. [성격] - 성격은 저랑 비슷한 분을 선호합니다. 감정선이 너무 감정적이시기 보다는 조금은 평온한 성격을 좋아합니다. 그렇다고 감정이 없는 분이 아니라 기쁠 때 같이 기뻐하고, 화낼 때 같이 화낼 수 있는 분이 좋습니다. 그리고 너무 나서는 성격보다는 눈치를 보더라도 조금은 조심스러워하는 성격을 선호하는 편입니다. 또한 제가 장난치거나 재밌는 이야기를 하는 걸 좋아하는 편이다 보니 개그 코드가 잘 맞는 분이거나 잘 들어줄 수 있는 성격이면 좋을 것 같습니다. [직업] - 직업은 크게 상관 없다고 생각합니다. 비슷한 업계에서 일해서 업무적인 이야기를 어느 정도 해도 좋다고 생각하고, 아예 달라서 그런 점들을 이야기하는 것도 좋다고 생각합니다. 공통적으로 이야기할 것들이 많으면 좋을 것 같습니다. 다만, 스케줄 근무를 하시거나 직장을 다니시지 않는 프리랜서분들보다는 보통적인 9-6 직장인을 더 선호합니다. [취미] - 저처럼 운동을 즐길 수 있는 분이면 좋을 것 같습니다. 같이 운동을 하러 가거나 같이 런닝을 해도 좋을 것 같습니다. 그러면서 동시에 맛집이나 카페 같이 새로운 곳들에 가서 새로운 음식들을 경험하는 것을 좋아하는 분이면 좋을 것 같습니다.</t>
    <phoneticPr fontId="1" type="noConversion"/>
  </si>
  <si>
    <t>No.</t>
    <phoneticPr fontId="1" type="noConversion"/>
  </si>
  <si>
    <t>유치원교사</t>
  </si>
  <si>
    <t>긍정적이고 활동적인 사람</t>
  </si>
  <si>
    <t>대화가 잘되는 사람</t>
  </si>
  <si>
    <t>여세린</t>
  </si>
  <si>
    <t>안양시청소년재단 석수청소년문화의집(청소년지도사)</t>
  </si>
  <si>
    <t>해맑다가도 고민이 많고 스스로 성찰하다가도 도닥이는 편, 사람을 좋아하지만 혼자만의 시간도 중요한 성향의 사람입니다. 낯을 많이 가리지만, 가까워진 사람에게는 더할 나위 없는 EEEE입니다.</t>
  </si>
  <si>
    <t>저와 도덕적 가치가 잘 맞는 분, 고집스럽지않고 관용적인 사람. 고찰하는 성향, 고민하는 사람들이 좋은 것 같습니다. 무엇보다 다정한 사람</t>
  </si>
  <si>
    <t>안광현</t>
  </si>
  <si>
    <t>교육 컨설턴트</t>
  </si>
  <si>
    <t>다정다감하고 배려심이 있는 사람</t>
  </si>
  <si>
    <t>피부가 하얗고 웃는 모습이 예쁜 사람</t>
  </si>
  <si>
    <t>최혜지</t>
  </si>
  <si>
    <t>010-9214-8158</t>
  </si>
  <si>
    <t>스타트업 경영지원팀</t>
  </si>
  <si>
    <t>내향적, 섬세함, 꼼꼼함, 조심성 강함, 소확행을 소중히 하는 사람.</t>
  </si>
  <si>
    <t>매너 있으면서도 자연스럽게 리드해주고, 말 한마디도 예쁘게 건네는 사람, 안정적인 직장이 있는 사람.</t>
  </si>
  <si>
    <t>가능하다면 비흡연자였으면 좋겠습니다</t>
  </si>
  <si>
    <t>김성윤</t>
  </si>
  <si>
    <t>인지컨트롤스 배터리설계팀</t>
  </si>
  <si>
    <t>항상 긍정적이며 밝은 이미지를 가졌고 친구들이 부르는 별명으로는 골든리트리버라는 별명을 가졌습니다 애교도 많고 잘 놀아요!</t>
  </si>
  <si>
    <t>정직하고 순하면서 바람 안피고 감정에 높낮이가 없는 사람이요</t>
  </si>
  <si>
    <t>박찬우</t>
  </si>
  <si>
    <t>010-5031-2168</t>
  </si>
  <si>
    <t>한국원자력의학원 / 연구원</t>
  </si>
  <si>
    <t>#성실함 # 안정감 #신중함 # 몰입</t>
  </si>
  <si>
    <t># 긍정적 # 다정함 # 밝음 # 존중</t>
  </si>
  <si>
    <t>김유빈</t>
  </si>
  <si>
    <t>010-9801-0511</t>
  </si>
  <si>
    <t>자기계발을 좋아하고 사람들과 함께하는 시간들을 좋아함</t>
  </si>
  <si>
    <t>내적 외적 자기관리를 꾸준히 하는 사람</t>
  </si>
  <si>
    <t>정다현</t>
  </si>
  <si>
    <t>경영지원부 회계</t>
  </si>
  <si>
    <t>INFP, ISFP, INFJ, INTJ, ISFJ, ENFP, ESFP, ENFJ, ESFJ, ESTP, ENTJ, ESTJ</t>
  </si>
  <si>
    <t>조용하고 차분한 사람</t>
  </si>
  <si>
    <t>일과 운동(헬스)을 열심히 하는 사람</t>
  </si>
  <si>
    <t>김민희</t>
  </si>
  <si>
    <t>전산직</t>
  </si>
  <si>
    <t>INFJ, ISTJ, INTJ, ISFJ, ENFJ, ESFJ, ESTJ</t>
  </si>
  <si>
    <t>매력적이고 다정한 사람. 타인을 이해하고 배려할 줄 안다.</t>
  </si>
  <si>
    <t>키크고 마르지 않은 체형. 배려심 있고 책임감 있는 사람</t>
  </si>
  <si>
    <t>병원직군, 기술직, 공무원, 연구직, 회사원</t>
  </si>
  <si>
    <t>키 큰 사람을 원해요,,</t>
  </si>
  <si>
    <t>한미향</t>
  </si>
  <si>
    <t>010-7212-3255</t>
  </si>
  <si>
    <t>대학병원 교육간호사</t>
  </si>
  <si>
    <t>알록달록 무지개</t>
  </si>
  <si>
    <t>차분하고 편안한 사람</t>
  </si>
  <si>
    <t>백엄지</t>
  </si>
  <si>
    <t>트로트백업댄서</t>
  </si>
  <si>
    <t>INTP, INFJ, ISTJ, INTJ, ISFJ, ENFJ, ENTJ</t>
  </si>
  <si>
    <t>긍정적이고 밝은사람 매사 진지한 편이고 토론을 좋아함</t>
  </si>
  <si>
    <t>내가 배울수있는 존경할만한 사람</t>
  </si>
  <si>
    <t>이수연</t>
  </si>
  <si>
    <t>010-9416-6758</t>
  </si>
  <si>
    <t>유통사 재무팀</t>
  </si>
  <si>
    <t>운동을 즐겨하고 조용하게 시간 보내는걸 좋아합니다:-)</t>
  </si>
  <si>
    <t>행동이 상식적이고 대화가 잘 통하는 사람</t>
  </si>
  <si>
    <t>지영서</t>
  </si>
  <si>
    <t>조선호텔 - 호텔리어</t>
  </si>
  <si>
    <t>자기관리 할 줄 아는 배려심 많은 사람으로 한 사람만 바라보는 다정하고 재밌는 사람이에요</t>
  </si>
  <si>
    <t>귀엽고 재밌는 사람, 저랑 개그코드가 맞으면해요</t>
  </si>
  <si>
    <t>김동국</t>
  </si>
  <si>
    <t>대학병원 행정직</t>
  </si>
  <si>
    <t>다정하고 잘 챙겨주는사람</t>
  </si>
  <si>
    <t>청순하고 털털하신분</t>
  </si>
  <si>
    <t>김수경</t>
  </si>
  <si>
    <t>보령 제약회사, 학술팀</t>
  </si>
  <si>
    <t>INTP, ISTP 둘다 나와요</t>
  </si>
  <si>
    <t>ISTJ, INTJ, ISFJ, ESFJ, ESTP, ENTJ, ESTJ</t>
  </si>
  <si>
    <t>처음에는 낯을 가리는데 1:1로 보면 말을 많이 하는 사람인것 같아요〰 털털한 것 같고 사람들을 웃기는 걸 좋아하는데 또 저도 잘 웃는 것 같습니다. 운동을 좋아하고 잘하는 편이에요</t>
  </si>
  <si>
    <t>외적인건 코가 예쁘고 눈이 날카롭지 않은 사람이 좋은 것 같아요. 내적으로는 똑똑하고 지혜롭고 감정기복 없고 성실한 사람이 좋습니다. 잘 웃는 사람도 좋아요!</t>
  </si>
  <si>
    <t>김시온</t>
  </si>
  <si>
    <t>쇼핑몰 및 무인카페운영</t>
  </si>
  <si>
    <t>딱 엔프피에요 성격밝고 긍정적인편</t>
  </si>
  <si>
    <t>어느정도 체격있고 운동꾸준히하시는분 깔끔한 인상</t>
  </si>
  <si>
    <t>20~34</t>
    <phoneticPr fontId="1" type="noConversion"/>
  </si>
  <si>
    <t>170~180</t>
    <phoneticPr fontId="1" type="noConversion"/>
  </si>
  <si>
    <t>1</t>
    <phoneticPr fontId="1" type="noConversion"/>
  </si>
  <si>
    <t>1</t>
    <phoneticPr fontId="1" type="noConversion"/>
  </si>
  <si>
    <t>환경+국제개발협력 분야 사업관리</t>
    <phoneticPr fontId="1" type="noConversion"/>
  </si>
  <si>
    <t>여채원</t>
  </si>
  <si>
    <t>Infp</t>
  </si>
  <si>
    <t>무관, INTJ, ISTJ, ENTJ</t>
  </si>
  <si>
    <t>무</t>
  </si>
  <si>
    <t>삼성서울병원 관리파트</t>
    <phoneticPr fontId="1" type="noConversion"/>
  </si>
  <si>
    <t>겉모습은 감자처럼 귀엽게 생긴 사람이면 좋겠어요. 과하게 꾸미지 않아도 호감 가는 인상인데, 알고 보면 자기관리는 꾸준히 하는 사람. 성격은 연인이라기보다 가장 친한 친구 같은 사람이 좋아요. 눈치 보지 않고 모든 걸 터놓고 이야기할 수 있고, 웃긴 얘기도 진지한 얘기도 자연스럽게 오가는 사이요. 무엇보다 가식 없이 진솔한 사람, 감정을 숨기기보다 말로 풀 줄 아는 사람이면 좋겠어요. 편안하지만 가볍지 않은 관계를 함께 만들 수 있는 사람을 찾고 있어요.</t>
    <phoneticPr fontId="1" type="noConversion"/>
  </si>
  <si>
    <t>김상민</t>
  </si>
  <si>
    <t>간호사 (삼성서울병원 내과계중환자실)</t>
    <phoneticPr fontId="1" type="noConversion"/>
  </si>
  <si>
    <t>나와 잘 맞는 사람을 찾는게 얼마나 어려운 것인지 깨닫는 요즘 연애의 끝은 결혼이고 싶어 신청하게 되었습니다.
잘 웃고 소소한 일상에서도 즐거움을 찾으려고 합니다.
책임감이 강하고 거짓말을 못합니다.</t>
    <phoneticPr fontId="1" type="noConversion"/>
  </si>
  <si>
    <t>감정기복이 없는 사람</t>
    <phoneticPr fontId="1" type="noConversion"/>
  </si>
  <si>
    <t>김보영</t>
  </si>
  <si>
    <t>010-3875-1675</t>
  </si>
  <si>
    <t>삼성서울병원/영상의학과 사무직</t>
    <phoneticPr fontId="1" type="noConversion"/>
  </si>
  <si>
    <t>저는 스포츠를 좋아해요. 그 중 e스포츠를 가장 좋아합니다! Lck를 사랑하는 사람이에요. 게임을 하는 것도, 보는 것도 좋아합니다. 여행다니는 것도 좋아해요. 이곳저곳 다니면서 힐링을 합니다. 사람이랑 대화하는 것도 좋아해서 새로운 만남이 있으면 좋아합니다.
항상 밝고 낯을 가리지 않는 그런 사람이에요</t>
    <phoneticPr fontId="1" type="noConversion"/>
  </si>
  <si>
    <t>윤소영</t>
  </si>
  <si>
    <t>강남 세브란스 피부과 연구원</t>
    <phoneticPr fontId="1" type="noConversion"/>
  </si>
  <si>
    <t>안녕하세요,
짧은 시간이라도 편하고 재미있게 참여하고 싶어요.
잘 부탁드립니다.전 부담 없이 시작해서, 기분 좋게 기억에 남는 타입입니다.</t>
    <phoneticPr fontId="1" type="noConversion"/>
  </si>
  <si>
    <t>ENFP</t>
    <phoneticPr fontId="1" type="noConversion"/>
  </si>
  <si>
    <t>무관, INFJ</t>
  </si>
  <si>
    <t>고도연</t>
  </si>
  <si>
    <t>삼성서울병원, 신생아중환자실 간호사</t>
    <phoneticPr fontId="1" type="noConversion"/>
  </si>
  <si>
    <t>25~35</t>
    <phoneticPr fontId="1" type="noConversion"/>
  </si>
  <si>
    <t>175~185</t>
    <phoneticPr fontId="1" type="noConversion"/>
  </si>
  <si>
    <t>INTJ, INTP, INFJ, ISTJ, ISTP, ISFJ, ISFP, ENTJ, ENTP, ENFJ, ESTJ, ESTP, ESFJ, ESFP</t>
  </si>
  <si>
    <t>여</t>
    <phoneticPr fontId="1" type="noConversion"/>
  </si>
  <si>
    <t>삼성서울병원 관리파트</t>
  </si>
  <si>
    <t>조용한 편이지만, 마음이 열리면 생각보다 잘 웃고 많이 이야기해요.
일상에서는 차분하게 제 할 일을 해나가고,
퇴근 후나 주말엔 그림을 그리거나 작은 취향을 즐기며 쉬는 걸 좋아해요.
빠른 템포보다는
천천히 알아가면서 신뢰가 쌓이는 관계를 선호해요.
말을 잘 들어주는 사람,
서로의 세계를 존중해줄 수 있는 사람과 잘 맞아요. 가까워지면 의외로 잘 웃고 대화가 깊어요.
감정에 휘둘리기보다는, 스스로를 돌아보며 관계를 지키려는 편이에요.
혼자만의 시간도 소중히 여기지만, 소중한 사람에게는 진심으로 집중해요.
작은 취향과 일상을 꾸준히 가꿀 줄 알고, 좋아하는 걸 오래 좋아해요.
말보다 행동이 먼저 나가는 타입이라 신뢰를 중요하게 생각해요.
소소한 대화부터 깊은 이야기까지
자연스럽게 나눌 수 있는 인연을 기대하고 있어요</t>
  </si>
  <si>
    <t>겉모습은 감자처럼 귀엽게 생긴 사람이면 좋겠어요. 과하게 꾸미지 않아도 호감 가는 인상인데, 알고 보면 자기관리는 꾸준히 하는 사람. 성격은 연인이라기보다 가장 친한 친구 같은 사람이 좋아요. 눈치 보지 않고 모든 걸 터놓고 이야기할 수 있고, 웃긴 얘기도 진지한 얘기도 자연스럽게 오가는 사이요. 무엇보다 가식 없이 진솔한 사람, 감정을 숨기기보다 말로 풀 줄 아는 사람이면 좋겠어요. 편안하지만 가볍지 않은 관계를 함께 만들 수 있는 사람을 찾고 있어요.</t>
  </si>
  <si>
    <t>간호사 (삼성서울병원 내과계중환자실)</t>
  </si>
  <si>
    <t>나와 잘 맞는 사람을 찾는게 얼마나 어려운 것인지 깨닫는 요즘 연애의 끝은 결혼이고 싶어 신청하게 되었습니다.
잘 웃고 소소한 일상에서도 즐거움을 찾으려고 합니다.
책임감이 강하고 거짓말을 못합니다.</t>
  </si>
  <si>
    <t>감정기복이 없는 사람</t>
  </si>
  <si>
    <t>삼성서울병원/영상의학과 사무직</t>
  </si>
  <si>
    <t>20~30</t>
  </si>
  <si>
    <t>저는 스포츠를 좋아해요. 그 중 e스포츠를 가장 좋아합니다! Lck를 사랑하는 사람이에요. 게임을 하는 것도, 보는 것도 좋아합니다. 여행다니는 것도 좋아해요. 이곳저곳 다니면서 힐링을 합니다. 사람이랑 대화하는 것도 좋아해서 새로운 만남이 있으면 좋아합니다.
항상 밝고 낯을 가리지 않는 그런 사람이에요</t>
  </si>
  <si>
    <t>강남 세브란스 피부과 연구원</t>
  </si>
  <si>
    <t>안녕하세요,
짧은 시간이라도 편하고 재미있게 참여하고 싶어요.
잘 부탁드립니다.전 부담 없이 시작해서, 기분 좋게 기억에 남는 타입입니다.</t>
  </si>
  <si>
    <t>삼성서울병원, 신생아중환자실 간호사</t>
  </si>
  <si>
    <t>25~35</t>
  </si>
  <si>
    <t>175~185</t>
  </si>
  <si>
    <t>안녕하세요! 저는 올해로 4년차 직장인이 된 고도연입니다. 베이킹에 관심은 많지만 1인
가구의 특성상 빵을 만들기는 어려운 현실입니다•• 매번 눈여겨 보고 있던 케미스트리 오븐을 통해 사람들과 두쫀쿠를 만들며 1월 행복하게 마무리 해보고 싶습니다 ☺️ •• 겉으로는 바삭 딱딱해보이지만 속은 부드럽(?)답니다. 긍정적이고 웃음이 많고 여러 사람과 어울리는 것을 잘합니다 :)</t>
  </si>
  <si>
    <t>1</t>
    <phoneticPr fontId="1" type="noConversion"/>
  </si>
  <si>
    <t>우민정</t>
  </si>
  <si>
    <t>010 2200 0838</t>
  </si>
  <si>
    <t>에의바른사람</t>
  </si>
  <si>
    <t>다정하시고 예의바르신분</t>
  </si>
  <si>
    <t>김연수</t>
  </si>
  <si>
    <t>간호사(서울아산병원 소아과)</t>
  </si>
  <si>
    <r>
      <rPr>
        <sz val="10"/>
        <color theme="1"/>
        <rFont val="돋움"/>
        <family val="3"/>
        <charset val="129"/>
      </rPr>
      <t>안녕하세요</t>
    </r>
    <r>
      <rPr>
        <sz val="10"/>
        <color theme="1"/>
        <rFont val="Arial"/>
        <family val="2"/>
      </rPr>
      <t xml:space="preserve"> :)
</t>
    </r>
    <r>
      <rPr>
        <sz val="10"/>
        <color theme="1"/>
        <rFont val="돋움"/>
        <family val="3"/>
        <charset val="129"/>
      </rPr>
      <t>좋은</t>
    </r>
    <r>
      <rPr>
        <sz val="10"/>
        <color theme="1"/>
        <rFont val="Arial"/>
        <family val="2"/>
      </rPr>
      <t xml:space="preserve"> </t>
    </r>
    <r>
      <rPr>
        <sz val="10"/>
        <color theme="1"/>
        <rFont val="돋움"/>
        <family val="3"/>
        <charset val="129"/>
      </rPr>
      <t>인연을</t>
    </r>
    <r>
      <rPr>
        <sz val="10"/>
        <color theme="1"/>
        <rFont val="Arial"/>
        <family val="2"/>
      </rPr>
      <t xml:space="preserve"> </t>
    </r>
    <r>
      <rPr>
        <sz val="10"/>
        <color theme="1"/>
        <rFont val="돋움"/>
        <family val="3"/>
        <charset val="129"/>
      </rPr>
      <t>만나고</t>
    </r>
    <r>
      <rPr>
        <sz val="10"/>
        <color theme="1"/>
        <rFont val="Arial"/>
        <family val="2"/>
      </rPr>
      <t xml:space="preserve"> </t>
    </r>
    <r>
      <rPr>
        <sz val="10"/>
        <color theme="1"/>
        <rFont val="돋움"/>
        <family val="3"/>
        <charset val="129"/>
      </rPr>
      <t>싶어서</t>
    </r>
    <r>
      <rPr>
        <sz val="10"/>
        <color theme="1"/>
        <rFont val="Arial"/>
        <family val="2"/>
      </rPr>
      <t xml:space="preserve"> </t>
    </r>
    <r>
      <rPr>
        <sz val="10"/>
        <color theme="1"/>
        <rFont val="돋움"/>
        <family val="3"/>
        <charset val="129"/>
      </rPr>
      <t>용기</t>
    </r>
    <r>
      <rPr>
        <sz val="10"/>
        <color theme="1"/>
        <rFont val="Arial"/>
        <family val="2"/>
      </rPr>
      <t xml:space="preserve"> </t>
    </r>
    <r>
      <rPr>
        <sz val="10"/>
        <color theme="1"/>
        <rFont val="돋움"/>
        <family val="3"/>
        <charset val="129"/>
      </rPr>
      <t>내어</t>
    </r>
    <r>
      <rPr>
        <sz val="10"/>
        <color theme="1"/>
        <rFont val="Arial"/>
        <family val="2"/>
      </rPr>
      <t xml:space="preserve"> </t>
    </r>
    <r>
      <rPr>
        <sz val="10"/>
        <color theme="1"/>
        <rFont val="돋움"/>
        <family val="3"/>
        <charset val="129"/>
      </rPr>
      <t>신청했어요</t>
    </r>
    <r>
      <rPr>
        <sz val="10"/>
        <color theme="1"/>
        <rFont val="Arial"/>
        <family val="2"/>
      </rPr>
      <t xml:space="preserve">.
</t>
    </r>
    <r>
      <rPr>
        <sz val="10"/>
        <color theme="1"/>
        <rFont val="돋움"/>
        <family val="3"/>
        <charset val="129"/>
      </rPr>
      <t>저는</t>
    </r>
    <r>
      <rPr>
        <sz val="10"/>
        <color theme="1"/>
        <rFont val="Arial"/>
        <family val="2"/>
      </rPr>
      <t xml:space="preserve"> </t>
    </r>
    <r>
      <rPr>
        <sz val="10"/>
        <color theme="1"/>
        <rFont val="돋움"/>
        <family val="3"/>
        <charset val="129"/>
      </rPr>
      <t>빵과</t>
    </r>
    <r>
      <rPr>
        <sz val="10"/>
        <color theme="1"/>
        <rFont val="Arial"/>
        <family val="2"/>
      </rPr>
      <t xml:space="preserve"> </t>
    </r>
    <r>
      <rPr>
        <sz val="10"/>
        <color theme="1"/>
        <rFont val="돋움"/>
        <family val="3"/>
        <charset val="129"/>
      </rPr>
      <t>디저트를</t>
    </r>
    <r>
      <rPr>
        <sz val="10"/>
        <color theme="1"/>
        <rFont val="Arial"/>
        <family val="2"/>
      </rPr>
      <t xml:space="preserve"> </t>
    </r>
    <r>
      <rPr>
        <sz val="10"/>
        <color theme="1"/>
        <rFont val="돋움"/>
        <family val="3"/>
        <charset val="129"/>
      </rPr>
      <t>좋아하고</t>
    </r>
    <r>
      <rPr>
        <sz val="10"/>
        <color theme="1"/>
        <rFont val="Arial"/>
        <family val="2"/>
      </rPr>
      <t xml:space="preserve">, </t>
    </r>
    <r>
      <rPr>
        <sz val="10"/>
        <color theme="1"/>
        <rFont val="돋움"/>
        <family val="3"/>
        <charset val="129"/>
      </rPr>
      <t>카페에서</t>
    </r>
    <r>
      <rPr>
        <sz val="10"/>
        <color theme="1"/>
        <rFont val="Arial"/>
        <family val="2"/>
      </rPr>
      <t xml:space="preserve"> </t>
    </r>
    <r>
      <rPr>
        <sz val="10"/>
        <color theme="1"/>
        <rFont val="돋움"/>
        <family val="3"/>
        <charset val="129"/>
      </rPr>
      <t>커피를</t>
    </r>
    <r>
      <rPr>
        <sz val="10"/>
        <color theme="1"/>
        <rFont val="Arial"/>
        <family val="2"/>
      </rPr>
      <t xml:space="preserve"> </t>
    </r>
    <r>
      <rPr>
        <sz val="10"/>
        <color theme="1"/>
        <rFont val="돋움"/>
        <family val="3"/>
        <charset val="129"/>
      </rPr>
      <t>마시며</t>
    </r>
    <r>
      <rPr>
        <sz val="10"/>
        <color theme="1"/>
        <rFont val="Arial"/>
        <family val="2"/>
      </rPr>
      <t xml:space="preserve"> </t>
    </r>
    <r>
      <rPr>
        <sz val="10"/>
        <color theme="1"/>
        <rFont val="돋움"/>
        <family val="3"/>
        <charset val="129"/>
      </rPr>
      <t>책</t>
    </r>
    <r>
      <rPr>
        <sz val="10"/>
        <color theme="1"/>
        <rFont val="Arial"/>
        <family val="2"/>
      </rPr>
      <t xml:space="preserve"> </t>
    </r>
    <r>
      <rPr>
        <sz val="10"/>
        <color theme="1"/>
        <rFont val="돋움"/>
        <family val="3"/>
        <charset val="129"/>
      </rPr>
      <t>읽는</t>
    </r>
    <r>
      <rPr>
        <sz val="10"/>
        <color theme="1"/>
        <rFont val="Arial"/>
        <family val="2"/>
      </rPr>
      <t xml:space="preserve"> </t>
    </r>
    <r>
      <rPr>
        <sz val="10"/>
        <color theme="1"/>
        <rFont val="돋움"/>
        <family val="3"/>
        <charset val="129"/>
      </rPr>
      <t>시간도</t>
    </r>
    <r>
      <rPr>
        <sz val="10"/>
        <color theme="1"/>
        <rFont val="Arial"/>
        <family val="2"/>
      </rPr>
      <t xml:space="preserve"> </t>
    </r>
    <r>
      <rPr>
        <sz val="10"/>
        <color theme="1"/>
        <rFont val="돋움"/>
        <family val="3"/>
        <charset val="129"/>
      </rPr>
      <t>좋아해요</t>
    </r>
    <r>
      <rPr>
        <sz val="10"/>
        <color theme="1"/>
        <rFont val="Arial"/>
        <family val="2"/>
      </rPr>
      <t xml:space="preserve">.
</t>
    </r>
    <r>
      <rPr>
        <sz val="10"/>
        <color theme="1"/>
        <rFont val="돋움"/>
        <family val="3"/>
        <charset val="129"/>
      </rPr>
      <t>요즘은</t>
    </r>
    <r>
      <rPr>
        <sz val="10"/>
        <color theme="1"/>
        <rFont val="Arial"/>
        <family val="2"/>
      </rPr>
      <t xml:space="preserve"> </t>
    </r>
    <r>
      <rPr>
        <sz val="10"/>
        <color theme="1"/>
        <rFont val="돋움"/>
        <family val="3"/>
        <charset val="129"/>
      </rPr>
      <t>콘서트</t>
    </r>
    <r>
      <rPr>
        <sz val="10"/>
        <color theme="1"/>
        <rFont val="Arial"/>
        <family val="2"/>
      </rPr>
      <t xml:space="preserve">, </t>
    </r>
    <r>
      <rPr>
        <sz val="10"/>
        <color theme="1"/>
        <rFont val="돋움"/>
        <family val="3"/>
        <charset val="129"/>
      </rPr>
      <t>뮤지컬</t>
    </r>
    <r>
      <rPr>
        <sz val="10"/>
        <color theme="1"/>
        <rFont val="Arial"/>
        <family val="2"/>
      </rPr>
      <t xml:space="preserve">, </t>
    </r>
    <r>
      <rPr>
        <sz val="10"/>
        <color theme="1"/>
        <rFont val="돋움"/>
        <family val="3"/>
        <charset val="129"/>
      </rPr>
      <t>연극</t>
    </r>
    <r>
      <rPr>
        <sz val="10"/>
        <color theme="1"/>
        <rFont val="Arial"/>
        <family val="2"/>
      </rPr>
      <t xml:space="preserve"> </t>
    </r>
    <r>
      <rPr>
        <sz val="10"/>
        <color theme="1"/>
        <rFont val="돋움"/>
        <family val="3"/>
        <charset val="129"/>
      </rPr>
      <t>등</t>
    </r>
    <r>
      <rPr>
        <sz val="10"/>
        <color theme="1"/>
        <rFont val="Arial"/>
        <family val="2"/>
      </rPr>
      <t xml:space="preserve"> </t>
    </r>
    <r>
      <rPr>
        <sz val="10"/>
        <color theme="1"/>
        <rFont val="돋움"/>
        <family val="3"/>
        <charset val="129"/>
      </rPr>
      <t>공연을</t>
    </r>
    <r>
      <rPr>
        <sz val="10"/>
        <color theme="1"/>
        <rFont val="Arial"/>
        <family val="2"/>
      </rPr>
      <t xml:space="preserve"> </t>
    </r>
    <r>
      <rPr>
        <sz val="10"/>
        <color theme="1"/>
        <rFont val="돋움"/>
        <family val="3"/>
        <charset val="129"/>
      </rPr>
      <t>보러</t>
    </r>
    <r>
      <rPr>
        <sz val="10"/>
        <color theme="1"/>
        <rFont val="Arial"/>
        <family val="2"/>
      </rPr>
      <t xml:space="preserve"> </t>
    </r>
    <r>
      <rPr>
        <sz val="10"/>
        <color theme="1"/>
        <rFont val="돋움"/>
        <family val="3"/>
        <charset val="129"/>
      </rPr>
      <t>가는</t>
    </r>
    <r>
      <rPr>
        <sz val="10"/>
        <color theme="1"/>
        <rFont val="Arial"/>
        <family val="2"/>
      </rPr>
      <t xml:space="preserve"> </t>
    </r>
    <r>
      <rPr>
        <sz val="10"/>
        <color theme="1"/>
        <rFont val="돋움"/>
        <family val="3"/>
        <charset val="129"/>
      </rPr>
      <t>것도</t>
    </r>
    <r>
      <rPr>
        <sz val="10"/>
        <color theme="1"/>
        <rFont val="Arial"/>
        <family val="2"/>
      </rPr>
      <t xml:space="preserve"> </t>
    </r>
    <r>
      <rPr>
        <sz val="10"/>
        <color theme="1"/>
        <rFont val="돋움"/>
        <family val="3"/>
        <charset val="129"/>
      </rPr>
      <t>좋아합니다</t>
    </r>
    <r>
      <rPr>
        <sz val="10"/>
        <color theme="1"/>
        <rFont val="Arial"/>
        <family val="2"/>
      </rPr>
      <t xml:space="preserve">.
</t>
    </r>
    <r>
      <rPr>
        <sz val="10"/>
        <color theme="1"/>
        <rFont val="돋움"/>
        <family val="3"/>
        <charset val="129"/>
      </rPr>
      <t>서로</t>
    </r>
    <r>
      <rPr>
        <sz val="10"/>
        <color theme="1"/>
        <rFont val="Arial"/>
        <family val="2"/>
      </rPr>
      <t xml:space="preserve"> </t>
    </r>
    <r>
      <rPr>
        <sz val="10"/>
        <color theme="1"/>
        <rFont val="돋움"/>
        <family val="3"/>
        <charset val="129"/>
      </rPr>
      <t>좋아하는</t>
    </r>
    <r>
      <rPr>
        <sz val="10"/>
        <color theme="1"/>
        <rFont val="Arial"/>
        <family val="2"/>
      </rPr>
      <t xml:space="preserve"> </t>
    </r>
    <r>
      <rPr>
        <sz val="10"/>
        <color theme="1"/>
        <rFont val="돋움"/>
        <family val="3"/>
        <charset val="129"/>
      </rPr>
      <t>것을</t>
    </r>
    <r>
      <rPr>
        <sz val="10"/>
        <color theme="1"/>
        <rFont val="Arial"/>
        <family val="2"/>
      </rPr>
      <t xml:space="preserve"> </t>
    </r>
    <r>
      <rPr>
        <sz val="10"/>
        <color theme="1"/>
        <rFont val="돋움"/>
        <family val="3"/>
        <charset val="129"/>
      </rPr>
      <t>함께</t>
    </r>
    <r>
      <rPr>
        <sz val="10"/>
        <color theme="1"/>
        <rFont val="Arial"/>
        <family val="2"/>
      </rPr>
      <t xml:space="preserve"> </t>
    </r>
    <r>
      <rPr>
        <sz val="10"/>
        <color theme="1"/>
        <rFont val="돋움"/>
        <family val="3"/>
        <charset val="129"/>
      </rPr>
      <t>나눌</t>
    </r>
    <r>
      <rPr>
        <sz val="10"/>
        <color theme="1"/>
        <rFont val="Arial"/>
        <family val="2"/>
      </rPr>
      <t xml:space="preserve"> </t>
    </r>
    <r>
      <rPr>
        <sz val="10"/>
        <color theme="1"/>
        <rFont val="돋움"/>
        <family val="3"/>
        <charset val="129"/>
      </rPr>
      <t>수</t>
    </r>
    <r>
      <rPr>
        <sz val="10"/>
        <color theme="1"/>
        <rFont val="Arial"/>
        <family val="2"/>
      </rPr>
      <t xml:space="preserve"> </t>
    </r>
    <r>
      <rPr>
        <sz val="10"/>
        <color theme="1"/>
        <rFont val="돋움"/>
        <family val="3"/>
        <charset val="129"/>
      </rPr>
      <t>있는</t>
    </r>
    <r>
      <rPr>
        <sz val="10"/>
        <color theme="1"/>
        <rFont val="Arial"/>
        <family val="2"/>
      </rPr>
      <t xml:space="preserve">, 
</t>
    </r>
    <r>
      <rPr>
        <sz val="10"/>
        <color theme="1"/>
        <rFont val="돋움"/>
        <family val="3"/>
        <charset val="129"/>
      </rPr>
      <t>잘</t>
    </r>
    <r>
      <rPr>
        <sz val="10"/>
        <color theme="1"/>
        <rFont val="Arial"/>
        <family val="2"/>
      </rPr>
      <t xml:space="preserve"> </t>
    </r>
    <r>
      <rPr>
        <sz val="10"/>
        <color theme="1"/>
        <rFont val="돋움"/>
        <family val="3"/>
        <charset val="129"/>
      </rPr>
      <t>맞는</t>
    </r>
    <r>
      <rPr>
        <sz val="10"/>
        <color theme="1"/>
        <rFont val="Arial"/>
        <family val="2"/>
      </rPr>
      <t xml:space="preserve"> </t>
    </r>
    <r>
      <rPr>
        <sz val="10"/>
        <color theme="1"/>
        <rFont val="돋움"/>
        <family val="3"/>
        <charset val="129"/>
      </rPr>
      <t>분을</t>
    </r>
    <r>
      <rPr>
        <sz val="10"/>
        <color theme="1"/>
        <rFont val="Arial"/>
        <family val="2"/>
      </rPr>
      <t xml:space="preserve"> </t>
    </r>
    <r>
      <rPr>
        <sz val="10"/>
        <color theme="1"/>
        <rFont val="돋움"/>
        <family val="3"/>
        <charset val="129"/>
      </rPr>
      <t>만나고</t>
    </r>
    <r>
      <rPr>
        <sz val="10"/>
        <color theme="1"/>
        <rFont val="Arial"/>
        <family val="2"/>
      </rPr>
      <t xml:space="preserve"> </t>
    </r>
    <r>
      <rPr>
        <sz val="10"/>
        <color theme="1"/>
        <rFont val="돋움"/>
        <family val="3"/>
        <charset val="129"/>
      </rPr>
      <t>싶어요</t>
    </r>
    <r>
      <rPr>
        <sz val="10"/>
        <color theme="1"/>
        <rFont val="Arial"/>
        <family val="2"/>
      </rPr>
      <t xml:space="preserve">! </t>
    </r>
    <r>
      <rPr>
        <sz val="10"/>
        <color theme="1"/>
        <rFont val="돋움"/>
        <family val="3"/>
        <charset val="129"/>
      </rPr>
      <t>저는</t>
    </r>
    <r>
      <rPr>
        <sz val="10"/>
        <color theme="1"/>
        <rFont val="Arial"/>
        <family val="2"/>
      </rPr>
      <t xml:space="preserve"> </t>
    </r>
    <r>
      <rPr>
        <sz val="10"/>
        <color theme="1"/>
        <rFont val="돋움"/>
        <family val="3"/>
        <charset val="129"/>
      </rPr>
      <t>안정적인</t>
    </r>
    <r>
      <rPr>
        <sz val="10"/>
        <color theme="1"/>
        <rFont val="Arial"/>
        <family val="2"/>
      </rPr>
      <t xml:space="preserve"> </t>
    </r>
    <r>
      <rPr>
        <sz val="10"/>
        <color theme="1"/>
        <rFont val="돋움"/>
        <family val="3"/>
        <charset val="129"/>
      </rPr>
      <t>직장에</t>
    </r>
    <r>
      <rPr>
        <sz val="10"/>
        <color theme="1"/>
        <rFont val="Arial"/>
        <family val="2"/>
      </rPr>
      <t xml:space="preserve"> </t>
    </r>
    <r>
      <rPr>
        <sz val="10"/>
        <color theme="1"/>
        <rFont val="돋움"/>
        <family val="3"/>
        <charset val="129"/>
      </rPr>
      <t>재직</t>
    </r>
    <r>
      <rPr>
        <sz val="10"/>
        <color theme="1"/>
        <rFont val="Arial"/>
        <family val="2"/>
      </rPr>
      <t xml:space="preserve"> </t>
    </r>
    <r>
      <rPr>
        <sz val="10"/>
        <color theme="1"/>
        <rFont val="돋움"/>
        <family val="3"/>
        <charset val="129"/>
      </rPr>
      <t>중이며</t>
    </r>
    <r>
      <rPr>
        <sz val="10"/>
        <color theme="1"/>
        <rFont val="Arial"/>
        <family val="2"/>
      </rPr>
      <t xml:space="preserve">, </t>
    </r>
    <r>
      <rPr>
        <sz val="10"/>
        <color theme="1"/>
        <rFont val="돋움"/>
        <family val="3"/>
        <charset val="129"/>
      </rPr>
      <t>현재는</t>
    </r>
    <r>
      <rPr>
        <sz val="10"/>
        <color theme="1"/>
        <rFont val="Arial"/>
        <family val="2"/>
      </rPr>
      <t xml:space="preserve"> </t>
    </r>
    <r>
      <rPr>
        <sz val="10"/>
        <color theme="1"/>
        <rFont val="돋움"/>
        <family val="3"/>
        <charset val="129"/>
      </rPr>
      <t>더</t>
    </r>
    <r>
      <rPr>
        <sz val="10"/>
        <color theme="1"/>
        <rFont val="Arial"/>
        <family val="2"/>
      </rPr>
      <t xml:space="preserve"> </t>
    </r>
    <r>
      <rPr>
        <sz val="10"/>
        <color theme="1"/>
        <rFont val="돋움"/>
        <family val="3"/>
        <charset val="129"/>
      </rPr>
      <t>발전하기</t>
    </r>
    <r>
      <rPr>
        <sz val="10"/>
        <color theme="1"/>
        <rFont val="Arial"/>
        <family val="2"/>
      </rPr>
      <t xml:space="preserve"> </t>
    </r>
    <r>
      <rPr>
        <sz val="10"/>
        <color theme="1"/>
        <rFont val="돋움"/>
        <family val="3"/>
        <charset val="129"/>
      </rPr>
      <t>위해</t>
    </r>
    <r>
      <rPr>
        <sz val="10"/>
        <color theme="1"/>
        <rFont val="Arial"/>
        <family val="2"/>
      </rPr>
      <t xml:space="preserve"> </t>
    </r>
    <r>
      <rPr>
        <sz val="10"/>
        <color theme="1"/>
        <rFont val="돋움"/>
        <family val="3"/>
        <charset val="129"/>
      </rPr>
      <t>대학원</t>
    </r>
    <r>
      <rPr>
        <sz val="10"/>
        <color theme="1"/>
        <rFont val="Arial"/>
        <family val="2"/>
      </rPr>
      <t xml:space="preserve"> </t>
    </r>
    <r>
      <rPr>
        <sz val="10"/>
        <color theme="1"/>
        <rFont val="돋움"/>
        <family val="3"/>
        <charset val="129"/>
      </rPr>
      <t>석사</t>
    </r>
    <r>
      <rPr>
        <sz val="10"/>
        <color theme="1"/>
        <rFont val="Arial"/>
        <family val="2"/>
      </rPr>
      <t xml:space="preserve"> </t>
    </r>
    <r>
      <rPr>
        <sz val="10"/>
        <color theme="1"/>
        <rFont val="돋움"/>
        <family val="3"/>
        <charset val="129"/>
      </rPr>
      <t>과정을</t>
    </r>
    <r>
      <rPr>
        <sz val="10"/>
        <color theme="1"/>
        <rFont val="Arial"/>
        <family val="2"/>
      </rPr>
      <t xml:space="preserve"> </t>
    </r>
    <r>
      <rPr>
        <sz val="10"/>
        <color theme="1"/>
        <rFont val="돋움"/>
        <family val="3"/>
        <charset val="129"/>
      </rPr>
      <t>밟고</t>
    </r>
    <r>
      <rPr>
        <sz val="10"/>
        <color theme="1"/>
        <rFont val="Arial"/>
        <family val="2"/>
      </rPr>
      <t xml:space="preserve"> </t>
    </r>
    <r>
      <rPr>
        <sz val="10"/>
        <color theme="1"/>
        <rFont val="돋움"/>
        <family val="3"/>
        <charset val="129"/>
      </rPr>
      <t>있어요</t>
    </r>
    <r>
      <rPr>
        <sz val="10"/>
        <color theme="1"/>
        <rFont val="Arial"/>
        <family val="2"/>
      </rPr>
      <t xml:space="preserve">.
</t>
    </r>
    <r>
      <rPr>
        <sz val="10"/>
        <color theme="1"/>
        <rFont val="돋움"/>
        <family val="3"/>
        <charset val="129"/>
      </rPr>
      <t>돌아오는</t>
    </r>
    <r>
      <rPr>
        <sz val="10"/>
        <color theme="1"/>
        <rFont val="Arial"/>
        <family val="2"/>
      </rPr>
      <t xml:space="preserve"> 3</t>
    </r>
    <r>
      <rPr>
        <sz val="10"/>
        <color theme="1"/>
        <rFont val="돋움"/>
        <family val="3"/>
        <charset val="129"/>
      </rPr>
      <t>월이</t>
    </r>
    <r>
      <rPr>
        <sz val="10"/>
        <color theme="1"/>
        <rFont val="Arial"/>
        <family val="2"/>
      </rPr>
      <t xml:space="preserve"> </t>
    </r>
    <r>
      <rPr>
        <sz val="10"/>
        <color theme="1"/>
        <rFont val="돋움"/>
        <family val="3"/>
        <charset val="129"/>
      </rPr>
      <t>마지막</t>
    </r>
    <r>
      <rPr>
        <sz val="10"/>
        <color theme="1"/>
        <rFont val="Arial"/>
        <family val="2"/>
      </rPr>
      <t xml:space="preserve"> </t>
    </r>
    <r>
      <rPr>
        <sz val="10"/>
        <color theme="1"/>
        <rFont val="돋움"/>
        <family val="3"/>
        <charset val="129"/>
      </rPr>
      <t>학기입니다</t>
    </r>
    <r>
      <rPr>
        <sz val="10"/>
        <color theme="1"/>
        <rFont val="Arial"/>
        <family val="2"/>
      </rPr>
      <t xml:space="preserve">!
</t>
    </r>
    <r>
      <rPr>
        <sz val="10"/>
        <color theme="1"/>
        <rFont val="돋움"/>
        <family val="3"/>
        <charset val="129"/>
      </rPr>
      <t>아직</t>
    </r>
    <r>
      <rPr>
        <sz val="10"/>
        <color theme="1"/>
        <rFont val="Arial"/>
        <family val="2"/>
      </rPr>
      <t xml:space="preserve"> </t>
    </r>
    <r>
      <rPr>
        <sz val="10"/>
        <color theme="1"/>
        <rFont val="돋움"/>
        <family val="3"/>
        <charset val="129"/>
      </rPr>
      <t>헬린이지만</t>
    </r>
    <r>
      <rPr>
        <sz val="10"/>
        <color theme="1"/>
        <rFont val="Arial"/>
        <family val="2"/>
      </rPr>
      <t>, PT</t>
    </r>
    <r>
      <rPr>
        <sz val="10"/>
        <color theme="1"/>
        <rFont val="돋움"/>
        <family val="3"/>
        <charset val="129"/>
      </rPr>
      <t>를</t>
    </r>
    <r>
      <rPr>
        <sz val="10"/>
        <color theme="1"/>
        <rFont val="Arial"/>
        <family val="2"/>
      </rPr>
      <t xml:space="preserve"> </t>
    </r>
    <r>
      <rPr>
        <sz val="10"/>
        <color theme="1"/>
        <rFont val="돋움"/>
        <family val="3"/>
        <charset val="129"/>
      </rPr>
      <t>받으며</t>
    </r>
    <r>
      <rPr>
        <sz val="10"/>
        <color theme="1"/>
        <rFont val="Arial"/>
        <family val="2"/>
      </rPr>
      <t xml:space="preserve"> </t>
    </r>
    <r>
      <rPr>
        <sz val="10"/>
        <color theme="1"/>
        <rFont val="돋움"/>
        <family val="3"/>
        <charset val="129"/>
      </rPr>
      <t>자기</t>
    </r>
    <r>
      <rPr>
        <sz val="10"/>
        <color theme="1"/>
        <rFont val="Arial"/>
        <family val="2"/>
      </rPr>
      <t xml:space="preserve"> </t>
    </r>
    <r>
      <rPr>
        <sz val="10"/>
        <color theme="1"/>
        <rFont val="돋움"/>
        <family val="3"/>
        <charset val="129"/>
      </rPr>
      <t>관리도</t>
    </r>
    <r>
      <rPr>
        <sz val="10"/>
        <color theme="1"/>
        <rFont val="Arial"/>
        <family val="2"/>
      </rPr>
      <t xml:space="preserve"> </t>
    </r>
    <r>
      <rPr>
        <sz val="10"/>
        <color theme="1"/>
        <rFont val="돋움"/>
        <family val="3"/>
        <charset val="129"/>
      </rPr>
      <t>꾸준히</t>
    </r>
    <r>
      <rPr>
        <sz val="10"/>
        <color theme="1"/>
        <rFont val="Arial"/>
        <family val="2"/>
      </rPr>
      <t xml:space="preserve"> </t>
    </r>
    <r>
      <rPr>
        <sz val="10"/>
        <color theme="1"/>
        <rFont val="돋움"/>
        <family val="3"/>
        <charset val="129"/>
      </rPr>
      <t>하고</t>
    </r>
    <r>
      <rPr>
        <sz val="10"/>
        <color theme="1"/>
        <rFont val="Arial"/>
        <family val="2"/>
      </rPr>
      <t xml:space="preserve"> </t>
    </r>
    <r>
      <rPr>
        <sz val="10"/>
        <color theme="1"/>
        <rFont val="돋움"/>
        <family val="3"/>
        <charset val="129"/>
      </rPr>
      <t>있어요</t>
    </r>
    <r>
      <rPr>
        <sz val="10"/>
        <color theme="1"/>
        <rFont val="Arial"/>
        <family val="2"/>
      </rPr>
      <t xml:space="preserve">.
I </t>
    </r>
    <r>
      <rPr>
        <sz val="10"/>
        <color theme="1"/>
        <rFont val="돋움"/>
        <family val="3"/>
        <charset val="129"/>
      </rPr>
      <t>성향이라</t>
    </r>
    <r>
      <rPr>
        <sz val="10"/>
        <color theme="1"/>
        <rFont val="Arial"/>
        <family val="2"/>
      </rPr>
      <t xml:space="preserve"> </t>
    </r>
    <r>
      <rPr>
        <sz val="10"/>
        <color theme="1"/>
        <rFont val="돋움"/>
        <family val="3"/>
        <charset val="129"/>
      </rPr>
      <t>처음에는</t>
    </r>
    <r>
      <rPr>
        <sz val="10"/>
        <color theme="1"/>
        <rFont val="Arial"/>
        <family val="2"/>
      </rPr>
      <t xml:space="preserve"> </t>
    </r>
    <r>
      <rPr>
        <sz val="10"/>
        <color theme="1"/>
        <rFont val="돋움"/>
        <family val="3"/>
        <charset val="129"/>
      </rPr>
      <t>낯을</t>
    </r>
    <r>
      <rPr>
        <sz val="10"/>
        <color theme="1"/>
        <rFont val="Arial"/>
        <family val="2"/>
      </rPr>
      <t xml:space="preserve"> </t>
    </r>
    <r>
      <rPr>
        <sz val="10"/>
        <color theme="1"/>
        <rFont val="돋움"/>
        <family val="3"/>
        <charset val="129"/>
      </rPr>
      <t>가리지만</t>
    </r>
    <r>
      <rPr>
        <sz val="10"/>
        <color theme="1"/>
        <rFont val="Arial"/>
        <family val="2"/>
      </rPr>
      <t xml:space="preserve">, </t>
    </r>
    <r>
      <rPr>
        <sz val="10"/>
        <color theme="1"/>
        <rFont val="돋움"/>
        <family val="3"/>
        <charset val="129"/>
      </rPr>
      <t>친해지면</t>
    </r>
    <r>
      <rPr>
        <sz val="10"/>
        <color theme="1"/>
        <rFont val="Arial"/>
        <family val="2"/>
      </rPr>
      <t xml:space="preserve"> </t>
    </r>
    <r>
      <rPr>
        <sz val="10"/>
        <color theme="1"/>
        <rFont val="돋움"/>
        <family val="3"/>
        <charset val="129"/>
      </rPr>
      <t>정이</t>
    </r>
    <r>
      <rPr>
        <sz val="10"/>
        <color theme="1"/>
        <rFont val="Arial"/>
        <family val="2"/>
      </rPr>
      <t xml:space="preserve"> </t>
    </r>
    <r>
      <rPr>
        <sz val="10"/>
        <color theme="1"/>
        <rFont val="돋움"/>
        <family val="3"/>
        <charset val="129"/>
      </rPr>
      <t>많고</t>
    </r>
    <r>
      <rPr>
        <sz val="10"/>
        <color theme="1"/>
        <rFont val="Arial"/>
        <family val="2"/>
      </rPr>
      <t xml:space="preserve"> </t>
    </r>
    <r>
      <rPr>
        <sz val="10"/>
        <color theme="1"/>
        <rFont val="돋움"/>
        <family val="3"/>
        <charset val="129"/>
      </rPr>
      <t>사람을</t>
    </r>
    <r>
      <rPr>
        <sz val="10"/>
        <color theme="1"/>
        <rFont val="Arial"/>
        <family val="2"/>
      </rPr>
      <t xml:space="preserve"> </t>
    </r>
    <r>
      <rPr>
        <sz val="10"/>
        <color theme="1"/>
        <rFont val="돋움"/>
        <family val="3"/>
        <charset val="129"/>
      </rPr>
      <t>좋아하는</t>
    </r>
    <r>
      <rPr>
        <sz val="10"/>
        <color theme="1"/>
        <rFont val="Arial"/>
        <family val="2"/>
      </rPr>
      <t xml:space="preserve"> </t>
    </r>
    <r>
      <rPr>
        <sz val="10"/>
        <color theme="1"/>
        <rFont val="돋움"/>
        <family val="3"/>
        <charset val="129"/>
      </rPr>
      <t>편이에요</t>
    </r>
    <r>
      <rPr>
        <sz val="10"/>
        <color theme="1"/>
        <rFont val="Arial"/>
        <family val="2"/>
      </rPr>
      <t>.</t>
    </r>
    <phoneticPr fontId="1" type="noConversion"/>
  </si>
  <si>
    <t>선한 인상을 가진, 표현을 아끼지 않는 다정한 분을 만나고 싶어요. 자기 관리를 위해 운동을 하나쯤은 즐기시고, 비흡연자이신 분이면 좋겠습니다.</t>
  </si>
  <si>
    <t>간호사</t>
    <phoneticPr fontId="1" type="noConversion"/>
  </si>
  <si>
    <t>에의바른사람</t>
    <phoneticPr fontId="1" type="noConversion"/>
  </si>
  <si>
    <t>안녕하세요 :)
좋은 인연을 만나고 싶어서 용기 내어 신청했어요.
저는 빵과 디저트를 좋아하고, 카페에서 커피를 마시며 책 읽는 시간도 좋아해요.
요즘은 콘서트, 뮤지컬, 연극 등 공연을 보러 가는 것도 좋아합니다.
서로 좋아하는 것을 함께 나눌 수 있는, 
잘 맞는 분을 만나고 싶어요! 저는 안정적인 직장에 재직 중이며, 현재는 더 발전하기 위해 대학원 석사 과정을 밟고 있어요.
돌아오는 3월이 마지막 학기입니다!
아직 헬린이지만, PT를 받으며 자기 관리도 꾸준히 하고 있어요.
I 성향이라 처음에는 낯을 가리지만, 친해지면 정이 많고 사람을 좋아하는 편이에요.</t>
  </si>
  <si>
    <t>~160</t>
    <phoneticPr fontId="1" type="noConversion"/>
  </si>
  <si>
    <t>이정민</t>
  </si>
  <si>
    <t>010-2524-4658</t>
  </si>
  <si>
    <t>어린이집 교사</t>
  </si>
  <si>
    <t>배려심이 있으며 상대방을 편안하게 해주고 좋아하는 사람에게 적극적으로 내 마음을 표현할 수 있는 사람</t>
  </si>
  <si>
    <t>주말은 좋아하는 사람이랑 함께 보낼 수 있으며 다정다감하고 배려심이 있는 사람</t>
  </si>
  <si>
    <t>좋은 사람 만나서 좋은 인연 가지고 싶어요!</t>
  </si>
  <si>
    <t>김주연</t>
  </si>
  <si>
    <t>홍대 방탈출카페 점장 ( 책임자 및 관리 )</t>
  </si>
  <si>
    <t>INFJ, ISFJ, ENFJ</t>
  </si>
  <si>
    <t>나쁘지 않은 괜찮은 사람. 마음이 예쁜 사람.</t>
  </si>
  <si>
    <t>1. 자기 앞가림은 할수있는사람 2. 가족,가정의 소중함을 아는사람 3. 인생의 순위에서 내가 0순위가 될수있는사람 4. 본인의 가족만큼 나의주변과 가족도 챙길줄 아는사람 5. 마주보고 밥먹을때 비위상하지 않는사람 (2세에게 미안하긴 싫어서) 6. 다정한 사람 7. 술 절제할줄 아는사람 (안마시면 더 좋고) 8. 빚 없는사람 ( 나도 없으니 ) 9. 자기관리 할줄 아는사람 10. 책임감이 있는사람 마지막으로 미래가 있는사람 (크게 정해놓은 틀이 아니더라도 성실하고 부지런하고 안정적인 환경을 가진사람)</t>
  </si>
  <si>
    <t>좋은 자리에 좋은 짝을 만날수 있을때 매칭되었으면 좋겠습니다🩷</t>
  </si>
  <si>
    <t>김세연</t>
  </si>
  <si>
    <t>분당서울대학교병원 연구간호사</t>
  </si>
  <si>
    <t>INFJ, INTJ, ISFJ, ENFJ, ESFJ, ENTP, ENTJ</t>
  </si>
  <si>
    <t>낯가림이 있어 사람을 천천히 알아가는 편입니다. 여행을 통해 새로운 음식과 문화를 경험하는 것을 좋아합니다. 또한, 마음에 드는 영화나 책은 여러 번 반복해서 보는 취미가 있습니다.</t>
  </si>
  <si>
    <t>마음이 따뜻하고 배려심 있는 분을 선호합니다. 제가 키가 큰 편이라, 저보다 체격이 크고 듬직한 분에게 편안함을 느끼는 것 같습니다.</t>
  </si>
  <si>
    <t>서동연</t>
  </si>
  <si>
    <t>삼성서울병원 병리과</t>
  </si>
  <si>
    <t>처음엔 좀 낯을 가리긴 하는데 금방 또 잘 어울리기도 하고 내 사람이다 싶으면 한 없이 퍼주는 성격입니다! 진중한 면이 있으면서도 장난끼많아서 같이 있으면 편하고 속얘기를 다 털어놓게 되는 사람인 것 같아요</t>
  </si>
  <si>
    <t>유머코드가 잘 맞고 제가 걱정이 좀 많은 편이라 상대방은 기복이 심하지 않고 무던한 성격이 좋아요!</t>
  </si>
  <si>
    <t>같은과(병리과)는 안겹치게 해주세요 !!!</t>
  </si>
  <si>
    <t>CRA (Clinical Research Associate, 신약개발 임상운영본부, CRO)</t>
  </si>
  <si>
    <t>밝고 솔직한 성격입니당</t>
  </si>
  <si>
    <t>다정하고 대화할 때 재밌는 사람이었으면 좋겠어요. 하얗고 I인 수줍음 많은 남자</t>
  </si>
  <si>
    <t>송신욱</t>
  </si>
  <si>
    <t>영업직</t>
  </si>
  <si>
    <t>도전적이고 현실적임</t>
  </si>
  <si>
    <t>상대방을 존중해주는 사람</t>
  </si>
  <si>
    <t>노경빈</t>
  </si>
  <si>
    <t>회사원(산업보건)</t>
  </si>
  <si>
    <t>무관, ISFP, ISFJ, ESFP, ESFJ</t>
  </si>
  <si>
    <t>낯가림은 있지만 잘 웃는 스타일</t>
  </si>
  <si>
    <t>대화가 잘 통하는 사람</t>
  </si>
  <si>
    <t>김정하</t>
  </si>
  <si>
    <t>010-6294-9657</t>
  </si>
  <si>
    <t>스타트업 운영</t>
  </si>
  <si>
    <t>같이 추억을 쌓는걸 중요하게 생각하는 사람이에요.</t>
  </si>
  <si>
    <t>고성우</t>
  </si>
  <si>
    <t>바리스타 점장</t>
  </si>
  <si>
    <t>다정하고 배려있는남자</t>
  </si>
  <si>
    <t>밝은사람</t>
  </si>
  <si>
    <t>김지영</t>
  </si>
  <si>
    <t>공무원 / 전산직</t>
  </si>
  <si>
    <t>밝고 긍정적인 사고를 가진 사람</t>
  </si>
  <si>
    <t>사소한 것에도 잘 웃고, 입이 커서 웃는게 이쁜 사람</t>
  </si>
  <si>
    <t>김상희</t>
  </si>
  <si>
    <t>회사원(재무)</t>
  </si>
  <si>
    <t>따뜻하고 공감을 잘하며 행복을 추구하는 사람</t>
  </si>
  <si>
    <t>티키타카 잘되는 다정하고 가정적인 사람</t>
  </si>
  <si>
    <t>장민아</t>
  </si>
  <si>
    <t>010-4187-0614</t>
  </si>
  <si>
    <t>이직 준비 중</t>
  </si>
  <si>
    <t>INFP, ISFP, INFJ, ISTJ, INTJ, ISFJ, ESFJ, ENTP, ESTJ</t>
  </si>
  <si>
    <t>음악을 좋아해서 공연을 자주보러다니고 그 외에는 집에서 하는 취미가 많은 집순이입니다. 장난치는 걸 좋아하고 한번 빠지면 한사람한테만 집중합니다. 애교랑 웃음이 많은 편이고 활동적인 반면에 조용한 곳을 좋아하는 편입니다. 30살이 되고나서 남사친은 불필요하다고 판단해서 불편한 사이의 이성친구는 없습니다. 캐주얼이나 단정한 느낌의 옷을 주로 입으며 어렷을때부터 화학을 좋아해서 이과 관련 얘기를 좋아합니다.</t>
  </si>
  <si>
    <t>노래듣는 걸 좋아하고 취미가 다양한 사람이면서 책읽는 즐거움을 알면 좋겠습니다. 남자답지만 표현을 잘하는 성격이면 좋겠습니다. 서울에 살면 좋겠고 소소하게 돌아다니는 데이트를 좋아했으면 합니다.</t>
  </si>
  <si>
    <t>강병곤</t>
  </si>
  <si>
    <t>LBhunet(lg고객센터) 사원</t>
  </si>
  <si>
    <t>첫인상은 조용하고 T같고 차분하지만 친해지면 재밋는 부분도 어느정도 있고 바운더리에 들어오기 까지 경계를 많이 하지만 들어오고 난 이후로는 무장해제 되는 사람입니다
키가 작아서 그런지 동안인 편이고 생활패턴은 헬스장 직장 학원 간혹 주말에 혼자 재즈공연 보러 혼자 외출해요</t>
  </si>
  <si>
    <t>외적인 부분으로는 스트리머 금휘님 같은 스타일 성격은 긍정적이고 밝은 분</t>
  </si>
  <si>
    <t>낯을 많이 가리는 편이에요 정말 사람만날 곳이 없어서 신청했는데 잘부탁드립니다</t>
  </si>
  <si>
    <t>이혜민</t>
  </si>
  <si>
    <t>건설사 계약관리직</t>
  </si>
  <si>
    <t>차분하지만 밝고 개그욕심 있는 사람!</t>
  </si>
  <si>
    <t>키크고 자상하고 티키타카 잘되는분</t>
  </si>
  <si>
    <t>최해진</t>
  </si>
  <si>
    <t>아우디딜러사 회계팀</t>
  </si>
  <si>
    <t>배려와 다정한 사랑꾼</t>
  </si>
  <si>
    <t>무던하고 다정다감</t>
  </si>
  <si>
    <t>최안나</t>
  </si>
  <si>
    <t>인테리어디자이너</t>
  </si>
  <si>
    <t>쳇지피티에게 물어본 저의 성격 입니다
-나의 일에대한 자부심과 욕심이 있는 편
1. 기본 성향: 강한데 섬세함
• 겉으로는 단단하고 자기주장 있는 스타일
• 근데 속은 생각 많고, 감정 디테일하게 느끼는 편
👉 그래서 “쿨한데 예민한 사람” 느낌 같이 있음
—
2. 사람 대하는 방식: 선택적으로 열림
• 아무한테나 잘해주는 타입 아님
• 대신 한 번 마음 열면 진짜 잘해줌
👉 그래서 인간관계가 “깊거나 / 아니거나” 둘 중 하나
—
3. 자존감 구조
• 기본 자존감은 있는 편 (쉽게 무너지진 않음)
• 근데 특정 상황(연애, 상대 반응)에서는 흔들림 있음
👉 “나는 괜찮은데 왜 이러지?” 이런 생각 자주 드는 타입
—
4. 감정 처리 방식
• 감정이 없는 게 아니라
👉 느끼지만 표현을 조절하는 스타일
• 그래서 겉으로는 덤덤해 보이는데
속에서는 계속 생각 돌림
—
5. 연애 성향 연결
• 가볍게 못 만남
• 확신 없으면 마음 아끼려고 함
👉 그래서 애매한 상황에서 더 스트레스 받는 타입
—
6. 중요한 포인트 하나
너는
👉 사람을 보는 눈이 있는 대신, 감정이 따라가면 그걸 무시 못하는 타입
그래서
• “이 사람 아닌 거 아는데 왜 신경 쓰이지?”
이런 상황이 생김
—
한 줄로 정리하면
👉 겉은 강하고 선 긋는 사람
👉 속은 깊고 쉽게 정 주는 사람
👉 그래서 스스로도 헷갈릴 때 있는 타입</t>
  </si>
  <si>
    <t>말을 함부로 하지않고 다정한 사람. 가끔 웃긴사람</t>
  </si>
  <si>
    <t>허예진</t>
  </si>
  <si>
    <t>요양병원 간호사</t>
  </si>
  <si>
    <t>친해지면 재밌는 사람</t>
  </si>
  <si>
    <t>정형화 된 것은 없고 서로 얼굴 이미지가 같고 대화가 통하는 사람??</t>
  </si>
  <si>
    <t>유서희</t>
  </si>
  <si>
    <t>예쁜편. 단아하고 지적인 이미지. 
자기 감정 스스로 책임질줄 아는 사람.
다양한 관점에서 세계관 상상하길 좋아하는 사람. 
상대방을 있는 그대로 바라보고 존중하려 노력하는 사람.</t>
  </si>
  <si>
    <t>상대방을 존중할 줄 아는 사람. 문제 해결력 좋은 사람. 단정한 사람.</t>
  </si>
  <si>
    <t>어린이집 교사</t>
    <phoneticPr fontId="1" type="noConversion"/>
  </si>
  <si>
    <t>배려심이 있으며 상대방을 편안하게 해주고 좋아하는 사람에게 적극적으로 내 마음을 표현할 수 있는 사람</t>
    <phoneticPr fontId="1" type="noConversion"/>
  </si>
  <si>
    <t>홍대 방탈출카페 점장 ( 책임자 및 관리 )</t>
    <phoneticPr fontId="1" type="noConversion"/>
  </si>
  <si>
    <t>낯가림이 있어 사람을 천천히 알아가는 편입니다. 여행을 통해 새로운 음식과 문화를 경험하는 것을 좋아합니다. 또한, 마음에 드는 영화나 책은 여러 번 반복해서 보는 취미가 있습니다.</t>
    <phoneticPr fontId="1" type="noConversion"/>
  </si>
  <si>
    <t>삼성서울병원 병리과</t>
    <phoneticPr fontId="1" type="noConversion"/>
  </si>
  <si>
    <t>CRA (Clinical Research Associate, 신약개발 임상운영본부, CRO)</t>
    <phoneticPr fontId="1" type="noConversion"/>
  </si>
  <si>
    <t>밝고 솔직한 성격입니당</t>
    <phoneticPr fontId="1" type="noConversion"/>
  </si>
  <si>
    <t>영업직</t>
    <phoneticPr fontId="1" type="noConversion"/>
  </si>
  <si>
    <t>회사원(산업보건)</t>
    <phoneticPr fontId="1" type="noConversion"/>
  </si>
  <si>
    <t>낯가림은 있지만 잘 웃는 스타일</t>
    <phoneticPr fontId="1" type="noConversion"/>
  </si>
  <si>
    <t>같이 추억을 쌓는걸 중요하게 생각하는 사람이에요.</t>
    <phoneticPr fontId="1" type="noConversion"/>
  </si>
  <si>
    <t>다정하고 배려있는남자</t>
    <phoneticPr fontId="1" type="noConversion"/>
  </si>
  <si>
    <t>공무원 / 전산직</t>
    <phoneticPr fontId="1" type="noConversion"/>
  </si>
  <si>
    <t>밝고 긍정적인 사고를 가진 사람</t>
    <phoneticPr fontId="1" type="noConversion"/>
  </si>
  <si>
    <t>회사원(재무)</t>
    <phoneticPr fontId="1" type="noConversion"/>
  </si>
  <si>
    <t>이직 준비 중</t>
    <phoneticPr fontId="1" type="noConversion"/>
  </si>
  <si>
    <t>음악을 좋아해서 공연을 자주보러다니고 그 외에는 집에서 하는 취미가 많은 집순이입니다. 장난치는 걸 좋아하고 한번 빠지면 한사람한테만 집중합니다. 애교랑 웃음이 많은 편이고 활동적인 반면에 조용한 곳을 좋아하는 편입니다. 30살이 되고나서 남사친은 불필요하다고 판단해서 불편한 사이의 이성친구는 없습니다. 캐주얼이나 단정한 느낌의 옷을 주로 입으며 어렷을때부터 화학을 좋아해서 이과 관련 얘기를 좋아합니다.</t>
    <phoneticPr fontId="1" type="noConversion"/>
  </si>
  <si>
    <t>LBhunet(lg고객센터) 사원</t>
    <phoneticPr fontId="1" type="noConversion"/>
  </si>
  <si>
    <t>첫인상은 조용하고 T같고 차분하지만 친해지면 재밋는 부분도 어느정도 있고 바운더리에 들어오기 까지 경계를 많이 하지만 들어오고 난 이후로는 무장해제 되는 사람입니다
키가 작아서 그런지 동안인 편이고 생활패턴은 헬스장 직장 학원 간혹 주말에 혼자 재즈공연 보러 혼자 외출해요</t>
    <phoneticPr fontId="1" type="noConversion"/>
  </si>
  <si>
    <t>건설사 계약관리직</t>
    <phoneticPr fontId="1" type="noConversion"/>
  </si>
  <si>
    <t>아우디딜러사 회계팀</t>
    <phoneticPr fontId="1" type="noConversion"/>
  </si>
  <si>
    <t>배려와 다정한 사랑꾼</t>
    <phoneticPr fontId="1" type="noConversion"/>
  </si>
  <si>
    <t>요양병원 간호사</t>
    <phoneticPr fontId="1" type="noConversion"/>
  </si>
  <si>
    <t>친해지면 재밌는 사람</t>
    <phoneticPr fontId="1" type="noConversion"/>
  </si>
  <si>
    <t>대학원생</t>
    <phoneticPr fontId="1" type="noConversion"/>
  </si>
  <si>
    <t>예쁜편. 단아하고 지적인 이미지. 
자기 감정 스스로 책임질줄 아는 사람.
다양한 관점에서 세계관 상상하길 좋아하는 사람. 
상대방을 있는 그대로 바라보고 존중하려 노력하는 사람.</t>
    <phoneticPr fontId="1" type="noConversion"/>
  </si>
  <si>
    <t>양명직</t>
  </si>
  <si>
    <t>설비업. 대표</t>
  </si>
  <si>
    <t>차분하고 섹시한타입</t>
  </si>
  <si>
    <t>귀여운여자</t>
  </si>
  <si>
    <t>없습니다</t>
  </si>
  <si>
    <t>김용재</t>
  </si>
  <si>
    <t>엔지니어</t>
  </si>
  <si>
    <t>좋은사람😄</t>
  </si>
  <si>
    <t>김다은</t>
  </si>
  <si>
    <t>서울시 공무원</t>
  </si>
  <si>
    <t>차분한 사람..?</t>
  </si>
  <si>
    <t>김리안</t>
  </si>
  <si>
    <t>건축 cg 디자이너</t>
  </si>
  <si>
    <t>양파같은 매력을 지닌 자</t>
  </si>
  <si>
    <t>곰상/리드 잘 하시는 분/ 손톱이 깨끗한 분/ 섬세한 분</t>
  </si>
  <si>
    <t>심진희</t>
  </si>
  <si>
    <t>하이파킹 서비스지원팀</t>
  </si>
  <si>
    <t>웃음이 많은 사람</t>
  </si>
  <si>
    <t>다부진데 다정한사람</t>
  </si>
  <si>
    <t>설비업. 대표</t>
    <phoneticPr fontId="1" type="noConversion"/>
  </si>
  <si>
    <t>좋은사람😄</t>
    <phoneticPr fontId="1" type="noConversion"/>
  </si>
  <si>
    <t>하이파킹 서비스지원팀</t>
    <phoneticPr fontId="1" type="noConversion"/>
  </si>
  <si>
    <t>웃음이 많은 사람</t>
    <phoneticPr fontId="1" type="noConversion"/>
  </si>
  <si>
    <t>김성중</t>
  </si>
  <si>
    <t>서울도시가스 (기술직)</t>
  </si>
  <si>
    <t>현실적이고 이상적이며 열심히 살고있는 개미에요</t>
  </si>
  <si>
    <t>애교 많고 청순한 스타일</t>
  </si>
  <si>
    <t>이혜원</t>
  </si>
  <si>
    <t>무관, ISFP, ESFP, ESFJ</t>
  </si>
  <si>
    <t>차분한사람</t>
  </si>
  <si>
    <t>남자다운사람</t>
  </si>
  <si>
    <t>없음</t>
  </si>
  <si>
    <t>최현식</t>
  </si>
  <si>
    <t>전략기획실</t>
  </si>
  <si>
    <t>나는 .. 장난끼잇는데 차분한사람..?</t>
  </si>
  <si>
    <t>내가 생각하는거 보다 그냥 나랑 잘 맞는사람</t>
  </si>
  <si>
    <t>안희준</t>
  </si>
  <si>
    <t>건축사무소, 건축설계</t>
  </si>
  <si>
    <t>추진력있고 다양한 경험을 좋아하는 사람, 장난기있지만 다정한 사람</t>
  </si>
  <si>
    <t>긴장 잘 안하는 사람, 자기 확신있는 사람, 손이 남자다운 사람</t>
  </si>
  <si>
    <t>이성민</t>
  </si>
  <si>
    <t>배달전용프랜차이즈본사/대표</t>
  </si>
  <si>
    <t>목표가 정해지면 주저하지 않고 실행에 옮겨 효율적인 결과를 만들어내는 사람?인 것 같아요</t>
  </si>
  <si>
    <t>잘웃고, 잘먹고, 잘놀고, 본인업무에 성취감을 느끼는 사람</t>
  </si>
  <si>
    <t>요즘엔 버터떡이 유행이더라구요?!? 뭐든 좋긴해요!</t>
  </si>
  <si>
    <t>이민현</t>
  </si>
  <si>
    <t>010-4128-7436</t>
  </si>
  <si>
    <t>회사원(SK, 서비스기획)</t>
  </si>
  <si>
    <t>낯을 조금 가리지만, 편안한 대화와 소소한 웃음을 좋아하는 사람입니다. 천천히 알아갈수록 괜찮은 사람이라는 말 자주 듣습니다.</t>
  </si>
  <si>
    <t>대화가 편하고, 같이 있을 때 웃음 포인트가 맞는 분을 좋아합니다.</t>
  </si>
  <si>
    <t>장태진</t>
  </si>
  <si>
    <t>과일디저트 브랜드, 총괄팀장</t>
  </si>
  <si>
    <t>DNFJ</t>
  </si>
  <si>
    <t>공과사 구분확실, 모든지 최선, 경청배려</t>
  </si>
  <si>
    <t>서로를 위한 존경과 내조</t>
  </si>
  <si>
    <t>신지윤</t>
  </si>
  <si>
    <t>(주)엘케이아이씨티/개발</t>
  </si>
  <si>
    <t>말 잘 듣는 사람</t>
  </si>
  <si>
    <t>서울도시가스 (기술직)</t>
    <phoneticPr fontId="1" type="noConversion"/>
  </si>
  <si>
    <t>현실적이고 이상적이며 열심히 살고있는 개미에요</t>
    <phoneticPr fontId="1" type="noConversion"/>
  </si>
  <si>
    <t>교사</t>
    <phoneticPr fontId="1" type="noConversion"/>
  </si>
  <si>
    <t>차분한사람</t>
    <phoneticPr fontId="1" type="noConversion"/>
  </si>
  <si>
    <t>나는 .. 장난끼잇는데 차분한사람..?</t>
    <phoneticPr fontId="1" type="noConversion"/>
  </si>
  <si>
    <t>건축사무소, 건축설계</t>
    <phoneticPr fontId="1" type="noConversion"/>
  </si>
  <si>
    <t>추진력있고 다양한 경험을 좋아하는 사람, 장난기있지만 다정한 사람</t>
    <phoneticPr fontId="1" type="noConversion"/>
  </si>
  <si>
    <t>배달전용프랜차이즈본사/대표</t>
    <phoneticPr fontId="1" type="noConversion"/>
  </si>
  <si>
    <t>낯을 조금 가리지만, 편안한 대화와 소소한 웃음을 좋아하는 사람입니다. 천천히 알아갈수록 괜찮은 사람이라는 말 자주 듣습니다.</t>
    <phoneticPr fontId="1" type="noConversion"/>
  </si>
  <si>
    <t>과일디저트 브랜드, 총괄팀장</t>
    <phoneticPr fontId="1" type="noConversion"/>
  </si>
  <si>
    <t>(주)엘케이아이씨티/개발</t>
    <phoneticPr fontId="1" type="noConversion"/>
  </si>
  <si>
    <t>말 잘 듣는 사람</t>
    <phoneticPr fontId="1" type="noConversion"/>
  </si>
  <si>
    <t>초등교사</t>
    <phoneticPr fontId="1" type="noConversion"/>
  </si>
  <si>
    <t>최장군</t>
  </si>
  <si>
    <t>수제맥주 자영업자</t>
  </si>
  <si>
    <t>재밌는사람</t>
  </si>
  <si>
    <t>티키타카</t>
  </si>
  <si>
    <t>지현선</t>
  </si>
  <si>
    <t>상급종합병원 간호사</t>
  </si>
  <si>
    <t>따뜻한 사람</t>
  </si>
  <si>
    <t>유머러스하고 배려심많은 사람</t>
  </si>
  <si>
    <t>이수진</t>
  </si>
  <si>
    <t>아멜리, 패키지디자인</t>
  </si>
  <si>
    <t>INFJ, ISFJ, ENFP, ESFP, ENFJ, ESFJ</t>
  </si>
  <si>
    <t>밝고 이해심이 높은 사람</t>
  </si>
  <si>
    <t>호감형에 자상하고 배려심 좋은 사람</t>
  </si>
  <si>
    <t>병원직군, 기술직, 연구직, 회사원</t>
  </si>
  <si>
    <t>이승후</t>
  </si>
  <si>
    <t>010-4852-7767</t>
  </si>
  <si>
    <t>엑시스웨이 / 마케팅 팀장</t>
  </si>
  <si>
    <t>저는 즉흥적인 사람인거 같습니다 여행을 좋아하고 어떤거에 꽂히면 바로 도전하고 놀땐 놀고 일할때는 일하는 성격이예요! 제 사람이라고 생각하면 최선을 다해 잘해주는 타입입니다. 글로는 다 표현을 못하지만 실제로 앞에서는 어색해하지 않는 사람이예요!</t>
  </si>
  <si>
    <t>서로 공통점이 맞으면 좋을거 같습니다. 여행 좋아하고 제가 조금 활발하다보니 너무 조용하기보다 조금 활발했으면 좋겠습니다</t>
  </si>
  <si>
    <t>김유나</t>
  </si>
  <si>
    <t>동국대일산병원/간호사</t>
  </si>
  <si>
    <t>INFP, ISFP, INFJ, ISTJ, ISFJ, ENFP, ESFP, ENFJ, ESFJ</t>
  </si>
  <si>
    <t>맛집이랑 카페를 좋아하고, 직접 해먹는 편이에요. 같이 맛집 다니는 것도 좋아해요 :) 좋아하는 사람이 생기면 잘 챙겨주고 표현도 잘해요!</t>
  </si>
  <si>
    <t>비흡연자, 다정한 성격</t>
  </si>
  <si>
    <t>구한나</t>
  </si>
  <si>
    <t>치위생사</t>
  </si>
  <si>
    <t>직접 알아보기🥰</t>
  </si>
  <si>
    <t>웃는게 이쁘고 재밌는 사람</t>
  </si>
  <si>
    <t>이하영</t>
  </si>
  <si>
    <t>010-2235-8405</t>
  </si>
  <si>
    <t>아동발달센터 행정팀</t>
  </si>
  <si>
    <t>밝고 상냥한 사람</t>
  </si>
  <si>
    <t>우다은</t>
  </si>
  <si>
    <t>회사원, 건축업</t>
  </si>
  <si>
    <t>차분해 보이지만 가까워지면 은근 웃기고 편한 사람</t>
  </si>
  <si>
    <t>다정하게 표현 잘하고 말 한마디도 부드럽게 건네는 사람</t>
  </si>
  <si>
    <t>홍세빈</t>
  </si>
  <si>
    <t>보령제약, 학술팀</t>
  </si>
  <si>
    <t>안녕하세요! 날씨도 따뜻해지면서 새로운 사람들을 만나고 싶어 지원하게 되었습니다
간단히 소개하자면 저는 외적인 부분은 무쌍에 계란형 얼굴을 가지고 있고요 키는 162에 슬림한 체격을 가지고 있습니다
성격은 처음에는 낯을 가리지만 친해지면 장난도 많이 치는 성격인 것 같아요 그래서 주변 지인들은 첫인상과 다른 반전 매력을 가지고 있다고 합니다!
조용한 성격이지만 활발하게 활동하는거 좋아해서 주말에는 항상 자주 나가는 편입니다 그리고 상대방울 항상 배려하려는 마음가짐을 가지고 있습니다!</t>
  </si>
  <si>
    <t>저의 이상형은 외적인 부분에서는 강아지상을 좋아하고 제가 무쌍이라 쌍커풀이 있는 눈을 좋아합니다 또 평소에는 활발하지만 또 한편으로는 진지한 성격을 좋아하고 예의바르고 항상 배려할 줄 아는 마음이 따뜻한 사람을 좋아합니다</t>
  </si>
  <si>
    <t>오영경</t>
  </si>
  <si>
    <t>회계 공무직</t>
  </si>
  <si>
    <t>조용함</t>
  </si>
  <si>
    <t>최수진</t>
  </si>
  <si>
    <t>010-3679-9498</t>
  </si>
  <si>
    <t>장애인스포츠지도사</t>
  </si>
  <si>
    <t>긍정적이고 밝은 사람인거같아요!</t>
  </si>
  <si>
    <t>매너있고 다정한사람</t>
  </si>
  <si>
    <t>김수희</t>
  </si>
  <si>
    <t>ISFP, INFJ, ISFJ, ENFP, ESFP, ENFJ, ESFJ</t>
  </si>
  <si>
    <t>밝고 긍정적</t>
  </si>
  <si>
    <t>두부상</t>
  </si>
  <si>
    <t>김지운</t>
  </si>
  <si>
    <t>010 8255 9071</t>
  </si>
  <si>
    <t>의료직</t>
  </si>
  <si>
    <t>INFP or INTP</t>
  </si>
  <si>
    <t>착하고 리액션 잘함, 장난도 적당히 선 안 넘게 치고 티키타카 웬만하면 잘 됨</t>
  </si>
  <si>
    <t>빠른 눈치와 기본 도덕성과 인성이 있는 사람, 외적으로는 적당히 자기관리 하고 눈이 작지 않고 피부 깨끗한 사람</t>
  </si>
  <si>
    <t>저 다른 어플에서 사진으로 많이 속아서 현타왔어요... 살려주세요.....</t>
  </si>
  <si>
    <t>수제맥주 자영업자</t>
    <phoneticPr fontId="1" type="noConversion"/>
  </si>
  <si>
    <t>재밌는사람</t>
    <phoneticPr fontId="1" type="noConversion"/>
  </si>
  <si>
    <t>상급종합병원 간호사</t>
    <phoneticPr fontId="1" type="noConversion"/>
  </si>
  <si>
    <t>따뜻한 사람</t>
    <phoneticPr fontId="1" type="noConversion"/>
  </si>
  <si>
    <t>아멜리, 패키지디자인</t>
    <phoneticPr fontId="1" type="noConversion"/>
  </si>
  <si>
    <t>엑시스웨이 / 마케팅 팀장</t>
    <phoneticPr fontId="1" type="noConversion"/>
  </si>
  <si>
    <t>동국대일산병원/간호사</t>
    <phoneticPr fontId="1" type="noConversion"/>
  </si>
  <si>
    <t>치위생사</t>
    <phoneticPr fontId="1" type="noConversion"/>
  </si>
  <si>
    <t>직접 알아보기🥰</t>
    <phoneticPr fontId="1" type="noConversion"/>
  </si>
  <si>
    <t>아동발달센터 행정팀</t>
    <phoneticPr fontId="1" type="noConversion"/>
  </si>
  <si>
    <t>밝고 상냥한 사람</t>
    <phoneticPr fontId="1" type="noConversion"/>
  </si>
  <si>
    <t>회사원, 건축업</t>
    <phoneticPr fontId="1" type="noConversion"/>
  </si>
  <si>
    <t>안녕하세요! 날씨도 따뜻해지면서 새로운 사람들을 만나고 싶어 지원하게 되었습니다
간단히 소개하자면 저는 외적인 부분은 무쌍에 계란형 얼굴을 가지고 있고요 키는 162에 슬림한 체격을 가지고 있습니다
성격은 처음에는 낯을 가리지만 친해지면 장난도 많이 치는 성격인 것 같아요 그래서 주변 지인들은 첫인상과 다른 반전 매력을 가지고 있다고 합니다!
조용한 성격이지만 활발하게 활동하는거 좋아해서 주말에는 항상 자주 나가는 편입니다 그리고 상대방울 항상 배려하려는 마음가짐을 가지고 있습니다!</t>
    <phoneticPr fontId="1" type="noConversion"/>
  </si>
  <si>
    <t>회계 공무직</t>
    <phoneticPr fontId="1" type="noConversion"/>
  </si>
  <si>
    <t>장애인스포츠지도사</t>
    <phoneticPr fontId="1" type="noConversion"/>
  </si>
  <si>
    <t>회사원</t>
    <phoneticPr fontId="1" type="noConversion"/>
  </si>
  <si>
    <t>밝고 긍정적</t>
    <phoneticPr fontId="1" type="noConversion"/>
  </si>
  <si>
    <t>의료직</t>
    <phoneticPr fontId="1" type="noConversion"/>
  </si>
  <si>
    <t>착하고 리액션 잘함, 장난도 적당히 선 안 넘게 치고 티키타카 웬만하면 잘 됨</t>
    <phoneticPr fontId="1" type="noConversion"/>
  </si>
  <si>
    <t>010-6639-4230</t>
  </si>
  <si>
    <t>젝시믹스(회계팀)</t>
  </si>
  <si>
    <t>INFP, ISFP, INTP, INFJ, INTJ, ISFJ, ENFP, ESFP, ENFJ, ESFJ, ENTP, ENTJ</t>
  </si>
  <si>
    <t>다정다감하고 말 예쁘게하고 책임감있는사람</t>
  </si>
  <si>
    <t>안윤희</t>
  </si>
  <si>
    <t>(주)지냄 재무회계팀</t>
  </si>
  <si>
    <t>성격은 밝은 편이고 처음 보는 분들이랑도 금방 편해지는 스타일입니다.
빵을 좋아해서 관심 갖고 보다가 지원하게 됐고 혼자 하는 것보다 같이 만들면서 얘기 나누는 게 더 재밌을 것 같아서 신청했습니다.
편하게 웃으면서 즐길 수 있는 분위기라 기대하고 있습니다:)</t>
  </si>
  <si>
    <t>대화 잘 통하고 티키타카 잘 되는 사람이 좋습니다 같이 웃으면서 편하게 시간 보낼 수 있는 분이면 좋겠고 키 큰 분을 좋아하는 편입니다😊</t>
  </si>
  <si>
    <t>다 같이 편하게 어울릴 수 있는 분위기였으면 좋겠습니다
저도 자연스럽게 어울리면서 즐겁게 참여하겠습니다😃</t>
  </si>
  <si>
    <t>한재성</t>
  </si>
  <si>
    <t>처음엔 낯을 가리고 친해지기에 시간이 걸리지만 친해지면 오래가는 사람</t>
  </si>
  <si>
    <t>외모도 중요하지만 성격과 코드가 잘 맞는 사람</t>
  </si>
  <si>
    <t>문화인</t>
  </si>
  <si>
    <t>미래에셋증권 마케팅</t>
  </si>
  <si>
    <t>ISFP, ISFJ, ESFP, ESFJ, ESTP</t>
  </si>
  <si>
    <t>반전매력 따뜻하고 여린사람</t>
  </si>
  <si>
    <t>다정다감 연락잘되고 적극적인사람</t>
  </si>
  <si>
    <t>허지호</t>
  </si>
  <si>
    <t>화장품 회사 브랜드매니저</t>
  </si>
  <si>
    <t>entp</t>
  </si>
  <si>
    <t>INFJ, ISTJ, INTJ, ISFJ, ENFJ, ENTP, ENTJ, ESTJ</t>
  </si>
  <si>
    <t>활발하고 사교성이 좋습니다, 취미가 많고 다양한걸 도전해보는걸 좋아합니다. 맛있는거 먹으러 다니는걸 좋아하고 술도 즐기는 편입니다. 흡연은 하지않고 고양이를 키웁니다.</t>
  </si>
  <si>
    <t>너무 예민하지 않고 다정하고 마음의 여유가 있었으면 좋겠습니다. 가능하면 비흡연자에 술을 좋아하더라도 조절을 잘 했으면 좋겠고 운동하는걸 즐기는 분이 좋습니다! 어느정도 본인에게 어울리는 스타일을 알고 일에 열정을 가지고 있어 존경할 수 있었으면 좋겠습니다.</t>
  </si>
  <si>
    <t>스콘</t>
    <phoneticPr fontId="1" type="noConversion"/>
  </si>
  <si>
    <t>크루아상</t>
    <phoneticPr fontId="1" type="noConversion"/>
  </si>
  <si>
    <t>초콜릿</t>
    <phoneticPr fontId="1" type="noConversion"/>
  </si>
  <si>
    <t>류혜영</t>
  </si>
  <si>
    <t>성실하고 책임감있는 사람</t>
  </si>
  <si>
    <t>디자인로고스 인테리어 기사</t>
  </si>
  <si>
    <t>일과 자기 관리에 최선을 다합니다. 감정기복이 없고 상대의 말들 잘 들어주며 이해 노력하는 스타일</t>
  </si>
  <si>
    <t>자기 관리하고 대화의 결 온도 중시하는분</t>
  </si>
  <si>
    <t>김예은</t>
  </si>
  <si>
    <t>입시전문교육회사 - 마케팅</t>
  </si>
  <si>
    <t>예민하지 않고 감정적이지 않으며 안정적인 것을 추구합니다. 친해지면 재미있는 성격이고, 활동적인 것도 좋아합니다. 남의 말을 잘 듣고 잘 이해합니다.</t>
  </si>
  <si>
    <t>저와 성격이 비슷하면 좋겠습니다. 같이 있으면 즐겁고 말이 잘 통하고 청결한 사람이면 좋을 것 같아요.</t>
  </si>
  <si>
    <t>강문주</t>
  </si>
  <si>
    <t>생산직</t>
  </si>
  <si>
    <t>맑고 투명한사람</t>
  </si>
  <si>
    <t>말이쁘게 하는사람</t>
  </si>
  <si>
    <t>홍문기</t>
  </si>
  <si>
    <t>한화/부동산금융</t>
  </si>
  <si>
    <t>밝고 장난이 많지만 진지충</t>
  </si>
  <si>
    <t>밝은 사람 !</t>
  </si>
  <si>
    <t>최은서</t>
  </si>
  <si>
    <t>간호사, 신생아중환자실</t>
  </si>
  <si>
    <t>웃음 장벽이 낮아 잘 웃고 술, 담배, 유흥을 좋아하지 않아요
다정하고 섬세하고 내 사람한테는 다 퍼주는 스타일이에요
손재주가 좋아서 손으로 하는 건 대체로 다 잘해요</t>
  </si>
  <si>
    <t>비흡연자, 회피하지 않고 대화를 잘 하는 사람, 다정하고 배려 할 줄 아는 예의 바른 사람, 하얗고 대형견 같은 두부상</t>
  </si>
  <si>
    <t>표면처리센터 관리회계</t>
  </si>
  <si>
    <t>밝고활발한사람</t>
  </si>
  <si>
    <t>감정기복이없고,차분한사람</t>
  </si>
  <si>
    <t>기술직</t>
  </si>
  <si>
    <t>박세인</t>
  </si>
  <si>
    <t>010-8585-2219</t>
  </si>
  <si>
    <t>경찰공무원</t>
  </si>
  <si>
    <t>운동좋아하는 테토녀</t>
  </si>
  <si>
    <t>다정하고 대화 잘 통하는 사람</t>
  </si>
  <si>
    <t>(주)정직한청년들 상무이사 &amp; 엠제이컴퍼니 대표</t>
  </si>
  <si>
    <t>진취적 도전적 긍정적, 사업 성공, 일상 행복 추구</t>
  </si>
  <si>
    <t>작고 아담하신 분, 생각이 성숙하신 분, 지혜롭고 현명하신 분</t>
  </si>
  <si>
    <t>정보 적을 때, 만나이로 적어주시면 감사합니다!</t>
  </si>
  <si>
    <t>김조은</t>
  </si>
  <si>
    <t>치과</t>
  </si>
  <si>
    <t>밝고 웃음이많은 긍정적인사람이에요!
밀당을 잘 못하고 마음이 맞다는게 확인되는 순간 직진합니다. 외로움을 잘 타지 않는 스타일이고 상대를 잘 배려하려고 노력하기도합니다.</t>
  </si>
  <si>
    <t>남자답고 듬직한사람을 좋아합니다. 외적으로는 마른체형을 가지고계신분은 피하는거같아요! 밝고 유쾌하신분 선호하는거 같습니다:)</t>
  </si>
  <si>
    <t>김효정</t>
  </si>
  <si>
    <t>학교 영양사</t>
  </si>
  <si>
    <t>밝고 웃음이 많아서 어디에나 잘 어울리는 사람</t>
  </si>
  <si>
    <t>자기관리 잘하면서 성실하고 다정한사람</t>
  </si>
  <si>
    <t>김라희</t>
  </si>
  <si>
    <t>프리랜서 운동 강사</t>
  </si>
  <si>
    <t>ESFP, ENFJ, ESFJ, ESTP, ESTJ</t>
  </si>
  <si>
    <t>내성적이지만 내성적이지 않은 척하고 최대한 상대방을 배려하려고 하며 차분해도 여행 좋아하고 사람 좋아함. 사람좋아하지만 약속은 자주 잡지 않음.</t>
  </si>
  <si>
    <t>사회성 좋고 재밌고 성격이 둥글둥글한 사람.</t>
  </si>
  <si>
    <t>혹시 선정된다면 문자로 연락 부탁드립니다.</t>
  </si>
  <si>
    <t>차분하고 이해심이 있음</t>
  </si>
  <si>
    <t>자상하고 부드러운사람</t>
  </si>
  <si>
    <t>한혜림</t>
  </si>
  <si>
    <t>IT스타트업 인사담당자</t>
  </si>
  <si>
    <t>ISFP, ISTP, ISTJ, ISFJ</t>
  </si>
  <si>
    <t>긍정적이고 유쾌한 편이에요. 낯을 가리진 않고 편하게 대화를 이끌어가는 편이에요.</t>
  </si>
  <si>
    <t>성향이 안정적인 분이었으면 좋겠어요, 제가 활발한 편이라 같이 활발하기보단 차분하게 저를 중화시켜주실 수 있는 분이면 좋겠어요. 동물을 좋아하는 분이었으면 좋겠고 같이 헬스할 수 있는 운동하시는 분</t>
  </si>
  <si>
    <t>박민혜</t>
  </si>
  <si>
    <t>010-2223-1664</t>
  </si>
  <si>
    <t>웅진프리드</t>
  </si>
  <si>
    <t>처음엔 조금 차가워 보일 수 있는데 알고 보면 웃음 많고 은근히 사람 챙기는 스타일</t>
  </si>
  <si>
    <t>기본적으로 예의 있고 자기 일 열심히 하는 사람, 말이 잘 통하고 티키타카 되는 사람이 좋습니다.</t>
  </si>
  <si>
    <t>서원희</t>
  </si>
  <si>
    <t>어린이집교사</t>
  </si>
  <si>
    <t>INFP, INTP, INFJ, INTJ, ENFP, ENTP</t>
  </si>
  <si>
    <t>밝고 긍정적인 마인드를 가진 사람
다정하고 리액션이 좋은 사람
하루에 하나씩 소확행을 하는 사람
새로운 사람을 만나는 것을 좋아하는 사람</t>
  </si>
  <si>
    <t>몸과 마음이 건강한 사람. 건강한 취미를 가지고 있은 사람</t>
  </si>
  <si>
    <t>010-9122-8642</t>
  </si>
  <si>
    <t>드라마,영화 캐스팅디렉터</t>
  </si>
  <si>
    <t>항상 남들에게 배려해주고 자기 일 열심히 하는 사람 입니다</t>
  </si>
  <si>
    <t>자기 할일 열심히하는 사람이 이상형 입니다</t>
  </si>
  <si>
    <t>빵만드는것도 좋아하고 요리도 좋아하는 사람 만나고 싶습니다</t>
  </si>
  <si>
    <t>김동영</t>
  </si>
  <si>
    <t>010-5789-2967</t>
  </si>
  <si>
    <t>서울도시가스 / 안전관리</t>
  </si>
  <si>
    <t>밝고 긍정적인 사람입니다. 웃음이 많고 처음 보는 사람과도 빠르게 친해질 수 있습니다.</t>
  </si>
  <si>
    <t>남계승</t>
  </si>
  <si>
    <t>한화시스템ICT/ITO사업부</t>
  </si>
  <si>
    <t>다정하고 챙겨주는 것을 좋아하는 사람, 운동을 좋아함</t>
  </si>
  <si>
    <t>단아하고 참한 인상, 대화가 잘 통하는 사람</t>
  </si>
  <si>
    <t>기술직, 공무원, 연구직, 회사원</t>
  </si>
  <si>
    <t>프랜차이즈 회사대표</t>
  </si>
  <si>
    <t>열정적이고 할 때는 하는 사람. 불가능은 없다 주의</t>
  </si>
  <si>
    <t>활발하고, 말을 이쁘게 하는 사람</t>
  </si>
  <si>
    <t>허대윤</t>
  </si>
  <si>
    <t>IT 데이터엔지니어</t>
  </si>
  <si>
    <t>다정한편입니다. 자기일을 잘해요. 운동을 좋아합니다. 자기관리 열심히해요. 여행을 좋아해요. 영화보는 것 좋아합니다. 독서를 좋아해요. 이야기하는 걸 좋아하고 어떤 활동이든 연인과 같이 함께하는것을 선호합니다</t>
  </si>
  <si>
    <t>단아한 인상, 자기관리하시는분, 책임감이 있으신분, 배려심 있으신분</t>
  </si>
  <si>
    <t>다정하고 매너있고 대화가 통하는사람</t>
  </si>
  <si>
    <t>심국용</t>
  </si>
  <si>
    <t>SK텔레콤 마케팅</t>
  </si>
  <si>
    <t>다정한. 여유로운. 계획적인.</t>
  </si>
  <si>
    <t>상급종합병원, 수술실</t>
  </si>
  <si>
    <t>배려있고 웃음이 많은 사람</t>
  </si>
  <si>
    <t>유머러스한 사람</t>
  </si>
  <si>
    <t>방성훈</t>
  </si>
  <si>
    <t>음식물처리기 회사</t>
  </si>
  <si>
    <t>강아지</t>
  </si>
  <si>
    <t>신세경 이하늬</t>
  </si>
  <si>
    <t>윤한솔</t>
  </si>
  <si>
    <t>착하고바른사람</t>
  </si>
  <si>
    <t>밝으신분</t>
  </si>
  <si>
    <t>구소영</t>
  </si>
  <si>
    <t>010-8628-6133</t>
  </si>
  <si>
    <t>회사원 ( 사회복지 )</t>
  </si>
  <si>
    <t>밝고 웃음이 많은 편이라 같이 있으면 편해지는 스타일이에요! 알수록 매력있는 스타일이에요 😊</t>
  </si>
  <si>
    <t>성실하고 책임감 있고 저보단 키가 큰 남자가 이상형이에요</t>
  </si>
  <si>
    <t>이보람</t>
  </si>
  <si>
    <t>열심히 사는 사람</t>
  </si>
  <si>
    <t>다정하고 자상한 사람</t>
  </si>
  <si>
    <t>함께할 때 즐거운 사람, 손만 잡아도 행복한 사람</t>
  </si>
  <si>
    <t>안소현</t>
  </si>
  <si>
    <t>010-7653-3217</t>
  </si>
  <si>
    <t>교육기획 및 운영</t>
  </si>
  <si>
    <t>진지하지만 밝고 명랑하고 긍정적인사람</t>
  </si>
  <si>
    <t>상대방 배려할줄알고 좋은 언어습관과 건강한 생각을 가진사람</t>
  </si>
  <si>
    <t>젝시믹스(회계팀)</t>
    <phoneticPr fontId="1" type="noConversion"/>
  </si>
  <si>
    <t>밝고 긍정적인 사람</t>
    <phoneticPr fontId="1" type="noConversion"/>
  </si>
  <si>
    <t>(주)지냄 재무회계팀</t>
    <phoneticPr fontId="1" type="noConversion"/>
  </si>
  <si>
    <t>처음엔 낯을 가리고 친해지기에 시간이 걸리지만 친해지면 오래가는 사람</t>
    <phoneticPr fontId="1" type="noConversion"/>
  </si>
  <si>
    <t>미래에셋증권 마케팅</t>
    <phoneticPr fontId="1" type="noConversion"/>
  </si>
  <si>
    <t>반전매력 따뜻하고 여린사람</t>
    <phoneticPr fontId="1" type="noConversion"/>
  </si>
  <si>
    <t>화장품 회사 브랜드매니저</t>
    <phoneticPr fontId="1" type="noConversion"/>
  </si>
  <si>
    <t>활발하고 사교성이 좋습니다, 취미가 많고 다양한걸 도전해보는걸 좋아합니다. 맛있는거 먹으러 다니는걸 좋아하고 술도 즐기는 편입니다. 흡연은 하지않고 고양이를 키웁니다.</t>
    <phoneticPr fontId="1" type="noConversion"/>
  </si>
  <si>
    <t>성실하고 책임감있는 사람</t>
    <phoneticPr fontId="1" type="noConversion"/>
  </si>
  <si>
    <t>일과 자기 관리에 최선을 다합니다. 감정기복이 없고 상대의 말들 잘 들어주며 이해 노력하는 스타일</t>
    <phoneticPr fontId="1" type="noConversion"/>
  </si>
  <si>
    <t>입시전문교육회사 - 마케팅</t>
    <phoneticPr fontId="1" type="noConversion"/>
  </si>
  <si>
    <t>예민하지 않고 감정적이지 않으며 안정적인 것을 추구합니다. 친해지면 재미있는 성격이고, 활동적인 것도 좋아합니다. 남의 말을 잘 듣고 잘 이해합니다.</t>
    <phoneticPr fontId="1" type="noConversion"/>
  </si>
  <si>
    <t>한화/부동산금융</t>
    <phoneticPr fontId="1" type="noConversion"/>
  </si>
  <si>
    <t>간호사, 신생아중환자실</t>
    <phoneticPr fontId="1" type="noConversion"/>
  </si>
  <si>
    <t>표면처리센터 관리회계</t>
    <phoneticPr fontId="1" type="noConversion"/>
  </si>
  <si>
    <t>경찰공무원</t>
    <phoneticPr fontId="1" type="noConversion"/>
  </si>
  <si>
    <t>운동좋아하는 테토녀</t>
    <phoneticPr fontId="1" type="noConversion"/>
  </si>
  <si>
    <t>진취적 도전적 긍정적, 사업 성공, 일상 행복 추구</t>
    <phoneticPr fontId="1" type="noConversion"/>
  </si>
  <si>
    <t>치과</t>
    <phoneticPr fontId="1" type="noConversion"/>
  </si>
  <si>
    <t>학교 영양사</t>
    <phoneticPr fontId="1" type="noConversion"/>
  </si>
  <si>
    <t>밝고 웃음이 많아서 어디에나 잘 어울리는 사람</t>
    <phoneticPr fontId="1" type="noConversion"/>
  </si>
  <si>
    <t>프리랜서 운동 강사</t>
    <phoneticPr fontId="1" type="noConversion"/>
  </si>
  <si>
    <t>내성적이지만 내성적이지 않은 척하고 최대한 상대방을 배려하려고 하며 차분해도 여행 좋아하고 사람 좋아함. 사람좋아하지만 약속은 자주 잡지 않음.</t>
    <phoneticPr fontId="1" type="noConversion"/>
  </si>
  <si>
    <t>차분하고 이해심이 있음</t>
    <phoneticPr fontId="1" type="noConversion"/>
  </si>
  <si>
    <t>IT스타트업 인사담당자</t>
    <phoneticPr fontId="1" type="noConversion"/>
  </si>
  <si>
    <t>긍정적이고 유쾌한 편이에요. 낯을 가리진 않고 편하게 대화를 이끌어가는 편이에요.</t>
    <phoneticPr fontId="1" type="noConversion"/>
  </si>
  <si>
    <t>처음엔 조금 차가워 보일 수 있는데 알고 보면 웃음 많고 은근히 사람 챙기는 스타일</t>
    <phoneticPr fontId="1" type="noConversion"/>
  </si>
  <si>
    <t>어린이집교사</t>
    <phoneticPr fontId="1" type="noConversion"/>
  </si>
  <si>
    <t>드라마,영화 캐스팅디렉터</t>
    <phoneticPr fontId="1" type="noConversion"/>
  </si>
  <si>
    <t>항상 남들에게 배려해주고 자기 일 열심히 하는 사람 입니다</t>
    <phoneticPr fontId="1" type="noConversion"/>
  </si>
  <si>
    <t>서울도시가스 / 안전관리</t>
    <phoneticPr fontId="1" type="noConversion"/>
  </si>
  <si>
    <t>밝고 긍정적인 사람입니다. 웃음이 많고 처음 보는 사람과도 빠르게 친해질 수 있습니다.</t>
    <phoneticPr fontId="1" type="noConversion"/>
  </si>
  <si>
    <t>한화시스템ICT/ITO사업부</t>
    <phoneticPr fontId="1" type="noConversion"/>
  </si>
  <si>
    <t>다정하고 챙겨주는 것을 좋아하는 사람, 운동을 좋아함</t>
    <phoneticPr fontId="1" type="noConversion"/>
  </si>
  <si>
    <t>프랜차이즈 회사대표</t>
    <phoneticPr fontId="1" type="noConversion"/>
  </si>
  <si>
    <t>IT 데이터엔지니어</t>
    <phoneticPr fontId="1" type="noConversion"/>
  </si>
  <si>
    <t>SK텔레콤 마케팅</t>
    <phoneticPr fontId="1" type="noConversion"/>
  </si>
  <si>
    <t>다정한. 여유로운. 계획적인.</t>
    <phoneticPr fontId="1" type="noConversion"/>
  </si>
  <si>
    <t>상급종합병원, 수술실</t>
    <phoneticPr fontId="1" type="noConversion"/>
  </si>
  <si>
    <t>필라테스강사</t>
    <phoneticPr fontId="1" type="noConversion"/>
  </si>
  <si>
    <t>착하고바른사람</t>
    <phoneticPr fontId="1" type="noConversion"/>
  </si>
  <si>
    <t>회사원 ( 사회복지 )</t>
    <phoneticPr fontId="1" type="noConversion"/>
  </si>
  <si>
    <t>자영업</t>
    <phoneticPr fontId="1" type="noConversion"/>
  </si>
  <si>
    <t>열심히 사는 사람</t>
    <phoneticPr fontId="1" type="noConversion"/>
  </si>
  <si>
    <t>38~45</t>
  </si>
  <si>
    <t>38~45</t>
    <phoneticPr fontId="1" type="noConversion"/>
  </si>
  <si>
    <t>31~</t>
  </si>
  <si>
    <t>31~</t>
    <phoneticPr fontId="1" type="noConversion"/>
  </si>
  <si>
    <t>28~~38</t>
  </si>
  <si>
    <t>160~180</t>
  </si>
  <si>
    <t>160~180</t>
    <phoneticPr fontId="1" type="noConversion"/>
  </si>
  <si>
    <t>최성효</t>
  </si>
  <si>
    <t>현대자동차, 연구직</t>
  </si>
  <si>
    <t>봉두현</t>
  </si>
  <si>
    <t>010-9761-7391</t>
  </si>
  <si>
    <t>171cm</t>
  </si>
  <si>
    <t>회사원 운영</t>
  </si>
  <si>
    <t>최봄</t>
  </si>
  <si>
    <t>010-7450-4979</t>
  </si>
  <si>
    <t>영상의학과 방사선사</t>
  </si>
  <si>
    <t>전민정</t>
  </si>
  <si>
    <t>교육청 7급주무관</t>
  </si>
  <si>
    <t>신혜주</t>
  </si>
  <si>
    <t>010-5602-5527</t>
  </si>
  <si>
    <t>서울아산병원 간호사</t>
  </si>
  <si>
    <t>손혜민</t>
  </si>
  <si>
    <t>무역회사 해외영업</t>
  </si>
  <si>
    <t>김길원</t>
  </si>
  <si>
    <t>삼성서울병원 중환자실</t>
  </si>
  <si>
    <t>010-9413-1786</t>
  </si>
  <si>
    <t>대기업계열사, IT직군</t>
  </si>
  <si>
    <t>김한나</t>
  </si>
  <si>
    <t>삼성서울병원 간호사</t>
  </si>
  <si>
    <t>조의리</t>
  </si>
  <si>
    <t>010-4002-7451</t>
  </si>
  <si>
    <t>의료사회복지사(가톨릭대학교 서울성모병원, 사회사업팀)</t>
  </si>
  <si>
    <t>박세란</t>
  </si>
  <si>
    <t>삼성서울병원 건강의학본부 임상병리사</t>
  </si>
  <si>
    <t>조수열</t>
  </si>
  <si>
    <t>삼성서울병원 원무과</t>
  </si>
  <si>
    <t>박서영</t>
  </si>
  <si>
    <t>삼성서울병원 별관동 수술실</t>
  </si>
  <si>
    <t>최정아</t>
  </si>
  <si>
    <t>삼성디스플레이 연구원</t>
  </si>
  <si>
    <t>윤서온</t>
  </si>
  <si>
    <t>간호조무사</t>
  </si>
  <si>
    <t>원민영</t>
  </si>
  <si>
    <t>010-2609-1564</t>
  </si>
  <si>
    <t>이현규</t>
  </si>
  <si>
    <t>제약회사 설비기사</t>
  </si>
  <si>
    <t>백승협</t>
  </si>
  <si>
    <t>복합화력발전소 (직급 - 대리)</t>
  </si>
  <si>
    <t>이겨레</t>
  </si>
  <si>
    <t>강희문</t>
  </si>
  <si>
    <t>차량손해사정사</t>
  </si>
  <si>
    <t>운동을 좋아하고 활동적인 사람이고, 다양한 분야에 관심이 많아서 새로운걸 배우는 걸 좋아합니다!</t>
  </si>
  <si>
    <t>무던하고 포용력 있는 사람, 이야기가 잘 통하는 사람</t>
  </si>
  <si>
    <t>동글동글 하고 애교가 많고 자기표현 잘해주는 사람</t>
  </si>
  <si>
    <t>병원직군, 자영업, 연구직</t>
  </si>
  <si>
    <t>즐거운 시간 보내는 것 좋아해요. 친절하고 다정하고 싶어요. (헤헤 아직 부족)</t>
  </si>
  <si>
    <t>섬세하고 대화를 좋아하는 사람</t>
  </si>
  <si>
    <t>티키타카가 잘 되는 사람</t>
  </si>
  <si>
    <t>나이가 비슷했으면 좋겠습니다.</t>
  </si>
  <si>
    <t>착하다?</t>
  </si>
  <si>
    <t>피부좋고 남자다운분</t>
  </si>
  <si>
    <t>신중함</t>
  </si>
  <si>
    <t>밝고 따뜻한 성격</t>
  </si>
  <si>
    <t>다정하고 유머있는 남자다운 사람</t>
  </si>
  <si>
    <t>키 중요하게 생각합니닷</t>
  </si>
  <si>
    <t>제 가장 큰 장점은 유연함입니다. 또 세상에 호기심이 많고 긍정적인 편입니다. 그래서 주변과 잘 어울립니다. 
저는 글보다 직접 보는게 더 나은 사람이라고 생각해요. 잘 부탁드립니다 ㅎㅎ</t>
  </si>
  <si>
    <t>어느정도 자기관리 되어 있는 똑 부러지는 사람. 책임감있는 사람. Entj Intj 극극선호합니다.</t>
  </si>
  <si>
    <t>잘 부탁드립니다. 저번에 참여하지 못했는데 이번에는 기회주시면 책임감 가지고 꼭 참여하겠습니다.</t>
  </si>
  <si>
    <t>E/INFP</t>
  </si>
  <si>
    <t>리액션이 좋다는 소리를 많이 듣는 편이구 상대방에게 최대한 맞춰주는 편입니다.</t>
  </si>
  <si>
    <t>자상하고 말을 이쁘게 하는 사람</t>
  </si>
  <si>
    <t>낯을 가리지만 친해지면 재밌음</t>
  </si>
  <si>
    <t>첫인상으로 판단 할 수 없는 사람(겉바속촉)</t>
  </si>
  <si>
    <t>내 솔직한 모습을 꺼내 보일 수 있는 사람</t>
  </si>
  <si>
    <t>배려, 차분, 리액션 퀸</t>
  </si>
  <si>
    <t>따뜻, 섬세, 안정형</t>
  </si>
  <si>
    <t>INFJ, ISTJ, ISFJ, ENFJ, ESFJ, ESTP</t>
  </si>
  <si>
    <t>신중하고 편하고 배려심 있고 유머러스한 사람</t>
  </si>
  <si>
    <t>자기관리 잘하는 깔끔한 사람.배려 존중 잘하고 예의 바른 사람. 개그 코드 잘 맞으면 좋아요</t>
  </si>
  <si>
    <t>상대방 나이는 동갑이나 1,2살 위&amp;아래 까지만을 선호합니다. 설레는 봄 맞이하고 싶어요ㅠㅠ~~~</t>
  </si>
  <si>
    <t>밝고 웃음이 많은 사람입니다 ◡̈</t>
  </si>
  <si>
    <t>키 크고 얘기가 잘 통하며 예의바르고 다정다감한 사람</t>
  </si>
  <si>
    <t>#성실함 #신중함 #안정감 #호기심 많은</t>
  </si>
  <si>
    <t>#다정함 #긍정적 #정돈됨 #주관있는</t>
  </si>
  <si>
    <t>다정하신분</t>
  </si>
  <si>
    <t>긍정적인 마인드 밝지만 그안에 진중함이 있는사람</t>
  </si>
  <si>
    <t>단단한내면 긍정적이고 유연한 마인드 운동등 자기관리를 잘하고 패션센스도 어느정도 있는사람</t>
  </si>
  <si>
    <t>잔잔한 사람</t>
  </si>
  <si>
    <t>남을 배려하는 사람</t>
  </si>
  <si>
    <t>ISFP, ISFJ</t>
  </si>
  <si>
    <t>솔직한사람 표현잘하는사람</t>
  </si>
  <si>
    <t>상대방 나이대 잘 참고해서 매칭부탁드립니다..</t>
  </si>
  <si>
    <t>여행을 좋아하고 운동을 좋아하는 사람</t>
  </si>
  <si>
    <t>밝고 재미난 사람</t>
  </si>
  <si>
    <t>솔직하고 깔끔한 사람</t>
  </si>
  <si>
    <t>집돌이이지만
언제나 약속은 신나게 잡고
놀때는 누구보다 재밌어하는
INFP</t>
  </si>
  <si>
    <t>자기관리 열심히 하며 놀때는 재밌게 놀고 쉴때는 또 늘어지게 쉬는 삶을 사는 사람</t>
  </si>
  <si>
    <t>날짜는 정해진게 아닌가요?</t>
  </si>
  <si>
    <t>감정 변화가 크지 않고 내 사람한테 다정함</t>
  </si>
  <si>
    <t>단발</t>
  </si>
  <si>
    <t>28~~38</t>
    <phoneticPr fontId="1" type="noConversion"/>
  </si>
  <si>
    <t>현대자동차, 연구직</t>
    <phoneticPr fontId="1" type="noConversion"/>
  </si>
  <si>
    <t>낯을 가리지만 친해지면 누구보다 재밌고 대화 잘 통하는 사람</t>
    <phoneticPr fontId="1" type="noConversion"/>
  </si>
  <si>
    <t>회사원 운영</t>
    <phoneticPr fontId="1" type="noConversion"/>
  </si>
  <si>
    <t>170~175</t>
    <phoneticPr fontId="1" type="noConversion"/>
  </si>
  <si>
    <t>섬세하고 대화를 좋아하는 사람</t>
    <phoneticPr fontId="1" type="noConversion"/>
  </si>
  <si>
    <t>교육청 7급주무관</t>
    <phoneticPr fontId="1" type="noConversion"/>
  </si>
  <si>
    <t>서울아산병원 간호사</t>
    <phoneticPr fontId="1" type="noConversion"/>
  </si>
  <si>
    <t>신중함</t>
    <phoneticPr fontId="1" type="noConversion"/>
  </si>
  <si>
    <t>무역회사 해외영업</t>
    <phoneticPr fontId="1" type="noConversion"/>
  </si>
  <si>
    <t>삼성서울병원 중환자실</t>
    <phoneticPr fontId="1" type="noConversion"/>
  </si>
  <si>
    <t>제 가장 큰 장점은 유연함입니다. 또 세상에 호기심이 많고 긍정적인 편입니다. 그래서 주변과 잘 어울립니다. 
저는 글보다 직접 보는게 더 나은 사람이라고 생각해요. 잘 부탁드립니다 ㅎㅎ</t>
    <phoneticPr fontId="1" type="noConversion"/>
  </si>
  <si>
    <t>대기업계열사, IT직군</t>
    <phoneticPr fontId="1" type="noConversion"/>
  </si>
  <si>
    <t>리액션이 좋다는 소리를 많이 듣는 편이구 상대방에게 최대한 맞춰주는 편입니다.</t>
    <phoneticPr fontId="1" type="noConversion"/>
  </si>
  <si>
    <t>낯을 가리지만 친해지면 재밌음</t>
    <phoneticPr fontId="1" type="noConversion"/>
  </si>
  <si>
    <t>의료사회복지사(가톨릭대학교 서울성모병원, 사회사업팀)</t>
    <phoneticPr fontId="1" type="noConversion"/>
  </si>
  <si>
    <t>첫인상으로 판단 할 수 없는 사람(겉바속촉)</t>
    <phoneticPr fontId="1" type="noConversion"/>
  </si>
  <si>
    <t>삼성서울병원 건강의학본부 임상병리사</t>
    <phoneticPr fontId="1" type="noConversion"/>
  </si>
  <si>
    <t>배려, 차분, 리액션 퀸</t>
    <phoneticPr fontId="1" type="noConversion"/>
  </si>
  <si>
    <t>삼성서울병원 원무과</t>
    <phoneticPr fontId="1" type="noConversion"/>
  </si>
  <si>
    <t>신중하고 편하고 배려심 있고 유머러스한 사람</t>
    <phoneticPr fontId="1" type="noConversion"/>
  </si>
  <si>
    <t>밝고 웃음이 많은 사람입니다 ◡̈</t>
    <phoneticPr fontId="1" type="noConversion"/>
  </si>
  <si>
    <t>삼성디스플레이 연구원</t>
    <phoneticPr fontId="1" type="noConversion"/>
  </si>
  <si>
    <t>긍정적인 마인드 밝지만 그안에 진중함이 있는사람</t>
    <phoneticPr fontId="1" type="noConversion"/>
  </si>
  <si>
    <t>공무원</t>
    <phoneticPr fontId="1" type="noConversion"/>
  </si>
  <si>
    <t>잔잔한 사람</t>
    <phoneticPr fontId="1" type="noConversion"/>
  </si>
  <si>
    <t>사업</t>
    <phoneticPr fontId="1" type="noConversion"/>
  </si>
  <si>
    <t>여행을 좋아하고 운동을 좋아하는 사람</t>
    <phoneticPr fontId="1" type="noConversion"/>
  </si>
  <si>
    <t>복합화력발전소 (직급 - 대리)</t>
    <phoneticPr fontId="1" type="noConversion"/>
  </si>
  <si>
    <t>솔직하고 깔끔한 사람</t>
    <phoneticPr fontId="1" type="noConversion"/>
  </si>
  <si>
    <t>집돌이이지만
언제나 약속은 신나게 잡고
놀때는 누구보다 재밌어하는
INFP</t>
    <phoneticPr fontId="1" type="noConversion"/>
  </si>
  <si>
    <t>차량손해사정사</t>
    <phoneticPr fontId="1" type="noConversion"/>
  </si>
  <si>
    <t>감정 변화가 크지 않고 내 사람한테 다정함</t>
    <phoneticPr fontId="1" type="noConversion"/>
  </si>
  <si>
    <t>ISFP/ESTP</t>
  </si>
  <si>
    <t>키 중요하게 생각합니닷</t>
    <phoneticPr fontId="1" type="noConversion"/>
  </si>
  <si>
    <t>상시</t>
    <phoneticPr fontId="1" type="noConversion"/>
  </si>
  <si>
    <t>1</t>
    <phoneticPr fontId="1" type="noConversion"/>
  </si>
  <si>
    <t>1</t>
    <phoneticPr fontId="1" type="noConversion"/>
  </si>
  <si>
    <t>1</t>
    <phoneticPr fontId="1" type="noConversion"/>
  </si>
  <si>
    <t>1</t>
    <phoneticPr fontId="1" type="noConversion"/>
  </si>
  <si>
    <t>1</t>
    <phoneticPr fontId="1" type="noConversion"/>
  </si>
  <si>
    <t>정유민</t>
    <phoneticPr fontId="1" type="noConversion"/>
  </si>
  <si>
    <t>손기범</t>
  </si>
  <si>
    <r>
      <rPr>
        <sz val="10"/>
        <color rgb="FF434343"/>
        <rFont val="맑은 고딕"/>
        <family val="2"/>
        <charset val="129"/>
      </rPr>
      <t>남</t>
    </r>
    <phoneticPr fontId="1" type="noConversion"/>
  </si>
  <si>
    <r>
      <rPr>
        <sz val="10"/>
        <color rgb="FF434343"/>
        <rFont val="맑은 고딕"/>
        <family val="2"/>
        <charset val="129"/>
      </rPr>
      <t>무관</t>
    </r>
    <phoneticPr fontId="1" type="noConversion"/>
  </si>
  <si>
    <r>
      <rPr>
        <sz val="10"/>
        <color rgb="FF434343"/>
        <rFont val="맑은 고딕"/>
        <family val="2"/>
        <charset val="129"/>
      </rPr>
      <t>무교</t>
    </r>
    <phoneticPr fontId="1" type="noConversion"/>
  </si>
  <si>
    <t>010-2480-1844</t>
    <phoneticPr fontId="1" type="noConversion"/>
  </si>
  <si>
    <t>동의</t>
    <phoneticPr fontId="1" type="noConversion"/>
  </si>
  <si>
    <t>160~170</t>
    <phoneticPr fontId="1" type="noConversion"/>
  </si>
  <si>
    <t>ISTP</t>
    <phoneticPr fontId="1" type="noConversion"/>
  </si>
  <si>
    <t>INFP</t>
    <phoneticPr fontId="1" type="noConversion"/>
  </si>
  <si>
    <t>ISFP</t>
    <phoneticPr fontId="1" type="noConversion"/>
  </si>
  <si>
    <t>ISFJ</t>
    <phoneticPr fontId="1" type="noConversion"/>
  </si>
  <si>
    <t>조예진</t>
  </si>
  <si>
    <t>공공기관(복지기관) / 사회복지분야</t>
  </si>
  <si>
    <t>밝고 편안한 분위기를 주는 사람이고, 소소한 일상 속에서 행복을 잘 찾는 편이에요. 여행이나 카페처럼 작은 즐거움을 좋아하고, 꾸준히 운동하면서 자기관리를 챙기는 편이에요. 사진이나 기록으로 추억을 남기는 걸 좋아해서 함께하는 시간을 더 의미 있게 만들려고 해요. 처음 만나는 사람에게도 부담 없이 다가가는 편이고, 서로 배려하면서 자연스럽게 가까워지는 관계를 중요하게 생각해요.</t>
  </si>
  <si>
    <t>외적으로는 보통에서 마른 체형에 키는 178cm 이상이고, 전체적으로 깔끔한 스타일이면 좋겠어요. 성격은 남자다운 느낌보다는 섬세하고 다정한 편이 더 잘 맞는 것 같고, 무엇보다 서로 티키타카가 잘 통해서 편하게 대화가 이어지는 사람이면 좋겠어요.</t>
  </si>
  <si>
    <t>같은 업종 참가자랑 마주치지 않았으면 합니다 부탁드려요ㅠㅠ</t>
  </si>
  <si>
    <t>장성훈</t>
  </si>
  <si>
    <t>상대를 배려할 줄 알고 다정합니다. 내 사람이라고 생각되면 모든 것을 아끼지 않는 사람입니다.</t>
  </si>
  <si>
    <t>외적으로는 하얗고 웃는게 예쁜사람, 내적으로는 말을 예쁘게 하는 사람</t>
  </si>
  <si>
    <t>박혜민</t>
  </si>
  <si>
    <t>한국인삼공사/전략기획팀</t>
  </si>
  <si>
    <t>INFP, INTP, INFJ, ISTJ, INTJ, ENFJ, ENTP, ENTJ, ESTJ</t>
  </si>
  <si>
    <t>깔끔한 두부상에 자기관리 열심히 하려고 노력하고 웃는게 이쁨. 미래지향적으로 자격증이나 공부, 독서를 꾸준히 하고 운동도 즐겨하는 편 ! (헬스, 플라테스, 러닝, 등산 등)</t>
  </si>
  <si>
    <t>깔끔한 인상에 자기관리 잘하고 웃는게 이쁜 사람. 운동 꾸준히 하고 피부를 잘 가꾸는 사람.</t>
  </si>
  <si>
    <t>경찰병원 간호간병통합서비스 병동</t>
  </si>
  <si>
    <t>함께 있으면 비타민을 먹은 듯 에너지가 솟아나는, 긍정의 아이콘입니다. 막힘없이 시원시원한 성격으로 주변에 즐거움을 전하는 것을 좋아하는 사람입니다!</t>
  </si>
  <si>
    <t>평소에는 똑부러지지만 가끔 보여주는 허당기나, 작은 일에도 아이처럼 환하게 웃으며 기뻐하는 순수한 모습의 사람</t>
  </si>
  <si>
    <t>정은이</t>
  </si>
  <si>
    <t>공인중개사</t>
  </si>
  <si>
    <t>재미있는사람</t>
  </si>
  <si>
    <t>키크고 진중한사람</t>
  </si>
  <si>
    <t>박근준</t>
  </si>
  <si>
    <t>삼성전자 foundry p기술팀</t>
  </si>
  <si>
    <t>친해지면 장난기 많은 사람</t>
  </si>
  <si>
    <t>오지영</t>
  </si>
  <si>
    <t>경희의료원 병리과</t>
  </si>
  <si>
    <t>개그코드가 잘맞는 사람</t>
  </si>
  <si>
    <t>김지원</t>
  </si>
  <si>
    <t>삼성전자 엔지니어</t>
  </si>
  <si>
    <t>적당한 텐션의 굿 리스너</t>
  </si>
  <si>
    <t>긍정적이고 선한 사람</t>
  </si>
  <si>
    <t>유만영</t>
  </si>
  <si>
    <t>요리사</t>
  </si>
  <si>
    <t>알면알수록좋은사람</t>
  </si>
  <si>
    <t>정현우</t>
  </si>
  <si>
    <t>친해지면 말많고 장난 많은 사람이지만 진지할땐 진지하고 의지할수 있는 사람</t>
  </si>
  <si>
    <t>무교</t>
    <phoneticPr fontId="1" type="noConversion"/>
  </si>
  <si>
    <t>장성훈</t>
    <phoneticPr fontId="1" type="noConversion"/>
  </si>
  <si>
    <t>ISTPT</t>
  </si>
  <si>
    <t>조예진</t>
    <phoneticPr fontId="1" type="noConversion"/>
  </si>
  <si>
    <t>박혜민</t>
    <phoneticPr fontId="1" type="noConversion"/>
  </si>
  <si>
    <t>전혜린</t>
    <phoneticPr fontId="1" type="noConversion"/>
  </si>
  <si>
    <t>김지원</t>
    <phoneticPr fontId="1" type="noConversion"/>
  </si>
  <si>
    <t>유만영</t>
    <phoneticPr fontId="1" type="noConversion"/>
  </si>
  <si>
    <t>정현우</t>
    <phoneticPr fontId="1" type="noConversion"/>
  </si>
  <si>
    <t>고명준</t>
    <phoneticPr fontId="1" type="noConversion"/>
  </si>
  <si>
    <t>공공기관(복지기관) / 사회복지분야</t>
    <phoneticPr fontId="1" type="noConversion"/>
  </si>
  <si>
    <t>밝고 편안한 분위기를 주는 사람이고, 소소한 일상 속에서 행복을 잘 찾는 편이에요. 여행이나 카페처럼 작은 즐거움을 좋아하고, 꾸준히 운동하면서 자기관리를 챙기는 편이에요. 사진이나 기록으로 추억을 남기는 걸 좋아해서 함께하는 시간을 더 의미 있게 만들려고 해요. 처음 만나는 사람에게도 부담 없이 다가가는 편이고, 서로 배려하면서 자연스럽게 가까워지는 관계를 중요하게 생각해요.</t>
    <phoneticPr fontId="1" type="noConversion"/>
  </si>
  <si>
    <t>외적으로는 보통에서 마른 체형에 키는 178cm 이상이고, 전체적으로 깔끔한 스타일이면 좋겠어요. 성격은 남자다운 느낌보다는 섬세하고 다정한 편이 더 잘 맞는 것 같고, 무엇보다 서로 티키타카가 잘 통해서 편하게 대화가 이어지는 사람이면 좋겠어요.</t>
    <phoneticPr fontId="1" type="noConversion"/>
  </si>
  <si>
    <t>외적으로는 하얗고 웃는게 예쁜사람, 내적으로는 말을 예쁘게 하는 사람</t>
    <phoneticPr fontId="1" type="noConversion"/>
  </si>
  <si>
    <t>010-2914-1025</t>
    <phoneticPr fontId="1" type="noConversion"/>
  </si>
  <si>
    <t>INFP, INTP, INFJ, ISTJ, INTJ, ENFJ, ENTP, ENTJ, ESTJ</t>
    <phoneticPr fontId="1" type="noConversion"/>
  </si>
  <si>
    <t>경찰병원 간호간병통합서비스 병동</t>
    <phoneticPr fontId="1" type="noConversion"/>
  </si>
  <si>
    <t>불교</t>
    <phoneticPr fontId="1" type="noConversion"/>
  </si>
  <si>
    <t>평소에는 똑부러지지만 가끔 보여주는 허당기나, 작은 일에도 아이처럼 환하게 웃으며 기뻐하는 순수한 모습의 사람</t>
    <phoneticPr fontId="1" type="noConversion"/>
  </si>
  <si>
    <t>공인중개사</t>
    <phoneticPr fontId="1" type="noConversion"/>
  </si>
  <si>
    <t>기독교</t>
    <phoneticPr fontId="1" type="noConversion"/>
  </si>
  <si>
    <t>재미있는사람</t>
    <phoneticPr fontId="1" type="noConversion"/>
  </si>
  <si>
    <t>키크고 진중한사람</t>
    <phoneticPr fontId="1" type="noConversion"/>
  </si>
  <si>
    <t>삼성전자 foundry p기술팀</t>
    <phoneticPr fontId="1" type="noConversion"/>
  </si>
  <si>
    <t>동일</t>
    <phoneticPr fontId="1" type="noConversion"/>
  </si>
  <si>
    <t>밝은 사람</t>
    <phoneticPr fontId="1" type="noConversion"/>
  </si>
  <si>
    <t>경희의료원 병리과</t>
    <phoneticPr fontId="1" type="noConversion"/>
  </si>
  <si>
    <t>밝은사람</t>
    <phoneticPr fontId="1" type="noConversion"/>
  </si>
  <si>
    <t>개그코드가 잘맞는 사람</t>
    <phoneticPr fontId="1" type="noConversion"/>
  </si>
  <si>
    <t>삼성전자 엔지니어</t>
    <phoneticPr fontId="1" type="noConversion"/>
  </si>
  <si>
    <t>적당한 텐션의 굿 리스너</t>
    <phoneticPr fontId="1" type="noConversion"/>
  </si>
  <si>
    <t>요리사</t>
    <phoneticPr fontId="1" type="noConversion"/>
  </si>
  <si>
    <t>친해지면 말많고 장난 많은 사람이지만 진지할땐 진지하고 의지할수 있는 사람</t>
    <phoneticPr fontId="1" type="noConversion"/>
  </si>
  <si>
    <t>밝고 귀여운사람</t>
    <phoneticPr fontId="1" type="noConversion"/>
  </si>
  <si>
    <t>BGF리테일 가맹관리</t>
    <phoneticPr fontId="1" type="noConversion"/>
  </si>
  <si>
    <t>INFP, ISFP, INFJ, ISFJ, ENFP, ESFP, ENFJ, ESFJ, ESTP, ENTJ, ESTJ</t>
    <phoneticPr fontId="1" type="noConversion"/>
  </si>
  <si>
    <t>ENFJ</t>
    <phoneticPr fontId="1" type="noConversion"/>
  </si>
  <si>
    <t>ENTJ제외</t>
  </si>
  <si>
    <t>상대에게 잘 맞춰줄 수 있고, 활발하고 다양한 경험을 하는걸 좋아합니다. 스키, 수영, 등산</t>
  </si>
  <si>
    <t>다정다감, 성숙한, 회피형 싫고, 예의바른, </t>
  </si>
  <si>
    <t>이지현</t>
    <phoneticPr fontId="1" type="noConversion"/>
  </si>
  <si>
    <t>보건직</t>
    <phoneticPr fontId="1" type="noConversion"/>
  </si>
  <si>
    <t>적당히 맞춰줄 수 있는 사람</t>
  </si>
  <si>
    <t>귀여우면 됩니다</t>
  </si>
  <si>
    <t>잘부탁드려요</t>
  </si>
  <si>
    <t>잘부탁드려요</t>
    <phoneticPr fontId="1" type="noConversion"/>
  </si>
  <si>
    <r>
      <rPr>
        <sz val="10"/>
        <color rgb="FF434343"/>
        <rFont val="맑은 고딕"/>
        <family val="2"/>
        <charset val="129"/>
      </rPr>
      <t>권경준</t>
    </r>
    <phoneticPr fontId="1" type="noConversion"/>
  </si>
  <si>
    <t>권경준</t>
    <phoneticPr fontId="1" type="noConversion"/>
  </si>
  <si>
    <t>최하영</t>
  </si>
  <si>
    <t>삼성서울병원 병동 간호사</t>
  </si>
  <si>
    <t>밝고 착함</t>
  </si>
  <si>
    <t>김예성</t>
  </si>
  <si>
    <t>외국계 / 영업관리팀</t>
  </si>
  <si>
    <t>INFP, INTP, INFJ, ISFJ, ENFP, ESFP, ENFJ, ESFJ, ENTP, ENTJ</t>
  </si>
  <si>
    <t>발랄하다는 얘길 많이 듣습니다 . 도전적이고 궁금증도 많아서 새로운 걸 시도/체험하는 걸 좋아해요.</t>
  </si>
  <si>
    <t>스타일 좋은 사람 센스 있는 사람</t>
  </si>
  <si>
    <t>초대 감사합니다 ☺️</t>
  </si>
  <si>
    <t>이재형</t>
  </si>
  <si>
    <t>에스원, FM파트</t>
  </si>
  <si>
    <t>도전적인 사람</t>
  </si>
  <si>
    <t>병원직군</t>
    <phoneticPr fontId="1" type="noConversion"/>
  </si>
  <si>
    <t>병원직군, 자영업</t>
    <phoneticPr fontId="1" type="noConversion"/>
  </si>
  <si>
    <t>상대에게 잘 맞춰줄 수 있고, 활발하고 다양한 경험을 하는걸 좋아합니다. 스키, 수영, 등산</t>
    <phoneticPr fontId="1" type="noConversion"/>
  </si>
  <si>
    <t>다정다감, 성숙한, 회피형 싫고, 예의바른, </t>
    <phoneticPr fontId="1" type="noConversion"/>
  </si>
  <si>
    <t>김예성</t>
    <phoneticPr fontId="1" type="noConversion"/>
  </si>
  <si>
    <t>010-8311-2264</t>
    <phoneticPr fontId="1" type="noConversion"/>
  </si>
  <si>
    <t>발랄하다는 얘길 많이 듣습니다 . 도전적이고 궁금증도 많아서 새로운 걸 시도/체험하는 걸 좋아해요.</t>
    <phoneticPr fontId="1" type="noConversion"/>
  </si>
  <si>
    <t>이준호</t>
  </si>
  <si>
    <t>010-4918-9175</t>
  </si>
  <si>
    <t>연구소, 연구원</t>
  </si>
  <si>
    <t>무관, INFP, ISFP</t>
  </si>
  <si>
    <t>낭만적인것 좋아고 배우는 활동에 진심인 사람</t>
  </si>
  <si>
    <t>회피하지 않고 해결하고자하는 자세가 먼저 인 사람, 여유러운 일상생활을 즐길 수 있는 분</t>
  </si>
  <si>
    <t>김논형</t>
  </si>
  <si>
    <t>서울교통공사 사무</t>
  </si>
  <si>
    <t>운동과 공부가 취미인 자기계발을 좋아하는 사람</t>
  </si>
  <si>
    <t>존중할 수 있는 사람</t>
  </si>
  <si>
    <t>박수아</t>
  </si>
  <si>
    <t>크로스보더플랫폼 / 인사</t>
  </si>
  <si>
    <t>밝음</t>
  </si>
  <si>
    <t>옳고 그름을 아는 바른 사람</t>
  </si>
  <si>
    <t>김민형</t>
  </si>
  <si>
    <t>010 5003 4427</t>
  </si>
  <si>
    <t>제약회사 QC</t>
  </si>
  <si>
    <t>예의바른사람</t>
  </si>
  <si>
    <t>말이쁘게 하는 사람</t>
  </si>
  <si>
    <t>이준호</t>
    <phoneticPr fontId="1" type="noConversion"/>
  </si>
  <si>
    <t>연구소, 연구원</t>
    <phoneticPr fontId="1" type="noConversion"/>
  </si>
  <si>
    <t>천주교</t>
    <phoneticPr fontId="1" type="noConversion"/>
  </si>
  <si>
    <t>서울교통공사 사무</t>
    <phoneticPr fontId="1" type="noConversion"/>
  </si>
  <si>
    <t>INTJ, ENTP</t>
    <phoneticPr fontId="1" type="noConversion"/>
  </si>
  <si>
    <t>운동과 공부가 취미인 자기계발을 좋아하는 사람</t>
    <phoneticPr fontId="1" type="noConversion"/>
  </si>
  <si>
    <t>1</t>
    <phoneticPr fontId="1" type="noConversion"/>
  </si>
  <si>
    <t>1</t>
    <phoneticPr fontId="1" type="noConversion"/>
  </si>
  <si>
    <t>어예나</t>
    <phoneticPr fontId="1" type="noConversion"/>
  </si>
  <si>
    <t>김민형</t>
    <phoneticPr fontId="1" type="noConversion"/>
  </si>
  <si>
    <t>제약회사 QC</t>
    <phoneticPr fontId="1" type="noConversion"/>
  </si>
  <si>
    <t>초청</t>
    <phoneticPr fontId="1" type="noConversion"/>
  </si>
  <si>
    <t>서예슬</t>
  </si>
  <si>
    <t>30~40</t>
  </si>
  <si>
    <t>긍정적이고 예의바른사람</t>
  </si>
  <si>
    <t>무던하고 상냥한 사람이고 운동(특히 러닝), 요리, 산책,영화를 좋아해요!유순한성격 ,밝은미소!</t>
  </si>
  <si>
    <t>삼성서울병원, 외래간호5파트</t>
    <phoneticPr fontId="1" type="noConversion"/>
  </si>
  <si>
    <t>이지현</t>
  </si>
  <si>
    <t>보건직</t>
  </si>
  <si>
    <t>이정현</t>
  </si>
  <si>
    <t>삼성서울병원/ 보안팀</t>
  </si>
  <si>
    <t>평소엔 조용하지만 편해지면 생각보다 수다스럽고 장난기도 많아요. 꾸준히 운동하면서 스스로를 관리하려고 노력 중입니다. 사람 사이에서는 예의와 배려를 가장 중요하게 생각합니다.</t>
  </si>
  <si>
    <t>외적으로는 반묶음 잘 어울리시는 귀여운 사람. 내적으로는 대화 잘 통하고 예의있는 사람!</t>
  </si>
  <si>
    <t>이번달이 어려우면 다음달도 한 번 참여해보고싶습니다.</t>
  </si>
  <si>
    <t>추수진</t>
  </si>
  <si>
    <t>무관, ESFP, ESTP</t>
  </si>
  <si>
    <t>밝은 에너지가 있는 건강한 사람</t>
  </si>
  <si>
    <t>175이상 밝은 긍정적인 사람</t>
  </si>
  <si>
    <t>소재연</t>
  </si>
  <si>
    <t>재무팀에서 근무중입니다</t>
  </si>
  <si>
    <t>밝고 활동적인 사람</t>
  </si>
  <si>
    <t>키는 173이상이면 좋겠고 집돌이 보다는 같이 활동할 수 있는 사람이면 좋을 거 같아요</t>
  </si>
  <si>
    <t>비슷한 나이대면 좋을 거 같구..종교는 다수선택이 안되어서 그런데 독실한 기독교만 아니면 괜찮을 거 같아요(일요일은 무조건 교회)</t>
  </si>
  <si>
    <t>황성준</t>
  </si>
  <si>
    <t>010-2666-9252</t>
  </si>
  <si>
    <t>회사원(IT보안)</t>
  </si>
  <si>
    <t>차분하지만 다양성이 많은 사람</t>
  </si>
  <si>
    <t>귀여운 사람/대화 코드가 맞는 사람</t>
  </si>
  <si>
    <t>다정하고 성실한사람</t>
  </si>
  <si>
    <t>나이대 맞는 그룹이면 좋겠고 이전에 같이 참여했던분들과는 안겹치면 좋겠어요!</t>
  </si>
  <si>
    <t>정민희</t>
  </si>
  <si>
    <t>영어 강사</t>
  </si>
  <si>
    <t>밝고 외향적이며 매사에 성실히 임하는 사람입니다 :) 서로를 배려하며 즐거운 대화를 나눌 수 있는 상대방을 찾고 있어요</t>
  </si>
  <si>
    <t>키가 크고 선하게 생긴 사람(+학벌이 좋은 사람)</t>
  </si>
  <si>
    <t>우연히 인스타그램에서 보고 다음 기수 모집시 연락 받고 싶어서 지원서 남깁니다! 아쉽게도 이번 4월은 개인 일정상 참여가 어렵지만 5월 기수나 이 다음 행사에 참여하고 싶어요 :) 감사합니다.</t>
  </si>
  <si>
    <t>정민교</t>
  </si>
  <si>
    <t>경찰공무원 강남경찰서</t>
  </si>
  <si>
    <t>처음엔 낯을 조금 가리지만 금방 친해지는 편이라 재밌는 사람이라는 얘길 자주 듣습니다
편한 사람이라고도 자주 듣습니다</t>
  </si>
  <si>
    <t>하얀 피부, 선한사람</t>
  </si>
  <si>
    <t>최준혁</t>
  </si>
  <si>
    <t>백화점 MD</t>
  </si>
  <si>
    <t>책임감 강하고 활동적인 것을 좋아함. 
테토/에겐 반반</t>
  </si>
  <si>
    <t>행동이 귀엽고 대화를 잘하는, 웃을 때 예쁘신 분</t>
  </si>
  <si>
    <t>최유미</t>
  </si>
  <si>
    <t>삼성서울병원 신생아중환자실</t>
  </si>
  <si>
    <t>항상 밝고 긍정적인 태도를 가지려고 노력하는 사람! 야구를 좋아해서 실제로 직관을 챙겨서 가기도 하고 무언가 만드는 걸 좋아해 공방 원데이 클래스도 참여하며 활동적인 것도 좋아하고 커피를 좋아해서 카페 투어도 다니기도 하며 내가 좋아하는 걸 꾸준히 이어가려고 하는 사람입니다.</t>
  </si>
  <si>
    <t>병원직군, 자영업, 연구직, 회사원</t>
  </si>
  <si>
    <t>천현정</t>
  </si>
  <si>
    <t>무관, INFJ, ISFJ, ENFJ, ESFJ</t>
  </si>
  <si>
    <t>밝고 사람과 함께하는걸 좋아하는 사람입니다. 자기관리 잘하며 프리패스 며느리상..</t>
  </si>
  <si>
    <t>자기관리 하는사람, 성실한 사람, 훈훈한 외모</t>
  </si>
  <si>
    <t>작년부터 병동 선생님들의 추천으로 하고싶었는데 듀티가 나오지 않아 지원하지 못했습니다. 이번 기회에 참여해보고 싶습니다ㅎㅎ</t>
  </si>
  <si>
    <t>INTP, ISTP, ISTJ, INTJ, ENFP, ESFP, ENFJ, ESFJ, ENTP, ESTP, ENTJ</t>
    <phoneticPr fontId="1" type="noConversion"/>
  </si>
  <si>
    <t>이정현</t>
    <phoneticPr fontId="1" type="noConversion"/>
  </si>
  <si>
    <t>삼성서울병원/ 보안팀</t>
    <phoneticPr fontId="1" type="noConversion"/>
  </si>
  <si>
    <t>외적으로는 반묶음 잘 어울리시는 귀여운 사람. 내적으로는 대화 잘 통하고 예의있는 사람!</t>
    <phoneticPr fontId="1" type="noConversion"/>
  </si>
  <si>
    <t>소재연</t>
    <phoneticPr fontId="1" type="noConversion"/>
  </si>
  <si>
    <t>재무팀에서 근무중입니다</t>
    <phoneticPr fontId="1" type="noConversion"/>
  </si>
  <si>
    <t>밝고 활동적인 사람</t>
    <phoneticPr fontId="1" type="noConversion"/>
  </si>
  <si>
    <t>차분하지만 다양성이 많은 사람</t>
    <phoneticPr fontId="1" type="noConversion"/>
  </si>
  <si>
    <t>자영업, 공무원</t>
    <phoneticPr fontId="1" type="noConversion"/>
  </si>
  <si>
    <t>정민교</t>
    <phoneticPr fontId="1" type="noConversion"/>
  </si>
  <si>
    <t>책임감 강하고 활동적인 것을 좋아함. 
테토/에겐 반반</t>
    <phoneticPr fontId="1" type="noConversion"/>
  </si>
  <si>
    <t>최유미</t>
    <phoneticPr fontId="1" type="noConversion"/>
  </si>
  <si>
    <t>항상 밝고 긍정적인 태도를 가지려고 노력하는 사람! 야구를 좋아해서 실제로 직관을 챙겨서 가기도 하고 무언가 만드는 걸 좋아해 공방 원데이 클래스도 참여하며 활동적인 것도 좋아하고 커피를 좋아해서 카페 투어도 다니기도 하며 내가 좋아하는 걸 꾸준히 이어가려고 하는 사람입니다.</t>
    <phoneticPr fontId="1" type="noConversion"/>
  </si>
  <si>
    <t>ISFP-ISTJ</t>
  </si>
  <si>
    <t>ESTJ/ ESTP</t>
  </si>
  <si>
    <t>ENTP &amp; ENFP</t>
  </si>
  <si>
    <t xml:space="preserve">ESTP </t>
  </si>
  <si>
    <t>ISTJ / ISFJ</t>
  </si>
  <si>
    <t>ENTP/ENFP</t>
  </si>
  <si>
    <t>ENFP(거의반반)</t>
  </si>
  <si>
    <t>INFP OR INTP</t>
  </si>
  <si>
    <t>간호사, 병동간호2팀, 18W병동</t>
  </si>
  <si>
    <t>저는 22년도에 삼성서울병원에 입사해서 지금 5년차가 되어가고있는 18W병동 간호사입니다. 그동안 3년간의 연애를 총 2번 했던 경험이 있고, 간호학과 특성상 아는 남자도 없고 직장에도 없다보니 사람 만날 기회가 적어서 신청하게되었습니다. 제가 약간 집순이라 쉴때 약속이 없다면 보통 집에서 넷플보거나 집청소, 심심하면 베이킹할때도 있고, 그외에는 가끔씩 친구들 만나서 맛있는거 먹고 쇼핑하고 수다떨고 하는걸 좋아합니다. 강아지나 고양이같은 귀여운것들을 좋아하고 노래듣는것도 좋아합니다(jpop- official higedandism, 국내 밴드 - xdinary heros, day6, 하현상, 한로로, 여자 아이돌 노래 등). 저는 재수를 한번 하긴 했지만 그외는 큰 탈 없이 무난하게 자라왔다고 생각하고, 요즘 사회에 참 이상한 사람들이 많지만 그럼에도 좋은 사람은 있다고 생각하는.. 나름 해맑은(?) 사람입니다. 병동에서 일할때도 가끔 저희한테 뭐먹었냐 물어보며 먹을거 챙겨주시거나 하는 귀여운 어르신들보면 괜히 그게 소소하게 좋더라구요. 가끔 쌤들이랑 수다떨거나 하는 그런 재미에 힘들어도 지금껏 다니는것같아요. 친한 친구들이랑도 두쫀쿠, 버터떡 맛있다 이런얘기하고다니는 사람이라ㅋㅋ그냥 별거 아닌 일에 잘 웃고 재밌어해요. 저와 비슷한 결의, 같이 얘기할때 티키타카 잘되는 사람을 만나고 싶어요.</t>
  </si>
  <si>
    <t>175cm 이상의 적정 체중으로, 선한 인상과 깔끔한 옷차림의 사람을 좋아합니다. 타인과 약자에게 다정하고, 긍 정적이고 여유로운 태도로 크게 호불호 없는 무탈한사람이 제 이상형입니다. 제가 교대근무를 하다보니 일할때 연락을 솔직히 잘 못하게되는데 그걸 이해해주고, 같이 맞춰나갈 배려심있는 사람이였으면 합니다. 본인의 능력을 과시하기보다 겸손하고, 혼자서도 독립적이지만 함께 했을때 별거 아닌걸로도 웃으면서 소소한 행복을 같이 즐길 수 있는 사람이면 합니다.</t>
  </si>
  <si>
    <t>정유진</t>
    <phoneticPr fontId="1" type="noConversion"/>
  </si>
  <si>
    <t>1</t>
    <phoneticPr fontId="1" type="noConversion"/>
  </si>
  <si>
    <t>1</t>
    <phoneticPr fontId="1" type="noConversion"/>
  </si>
  <si>
    <t>1</t>
    <phoneticPr fontId="1" type="noConversion"/>
  </si>
  <si>
    <t>정재우</t>
  </si>
  <si>
    <t>건국대학교 교직원</t>
  </si>
  <si>
    <t>안녕하세요 내향적이지만 내사람한테는 재미있고 유머있는 밝은 성격입니다. 좋은 분과 맛있는 베이킹 하고싶어 나왔습니다. 잘 부탁드립니다.</t>
  </si>
  <si>
    <t>이야기를 같이 나누고 친해질수록 더 재미있고 매력을 많이 확인할 수 있습니다.</t>
  </si>
  <si>
    <t>서다솜</t>
  </si>
  <si>
    <t>INFP, ISFP, ISTP, INFJ, ISTJ, INTJ, ISFJ, ENTP</t>
  </si>
  <si>
    <t>밝고 도전을 좋아하는 사람</t>
  </si>
  <si>
    <t>도전적이고, 자기 할 일에 열정적인 사람 / 나한테만 다정한 사람</t>
  </si>
  <si>
    <r>
      <rPr>
        <sz val="10"/>
        <color rgb="FF434343"/>
        <rFont val="맑은 고딕"/>
        <family val="2"/>
        <charset val="129"/>
      </rPr>
      <t>여</t>
    </r>
    <phoneticPr fontId="1" type="noConversion"/>
  </si>
  <si>
    <r>
      <rPr>
        <sz val="10"/>
        <color rgb="FF434343"/>
        <rFont val="맑은 고딕"/>
        <family val="2"/>
        <charset val="129"/>
      </rPr>
      <t>서다솜</t>
    </r>
    <phoneticPr fontId="1" type="noConversion"/>
  </si>
  <si>
    <t>INFP, ISFP, ISTP, INFJ, ISTJ, INTJ, ISFJ, ENTP</t>
    <phoneticPr fontId="1" type="noConversion"/>
  </si>
  <si>
    <t>밝고 도전을 좋아하는 사람</t>
    <phoneticPr fontId="1" type="noConversion"/>
  </si>
  <si>
    <t>1</t>
    <phoneticPr fontId="1" type="noConversion"/>
  </si>
  <si>
    <t>성이서</t>
  </si>
  <si>
    <t>공기업비서</t>
  </si>
  <si>
    <t>35~45</t>
  </si>
  <si>
    <t>감정에 솔직하고 자기관리 잘 되어있는 좋은 사람</t>
  </si>
  <si>
    <t>포용력 있고 몸도 마음도 건강하신 분</t>
  </si>
  <si>
    <r>
      <rPr>
        <sz val="10"/>
        <color rgb="FF434343"/>
        <rFont val="맑은 고딕"/>
        <family val="2"/>
        <charset val="129"/>
      </rPr>
      <t>성이서</t>
    </r>
    <phoneticPr fontId="1" type="noConversion"/>
  </si>
  <si>
    <t>감정에 솔직하고 자기관리 잘 되어있는 좋은 사람</t>
    <phoneticPr fontId="1" type="noConversion"/>
  </si>
  <si>
    <t>헬스</t>
    <phoneticPr fontId="1" type="noConversion"/>
  </si>
  <si>
    <t>I.A</t>
    <phoneticPr fontId="1" type="noConversion"/>
  </si>
  <si>
    <t>I.T</t>
    <phoneticPr fontId="1" type="noConversion"/>
  </si>
  <si>
    <t>H.A</t>
    <phoneticPr fontId="1" type="noConversion"/>
  </si>
  <si>
    <t>Ju</t>
    <phoneticPr fontId="1" type="noConversion"/>
  </si>
  <si>
    <t>I.A</t>
    <phoneticPr fontId="1" type="noConversion"/>
  </si>
  <si>
    <t>W</t>
    <phoneticPr fontId="1" type="noConversion"/>
  </si>
  <si>
    <t>Tea</t>
    <phoneticPr fontId="1" type="noConversion"/>
  </si>
  <si>
    <t>소금빵</t>
    <phoneticPr fontId="1" type="noConversion"/>
  </si>
  <si>
    <t>크루아상</t>
    <phoneticPr fontId="1" type="noConversion"/>
  </si>
  <si>
    <t>단팥빵</t>
    <phoneticPr fontId="1" type="noConversion"/>
  </si>
  <si>
    <t>스콘</t>
    <phoneticPr fontId="1" type="noConversion"/>
  </si>
  <si>
    <t>티라미수</t>
    <phoneticPr fontId="1" type="noConversion"/>
  </si>
  <si>
    <t>피낭시에</t>
    <phoneticPr fontId="1" type="noConversion"/>
  </si>
  <si>
    <t>푸딩</t>
    <phoneticPr fontId="1" type="noConversion"/>
  </si>
  <si>
    <t>에그타르트</t>
    <phoneticPr fontId="1" type="noConversion"/>
  </si>
  <si>
    <t>마들렌</t>
    <phoneticPr fontId="1" type="noConversion"/>
  </si>
  <si>
    <t>김동현</t>
  </si>
  <si>
    <t>포스코 인터내셔널, 경영기획실</t>
  </si>
  <si>
    <t>평범하면서도 개성있는 사람</t>
  </si>
  <si>
    <t>김연희</t>
  </si>
  <si>
    <t>삼표산업 비서</t>
  </si>
  <si>
    <t>쾌활하고 밝고 긍정적인 사람</t>
  </si>
  <si>
    <t>눈치 빠르고 센스 있는 사람</t>
  </si>
  <si>
    <t>테스</t>
  </si>
  <si>
    <t>모델</t>
  </si>
  <si>
    <t>20~45</t>
  </si>
  <si>
    <t>160~</t>
  </si>
  <si>
    <t>프랑스 여자</t>
  </si>
  <si>
    <t>정건호</t>
  </si>
  <si>
    <t>기아 생산직</t>
  </si>
  <si>
    <t>INTJ/INFJ</t>
  </si>
  <si>
    <t>INFP, INTP, INFJ, INTJ, ENFP, ENFJ, ENTP, ENFJ, ENTP, ESTP, ENTJ</t>
  </si>
  <si>
    <t>차분한 내향적인 꾸준한</t>
  </si>
  <si>
    <t>밝고 무던한 에너지 넘치는</t>
  </si>
  <si>
    <t>평범하면서도 개성있는 사람</t>
    <phoneticPr fontId="1" type="noConversion"/>
  </si>
  <si>
    <t>010-8079-2433</t>
    <phoneticPr fontId="1" type="noConversion"/>
  </si>
  <si>
    <r>
      <rPr>
        <sz val="10"/>
        <color rgb="FF434343"/>
        <rFont val="맑은 고딕"/>
        <family val="2"/>
        <charset val="129"/>
      </rPr>
      <t>테스</t>
    </r>
    <phoneticPr fontId="1" type="noConversion"/>
  </si>
  <si>
    <t>010-9706-4121</t>
    <phoneticPr fontId="1" type="noConversion"/>
  </si>
  <si>
    <t>20~45</t>
    <phoneticPr fontId="1" type="noConversion"/>
  </si>
  <si>
    <t>160~</t>
    <phoneticPr fontId="1" type="noConversion"/>
  </si>
  <si>
    <t>프랑스 여자</t>
    <phoneticPr fontId="1" type="noConversion"/>
  </si>
  <si>
    <t>INFP, INTP, INFJ, INTJ, ENFP, ENFJ, ENTP, ENFJ, ENTP, ESTP, ENTJ</t>
    <phoneticPr fontId="1" type="noConversion"/>
  </si>
  <si>
    <r>
      <rPr>
        <sz val="10"/>
        <color rgb="FF434343"/>
        <rFont val="맑은 고딕"/>
        <family val="2"/>
        <charset val="129"/>
      </rPr>
      <t>밝고</t>
    </r>
    <r>
      <rPr>
        <sz val="10"/>
        <color rgb="FF434343"/>
        <rFont val="Roboto"/>
        <family val="2"/>
      </rPr>
      <t xml:space="preserve"> </t>
    </r>
    <r>
      <rPr>
        <sz val="10"/>
        <color rgb="FF434343"/>
        <rFont val="맑은 고딕"/>
        <family val="2"/>
        <charset val="129"/>
      </rPr>
      <t>무던한</t>
    </r>
    <r>
      <rPr>
        <sz val="10"/>
        <color rgb="FF434343"/>
        <rFont val="Roboto"/>
        <family val="2"/>
      </rPr>
      <t xml:space="preserve"> </t>
    </r>
    <r>
      <rPr>
        <sz val="10"/>
        <color rgb="FF434343"/>
        <rFont val="맑은 고딕"/>
        <family val="2"/>
        <charset val="129"/>
      </rPr>
      <t>에너지</t>
    </r>
    <r>
      <rPr>
        <sz val="10"/>
        <color rgb="FF434343"/>
        <rFont val="Roboto"/>
        <family val="2"/>
      </rPr>
      <t xml:space="preserve"> </t>
    </r>
    <r>
      <rPr>
        <sz val="10"/>
        <color rgb="FF434343"/>
        <rFont val="맑은 고딕"/>
        <family val="2"/>
        <charset val="129"/>
      </rPr>
      <t>넘치는</t>
    </r>
    <phoneticPr fontId="1" type="noConversion"/>
  </si>
  <si>
    <t>정재우</t>
    <phoneticPr fontId="1" type="noConversion"/>
  </si>
  <si>
    <t>안녕하세요 내향적이지만 내사람한테는 재미있고 유머있는 밝은 성격입니다. 좋은 분과 맛있는 베이킹 하고싶어 나왔습니다. 잘 부탁드립니다.</t>
    <phoneticPr fontId="1" type="noConversion"/>
  </si>
  <si>
    <t>이야기를 같이 나누고 친해질수록 더 재미있고 매력을 많이 확인할 수 있습니다.</t>
    <phoneticPr fontId="1" type="noConversion"/>
  </si>
  <si>
    <t>I.A</t>
    <phoneticPr fontId="1" type="noConversion"/>
  </si>
  <si>
    <t>티라미수</t>
    <phoneticPr fontId="1" type="noConversion"/>
  </si>
  <si>
    <t>김어진</t>
  </si>
  <si>
    <t>삼성서울병원 외래간호</t>
  </si>
  <si>
    <t>25~40</t>
  </si>
  <si>
    <t>안녕하세요 삼성서울병원 외래간호팀에서 근무하는 김어진입니다./ 성격이 좋습니다. 피부가 하얗고 좋아요</t>
  </si>
  <si>
    <t>김어진</t>
    <phoneticPr fontId="1" type="noConversion"/>
  </si>
  <si>
    <t>25~40</t>
    <phoneticPr fontId="1" type="noConversion"/>
  </si>
  <si>
    <t>안녕하세요 삼성서울병원 외래간호팀에서 근무하는 김어진입니다./ 성격이 좋습니다. 피부가 하얗고 좋아요</t>
    <phoneticPr fontId="1" type="noConversion"/>
  </si>
  <si>
    <t>정유민</t>
    <phoneticPr fontId="1" type="noConversion"/>
  </si>
  <si>
    <t>박중호</t>
  </si>
  <si>
    <t>제뉴원사이언스 B2B Sales</t>
  </si>
  <si>
    <t>31~34, 35~38, 38~41</t>
  </si>
  <si>
    <t>160~165, 165~170, 170~175</t>
  </si>
  <si>
    <t>좋은사람</t>
  </si>
  <si>
    <t>첫인상, 대화, 배려</t>
  </si>
  <si>
    <t>본인과 동일</t>
    <phoneticPr fontId="1" type="noConversion"/>
  </si>
  <si>
    <t>무교, 불교</t>
    <phoneticPr fontId="1" type="noConversion"/>
  </si>
  <si>
    <t>좋은사람</t>
    <phoneticPr fontId="1" type="noConversion"/>
  </si>
  <si>
    <t>첫인상, 대화, 배려</t>
    <phoneticPr fontId="1" type="noConversion"/>
  </si>
  <si>
    <t>김하신</t>
  </si>
  <si>
    <t>서울시청 임기제 공무원</t>
  </si>
  <si>
    <t>라이트 외향형에 리액션을 잘하는 편인 사람입니다!</t>
  </si>
  <si>
    <t>다정하고 안정적인 사람</t>
  </si>
  <si>
    <t>초청</t>
  </si>
  <si>
    <t>최아름</t>
  </si>
  <si>
    <t>삼성서울병원 내시경실</t>
  </si>
  <si>
    <t>내성적이고 낮가림 있음 집순이</t>
  </si>
  <si>
    <t>날 적극적으로 이끌어 줄 사람</t>
  </si>
  <si>
    <t>다정하고 안정적인 사람</t>
    <phoneticPr fontId="1" type="noConversion"/>
  </si>
  <si>
    <t>커피 프랜차이즈 구매팀</t>
  </si>
  <si>
    <t>첫인상은 내향인이지만 시간이 지나면 금방 외향인이 됩니다. 챙겨줌을 잘하며 호감의 표시가 사소한 챙겨줌으로 나타납니다. 여행, 체험같은 활동적인 시간을 좋아하고 맛집 여행 좋아합니다. 감정 기복이 심하지 않아 잔잔하게 유지하지만 F라서 무심함에는 선운함을 크게 느끼어 다정한 사람, 표현을 잘해주는 사람을좋아합니다.</t>
  </si>
  <si>
    <t>비흡연자</t>
  </si>
  <si>
    <t>권경준</t>
  </si>
  <si>
    <t>삼성서울병원, 외래간호5파트</t>
  </si>
  <si>
    <t>배려</t>
    <phoneticPr fontId="1" type="noConversion"/>
  </si>
  <si>
    <t>성실한</t>
    <phoneticPr fontId="1" type="noConversion"/>
  </si>
  <si>
    <t>책임감</t>
    <phoneticPr fontId="1" type="noConversion"/>
  </si>
  <si>
    <t>자기주도적</t>
    <phoneticPr fontId="1" type="noConversion"/>
  </si>
  <si>
    <t>프로다운</t>
    <phoneticPr fontId="1" type="noConversion"/>
  </si>
  <si>
    <t>장난끼</t>
    <phoneticPr fontId="1" type="noConversion"/>
  </si>
  <si>
    <t>차분한</t>
    <phoneticPr fontId="1" type="noConversion"/>
  </si>
  <si>
    <t>잘맞는</t>
    <phoneticPr fontId="1" type="noConversion"/>
  </si>
  <si>
    <t>편안함</t>
    <phoneticPr fontId="1" type="noConversion"/>
  </si>
  <si>
    <t>CUTE</t>
    <phoneticPr fontId="1" type="noConversion"/>
  </si>
  <si>
    <t>섬세함</t>
    <phoneticPr fontId="1" type="noConversion"/>
  </si>
  <si>
    <t>티키타카</t>
    <phoneticPr fontId="1" type="noConversion"/>
  </si>
  <si>
    <t>대화</t>
    <phoneticPr fontId="1" type="noConversion"/>
  </si>
  <si>
    <t>조용한</t>
    <phoneticPr fontId="1" type="noConversion"/>
  </si>
  <si>
    <t>수다꾼</t>
    <phoneticPr fontId="1" type="noConversion"/>
  </si>
  <si>
    <t>장난기</t>
    <phoneticPr fontId="1" type="noConversion"/>
  </si>
  <si>
    <t>자기관리</t>
    <phoneticPr fontId="1" type="noConversion"/>
  </si>
  <si>
    <t>예의</t>
    <phoneticPr fontId="1" type="noConversion"/>
  </si>
  <si>
    <t>내적대화</t>
    <phoneticPr fontId="1" type="noConversion"/>
  </si>
  <si>
    <t>반묶음</t>
    <phoneticPr fontId="1" type="noConversion"/>
  </si>
  <si>
    <t>발랄</t>
    <phoneticPr fontId="1" type="noConversion"/>
  </si>
  <si>
    <t>도전적</t>
    <phoneticPr fontId="1" type="noConversion"/>
  </si>
  <si>
    <t>호기심왕</t>
    <phoneticPr fontId="1" type="noConversion"/>
  </si>
  <si>
    <t>체험</t>
    <phoneticPr fontId="1" type="noConversion"/>
  </si>
  <si>
    <t>스타일</t>
    <phoneticPr fontId="1" type="noConversion"/>
  </si>
  <si>
    <t>센스</t>
    <phoneticPr fontId="1" type="noConversion"/>
  </si>
  <si>
    <t>밝은</t>
    <phoneticPr fontId="1" type="noConversion"/>
  </si>
  <si>
    <t>훈훈한</t>
    <phoneticPr fontId="1" type="noConversion"/>
  </si>
  <si>
    <t>낯가림</t>
    <phoneticPr fontId="1" type="noConversion"/>
  </si>
  <si>
    <t>음식</t>
    <phoneticPr fontId="1" type="noConversion"/>
  </si>
  <si>
    <t>문화</t>
    <phoneticPr fontId="1" type="noConversion"/>
  </si>
  <si>
    <t>영화</t>
    <phoneticPr fontId="1" type="noConversion"/>
  </si>
  <si>
    <t>책</t>
    <phoneticPr fontId="1" type="noConversion"/>
  </si>
  <si>
    <t>따뜻함</t>
    <phoneticPr fontId="1" type="noConversion"/>
  </si>
  <si>
    <t>배려심</t>
    <phoneticPr fontId="1" type="noConversion"/>
  </si>
  <si>
    <t>듬직</t>
    <phoneticPr fontId="1" type="noConversion"/>
  </si>
  <si>
    <t>활발</t>
    <phoneticPr fontId="1" type="noConversion"/>
  </si>
  <si>
    <t>경험</t>
    <phoneticPr fontId="1" type="noConversion"/>
  </si>
  <si>
    <t>스키</t>
    <phoneticPr fontId="1" type="noConversion"/>
  </si>
  <si>
    <t>등산</t>
    <phoneticPr fontId="1" type="noConversion"/>
  </si>
  <si>
    <t>수영</t>
    <phoneticPr fontId="1" type="noConversion"/>
  </si>
  <si>
    <t>다정다감</t>
    <phoneticPr fontId="1" type="noConversion"/>
  </si>
  <si>
    <t>성숙한</t>
    <phoneticPr fontId="1" type="noConversion"/>
  </si>
  <si>
    <t>No회피형</t>
    <phoneticPr fontId="1" type="noConversion"/>
  </si>
  <si>
    <t>예의바른</t>
    <phoneticPr fontId="1" type="noConversion"/>
  </si>
  <si>
    <t>집순이</t>
    <phoneticPr fontId="1" type="noConversion"/>
  </si>
  <si>
    <t>넷플</t>
    <phoneticPr fontId="1" type="noConversion"/>
  </si>
  <si>
    <t>베이킹</t>
    <phoneticPr fontId="1" type="noConversion"/>
  </si>
  <si>
    <t>귀여운것들</t>
    <phoneticPr fontId="1" type="noConversion"/>
  </si>
  <si>
    <t>노래</t>
    <phoneticPr fontId="1" type="noConversion"/>
  </si>
  <si>
    <t>무난한</t>
    <phoneticPr fontId="1" type="noConversion"/>
  </si>
  <si>
    <t>해맑은</t>
    <phoneticPr fontId="1" type="noConversion"/>
  </si>
  <si>
    <t>소소한</t>
    <phoneticPr fontId="1" type="noConversion"/>
  </si>
  <si>
    <t>선한인상</t>
    <phoneticPr fontId="1" type="noConversion"/>
  </si>
  <si>
    <t>깔끔한</t>
    <phoneticPr fontId="1" type="noConversion"/>
  </si>
  <si>
    <t>다정</t>
    <phoneticPr fontId="1" type="noConversion"/>
  </si>
  <si>
    <t>긍정적</t>
    <phoneticPr fontId="1" type="noConversion"/>
  </si>
  <si>
    <t>여유로운</t>
    <phoneticPr fontId="1" type="noConversion"/>
  </si>
  <si>
    <t>밝은 에너지 선호</t>
    <phoneticPr fontId="1" type="noConversion"/>
  </si>
  <si>
    <t>단정함</t>
    <phoneticPr fontId="1" type="noConversion"/>
  </si>
  <si>
    <t>호감형</t>
    <phoneticPr fontId="1" type="noConversion"/>
  </si>
  <si>
    <t>안정감</t>
    <phoneticPr fontId="1" type="noConversion"/>
  </si>
  <si>
    <t>어바웃 타임</t>
    <phoneticPr fontId="1" type="noConversion"/>
  </si>
  <si>
    <t>제주도</t>
    <phoneticPr fontId="1" type="noConversion"/>
  </si>
  <si>
    <t>연락</t>
    <phoneticPr fontId="1" type="noConversion"/>
  </si>
  <si>
    <t>생어거스틴</t>
    <phoneticPr fontId="1" type="noConversion"/>
  </si>
  <si>
    <t>왕과사는 남자</t>
    <phoneticPr fontId="1" type="noConversion"/>
  </si>
  <si>
    <t>말레이시아</t>
    <phoneticPr fontId="1" type="noConversion"/>
  </si>
  <si>
    <t>소문난순대국</t>
    <phoneticPr fontId="1" type="noConversion"/>
  </si>
  <si>
    <t>강릉</t>
    <phoneticPr fontId="1" type="noConversion"/>
  </si>
  <si>
    <t>하늘초밥</t>
    <phoneticPr fontId="1" type="noConversion"/>
  </si>
  <si>
    <t>주토피아</t>
    <phoneticPr fontId="1" type="noConversion"/>
  </si>
  <si>
    <t>동해바다, 부산</t>
    <phoneticPr fontId="1" type="noConversion"/>
  </si>
  <si>
    <t>애정표현</t>
    <phoneticPr fontId="1" type="noConversion"/>
  </si>
  <si>
    <t>스시</t>
    <phoneticPr fontId="1" type="noConversion"/>
  </si>
  <si>
    <t>트와일라잇</t>
    <phoneticPr fontId="1" type="noConversion"/>
  </si>
  <si>
    <t>하와이</t>
    <phoneticPr fontId="1" type="noConversion"/>
  </si>
  <si>
    <t>신뢰</t>
    <phoneticPr fontId="1" type="noConversion"/>
  </si>
  <si>
    <t>서초김치찌개</t>
    <phoneticPr fontId="1" type="noConversion"/>
  </si>
  <si>
    <t>냉정과 열정 사이, F1</t>
    <phoneticPr fontId="1" type="noConversion"/>
  </si>
  <si>
    <t>피렌체</t>
    <phoneticPr fontId="1" type="noConversion"/>
  </si>
  <si>
    <t>담소스키야키</t>
    <phoneticPr fontId="1" type="noConversion"/>
  </si>
  <si>
    <t>해리포터</t>
    <phoneticPr fontId="1" type="noConversion"/>
  </si>
  <si>
    <t>보라카이</t>
    <phoneticPr fontId="1" type="noConversion"/>
  </si>
  <si>
    <t>시골여행</t>
    <phoneticPr fontId="1" type="noConversion"/>
  </si>
  <si>
    <t>라라랜드</t>
    <phoneticPr fontId="1" type="noConversion"/>
  </si>
  <si>
    <t>뉴질랜드</t>
    <phoneticPr fontId="1" type="noConversion"/>
  </si>
  <si>
    <t>앨리스 리틀 이태리</t>
    <phoneticPr fontId="1" type="noConversion"/>
  </si>
  <si>
    <t>밝은 웃음</t>
    <phoneticPr fontId="1" type="noConversion"/>
  </si>
  <si>
    <t>모자</t>
    <phoneticPr fontId="1" type="noConversion"/>
  </si>
  <si>
    <t>안경</t>
    <phoneticPr fontId="1" type="noConversion"/>
  </si>
  <si>
    <t xml:space="preserve">T </t>
    <phoneticPr fontId="1" type="noConversion"/>
  </si>
  <si>
    <t>but</t>
    <phoneticPr fontId="1" type="noConversion"/>
  </si>
  <si>
    <t>무장해제</t>
    <phoneticPr fontId="1" type="noConversion"/>
  </si>
  <si>
    <t>경계</t>
    <phoneticPr fontId="1" type="noConversion"/>
  </si>
  <si>
    <t>친해지기까지</t>
    <phoneticPr fontId="1" type="noConversion"/>
  </si>
  <si>
    <t>넘어오면</t>
    <phoneticPr fontId="1" type="noConversion"/>
  </si>
  <si>
    <t>금휘</t>
    <phoneticPr fontId="1" type="noConversion"/>
  </si>
  <si>
    <t>성실함</t>
    <phoneticPr fontId="1" type="noConversion"/>
  </si>
  <si>
    <t>신중함</t>
    <phoneticPr fontId="1" type="noConversion"/>
  </si>
  <si>
    <t>호기심</t>
    <phoneticPr fontId="1" type="noConversion"/>
  </si>
  <si>
    <t>다저함</t>
    <phoneticPr fontId="1" type="noConversion"/>
  </si>
  <si>
    <t>정돈됨</t>
    <phoneticPr fontId="1" type="noConversion"/>
  </si>
  <si>
    <t>주관있는</t>
    <phoneticPr fontId="1" type="noConversion"/>
  </si>
  <si>
    <t>활동적</t>
    <phoneticPr fontId="1" type="noConversion"/>
  </si>
  <si>
    <t>예쁜미소</t>
    <phoneticPr fontId="1" type="noConversion"/>
  </si>
  <si>
    <t>다정한</t>
    <phoneticPr fontId="1" type="noConversion"/>
  </si>
  <si>
    <t>밝고</t>
    <phoneticPr fontId="1" type="noConversion"/>
  </si>
  <si>
    <t>야구직관</t>
    <phoneticPr fontId="1" type="noConversion"/>
  </si>
  <si>
    <t>손재주</t>
    <phoneticPr fontId="1" type="noConversion"/>
  </si>
  <si>
    <t>카페투어</t>
    <phoneticPr fontId="1" type="noConversion"/>
  </si>
  <si>
    <t>좋아하는걸</t>
    <phoneticPr fontId="1" type="noConversion"/>
  </si>
  <si>
    <t>꾸준히</t>
    <phoneticPr fontId="1" type="noConversion"/>
  </si>
  <si>
    <t>따뜻한</t>
    <phoneticPr fontId="1" type="noConversion"/>
  </si>
  <si>
    <t>야무진</t>
    <phoneticPr fontId="1" type="noConversion"/>
  </si>
  <si>
    <t>성실</t>
    <phoneticPr fontId="1" type="noConversion"/>
  </si>
  <si>
    <t>안정적</t>
    <phoneticPr fontId="1" type="noConversion"/>
  </si>
  <si>
    <t>웃음</t>
    <phoneticPr fontId="1" type="noConversion"/>
  </si>
  <si>
    <t>내향인</t>
    <phoneticPr fontId="1" type="noConversion"/>
  </si>
  <si>
    <t>외향인</t>
    <phoneticPr fontId="1" type="noConversion"/>
  </si>
  <si>
    <t>챙겨줌</t>
    <phoneticPr fontId="1" type="noConversion"/>
  </si>
  <si>
    <t>여행</t>
    <phoneticPr fontId="1" type="noConversion"/>
  </si>
  <si>
    <t>맛집여행</t>
    <phoneticPr fontId="1" type="noConversion"/>
  </si>
  <si>
    <t>잔잔한 감정</t>
    <phoneticPr fontId="1" type="noConversion"/>
  </si>
  <si>
    <t xml:space="preserve">무심함에 </t>
    <phoneticPr fontId="1" type="noConversion"/>
  </si>
  <si>
    <t>서운</t>
    <phoneticPr fontId="1" type="noConversion"/>
  </si>
  <si>
    <t>비흡연자</t>
    <phoneticPr fontId="1" type="noConversion"/>
  </si>
  <si>
    <t>표현러</t>
    <phoneticPr fontId="1" type="noConversion"/>
  </si>
  <si>
    <t>러브 액츄얼리</t>
    <phoneticPr fontId="1" type="noConversion"/>
  </si>
  <si>
    <t>로마</t>
    <phoneticPr fontId="1" type="noConversion"/>
  </si>
  <si>
    <t>소통</t>
    <phoneticPr fontId="1" type="noConversion"/>
  </si>
  <si>
    <t>히키니쿠토코메도산</t>
    <phoneticPr fontId="1" type="noConversion"/>
  </si>
  <si>
    <t>인터스텔라</t>
    <phoneticPr fontId="1" type="noConversion"/>
  </si>
  <si>
    <t>호주</t>
    <phoneticPr fontId="1" type="noConversion"/>
  </si>
  <si>
    <t>오므라이스</t>
    <phoneticPr fontId="1" type="noConversion"/>
  </si>
  <si>
    <t>리틀포레스트</t>
    <phoneticPr fontId="1" type="noConversion"/>
  </si>
  <si>
    <t>서안</t>
    <phoneticPr fontId="1" type="noConversion"/>
  </si>
  <si>
    <t>칸다소바</t>
    <phoneticPr fontId="1" type="noConversion"/>
  </si>
  <si>
    <t>필리핀 보홀</t>
    <phoneticPr fontId="1" type="noConversion"/>
  </si>
  <si>
    <t>대화코드</t>
    <phoneticPr fontId="1" type="noConversion"/>
  </si>
  <si>
    <t>부산 인해</t>
    <phoneticPr fontId="1" type="noConversion"/>
  </si>
  <si>
    <t>리틀 포레스트</t>
    <phoneticPr fontId="1" type="noConversion"/>
  </si>
  <si>
    <t>파리</t>
    <phoneticPr fontId="1" type="noConversion"/>
  </si>
  <si>
    <t>식물원김밥</t>
    <phoneticPr fontId="1" type="noConversion"/>
  </si>
  <si>
    <t>삿포로</t>
    <phoneticPr fontId="1" type="noConversion"/>
  </si>
  <si>
    <t>갯마을횟집</t>
    <phoneticPr fontId="1" type="noConversion"/>
  </si>
  <si>
    <t>위대한 쇼맨</t>
    <phoneticPr fontId="1" type="noConversion"/>
  </si>
  <si>
    <t>제주도 고등어횟집</t>
    <phoneticPr fontId="1" type="noConversion"/>
  </si>
  <si>
    <t>No 감정기복</t>
    <phoneticPr fontId="1" type="noConversion"/>
  </si>
  <si>
    <t>경청</t>
    <phoneticPr fontId="1" type="noConversion"/>
  </si>
  <si>
    <t>이해</t>
    <phoneticPr fontId="1" type="noConversion"/>
  </si>
  <si>
    <t>노력</t>
    <phoneticPr fontId="1" type="noConversion"/>
  </si>
  <si>
    <t>대화의 결</t>
    <phoneticPr fontId="1" type="noConversion"/>
  </si>
  <si>
    <t>온도</t>
    <phoneticPr fontId="1" type="noConversion"/>
  </si>
  <si>
    <t>착함</t>
    <phoneticPr fontId="1" type="noConversion"/>
  </si>
  <si>
    <t>바른</t>
    <phoneticPr fontId="1" type="noConversion"/>
  </si>
  <si>
    <t>밝으신분</t>
    <phoneticPr fontId="1" type="noConversion"/>
  </si>
  <si>
    <t>좋은사람</t>
    <phoneticPr fontId="1" type="noConversion"/>
  </si>
  <si>
    <t>첫인상</t>
    <phoneticPr fontId="1" type="noConversion"/>
  </si>
  <si>
    <t>평범</t>
    <phoneticPr fontId="1" type="noConversion"/>
  </si>
  <si>
    <t>개성</t>
    <phoneticPr fontId="1" type="noConversion"/>
  </si>
  <si>
    <t>차분함</t>
    <phoneticPr fontId="1" type="noConversion"/>
  </si>
  <si>
    <t>다양성</t>
    <phoneticPr fontId="1" type="noConversion"/>
  </si>
  <si>
    <t>Not bad</t>
    <phoneticPr fontId="1" type="noConversion"/>
  </si>
  <si>
    <t>NICE</t>
    <phoneticPr fontId="1" type="noConversion"/>
  </si>
  <si>
    <t>마음이 예쁜</t>
    <phoneticPr fontId="1" type="noConversion"/>
  </si>
  <si>
    <t>자기앞가림</t>
    <phoneticPr fontId="1" type="noConversion"/>
  </si>
  <si>
    <t>가족의 소중함</t>
    <phoneticPr fontId="1" type="noConversion"/>
  </si>
  <si>
    <t>내가 0순위</t>
    <phoneticPr fontId="1" type="noConversion"/>
  </si>
  <si>
    <t>밥상머리</t>
    <phoneticPr fontId="1" type="noConversion"/>
  </si>
  <si>
    <t>웃음이 많은</t>
    <phoneticPr fontId="1" type="noConversion"/>
  </si>
  <si>
    <t>다부진</t>
    <phoneticPr fontId="1" type="noConversion"/>
  </si>
  <si>
    <t>무던</t>
    <phoneticPr fontId="1" type="noConversion"/>
  </si>
  <si>
    <t>상냥</t>
    <phoneticPr fontId="1" type="noConversion"/>
  </si>
  <si>
    <t>러닝</t>
    <phoneticPr fontId="1" type="noConversion"/>
  </si>
  <si>
    <t>요리</t>
    <phoneticPr fontId="1" type="noConversion"/>
  </si>
  <si>
    <t>산책</t>
    <phoneticPr fontId="1" type="noConversion"/>
  </si>
  <si>
    <t>유순한</t>
    <phoneticPr fontId="1" type="noConversion"/>
  </si>
  <si>
    <t>밝은미소</t>
    <phoneticPr fontId="1" type="noConversion"/>
  </si>
  <si>
    <t>내성적</t>
    <phoneticPr fontId="1" type="noConversion"/>
  </si>
  <si>
    <t>리드형</t>
    <phoneticPr fontId="1" type="noConversion"/>
  </si>
  <si>
    <t>겉은 강함</t>
    <phoneticPr fontId="1" type="noConversion"/>
  </si>
  <si>
    <t>선</t>
    <phoneticPr fontId="1" type="noConversion"/>
  </si>
  <si>
    <t>속은 깊고</t>
    <phoneticPr fontId="1" type="noConversion"/>
  </si>
  <si>
    <t>정</t>
    <phoneticPr fontId="1" type="noConversion"/>
  </si>
  <si>
    <t>쳇 GPT</t>
    <phoneticPr fontId="1" type="noConversion"/>
  </si>
  <si>
    <t>대만</t>
    <phoneticPr fontId="1" type="noConversion"/>
  </si>
  <si>
    <t>설렘</t>
    <phoneticPr fontId="1" type="noConversion"/>
  </si>
  <si>
    <t>영동소금구이</t>
    <phoneticPr fontId="1" type="noConversion"/>
  </si>
  <si>
    <t>캐모마일</t>
    <phoneticPr fontId="1" type="noConversion"/>
  </si>
  <si>
    <t>혹은</t>
    <phoneticPr fontId="1" type="noConversion"/>
  </si>
  <si>
    <t>페퍼민트</t>
    <phoneticPr fontId="1" type="noConversion"/>
  </si>
  <si>
    <t>H.T</t>
    <phoneticPr fontId="1" type="noConversion"/>
  </si>
  <si>
    <t>월터의 상상은 현실이 된다</t>
    <phoneticPr fontId="1" type="noConversion"/>
  </si>
  <si>
    <t>나가노현</t>
    <phoneticPr fontId="1" type="noConversion"/>
  </si>
  <si>
    <t>기싸움X</t>
    <phoneticPr fontId="1" type="noConversion"/>
  </si>
  <si>
    <t>배고프면 다 맛집</t>
    <phoneticPr fontId="1" type="noConversion"/>
  </si>
  <si>
    <t>일본</t>
    <phoneticPr fontId="1" type="noConversion"/>
  </si>
  <si>
    <t>유대감</t>
    <phoneticPr fontId="1" type="noConversion"/>
  </si>
  <si>
    <t>소원</t>
    <phoneticPr fontId="1" type="noConversion"/>
  </si>
  <si>
    <t>오렌지쥬스</t>
    <phoneticPr fontId="1" type="noConversion"/>
  </si>
  <si>
    <t>코요테어글리</t>
    <phoneticPr fontId="1" type="noConversion"/>
  </si>
  <si>
    <t>의리</t>
    <phoneticPr fontId="1" type="noConversion"/>
  </si>
  <si>
    <t>도나토스</t>
    <phoneticPr fontId="1" type="noConversion"/>
  </si>
  <si>
    <t>뷰티인사이드</t>
    <phoneticPr fontId="1" type="noConversion"/>
  </si>
  <si>
    <t>전주 한옥마을</t>
    <phoneticPr fontId="1" type="noConversion"/>
  </si>
  <si>
    <t>믿음</t>
    <phoneticPr fontId="1" type="noConversion"/>
  </si>
  <si>
    <t>소코아</t>
    <phoneticPr fontId="1" type="noConversion"/>
  </si>
  <si>
    <t>그린마일</t>
    <phoneticPr fontId="1" type="noConversion"/>
  </si>
  <si>
    <t>존중</t>
    <phoneticPr fontId="1" type="noConversion"/>
  </si>
  <si>
    <t>이한진숙성회</t>
    <phoneticPr fontId="1" type="noConversion"/>
  </si>
  <si>
    <t>농민백암순대</t>
    <phoneticPr fontId="1" type="noConversion"/>
  </si>
  <si>
    <t>쥬토피아</t>
    <phoneticPr fontId="1" type="noConversion"/>
  </si>
  <si>
    <t>뉴욕</t>
    <phoneticPr fontId="1" type="noConversion"/>
  </si>
  <si>
    <t>포도집 2호점</t>
    <phoneticPr fontId="1" type="noConversion"/>
  </si>
  <si>
    <t>쳇지피티에게 물어본 저의 성격 입니다  -나의 일에대한 자부심과 욕심이 있는 편 
1. 기본 성향: 강한데 섬세함 • 겉으로는 단단하고 자기주장 있는 스타일 • 근데 속은 생각 많고, 감정 디테일하게 느끼는 편
👉 그래서 “쿨한데 예민한 사람” 느낌 같이 있음 2. 사람 대하는 방식: 선택적으로 열림 • 아무한테나 잘해주는 타입 아님 • 대신 한 번 마음 열면 진짜 잘해줌 👉 그래서 인간관계가 “깊거나 / 아니거나” 둘 중 하나 3. 자존감 구조 • 기본 자존감은 있는 편 (쉽게 무너지진 않음) • 근데 특정 상황(연애, 상대 반응)에서는 흔들림 있음 👉 “나는 괜찮은데 왜 이러지?” 이런 생각 자주 드는 타입 4. 감정 처리 방식 • 감정이 없는 게 아니라 👉 느끼지만 표현을 조절하는 스타일 • 그래서 겉으로는 덤덤해 보이는데 속에서는 계속 생각 돌림 5. 연애 성향 연결 • 가볍게 못 만남 • 확신 없으면 마음 아끼려고 함 👉 그래서 애매한 상황에서 더 스트레스 받는 타입 6. 중요한 포인트 하나 / 너는 👉 사람을 보는 눈이 있는 대신, 감정이 따라가면 그걸 무시 못하는 타입 그래서 • “이 사람 아닌 거 아는데 왜 신경 쓰이지?” 이런 상황이 생김 /한 줄로 정리하면 👉 겉은 강하고 선 긋는 사람 👉 속은 깊고 쉽게 정 주는 사람 👉 그래서 스스로도 헷갈릴 때 있는 타입</t>
    <phoneticPr fontId="1" type="noConversion"/>
  </si>
  <si>
    <t>빅 피쉬</t>
    <phoneticPr fontId="1" type="noConversion"/>
  </si>
  <si>
    <t>교토</t>
    <phoneticPr fontId="1" type="noConversion"/>
  </si>
  <si>
    <t>연락</t>
    <phoneticPr fontId="1" type="noConversion"/>
  </si>
  <si>
    <t>이가네양꼬치</t>
    <phoneticPr fontId="1" type="noConversion"/>
  </si>
  <si>
    <t>이터널 선샤인</t>
    <phoneticPr fontId="1" type="noConversion"/>
  </si>
  <si>
    <t>여수</t>
    <phoneticPr fontId="1" type="noConversion"/>
  </si>
  <si>
    <t>신뢰</t>
    <phoneticPr fontId="1" type="noConversion"/>
  </si>
  <si>
    <t>생오리돌판구이집</t>
    <phoneticPr fontId="1" type="noConversion"/>
  </si>
  <si>
    <t>클래식</t>
    <phoneticPr fontId="1" type="noConversion"/>
  </si>
  <si>
    <t>deff.I.A</t>
    <phoneticPr fontId="1" type="noConversion"/>
  </si>
  <si>
    <t>파리</t>
    <phoneticPr fontId="1" type="noConversion"/>
  </si>
  <si>
    <t>배려</t>
    <phoneticPr fontId="1" type="noConversion"/>
  </si>
  <si>
    <t>신동궁 숯불뼈구이</t>
    <phoneticPr fontId="1" type="noConversion"/>
  </si>
  <si>
    <t>극한직업</t>
    <phoneticPr fontId="1" type="noConversion"/>
  </si>
  <si>
    <t>오사카</t>
    <phoneticPr fontId="1" type="noConversion"/>
  </si>
  <si>
    <t>편안함</t>
    <phoneticPr fontId="1" type="noConversion"/>
  </si>
  <si>
    <t>온센</t>
    <phoneticPr fontId="1" type="noConversion"/>
  </si>
  <si>
    <t>Ju</t>
    <phoneticPr fontId="1" type="noConversion"/>
  </si>
  <si>
    <t>어바웃 타임</t>
    <phoneticPr fontId="1" type="noConversion"/>
  </si>
  <si>
    <t>포르투갈</t>
    <phoneticPr fontId="1" type="noConversion"/>
  </si>
  <si>
    <t>신뢰</t>
    <phoneticPr fontId="1" type="noConversion"/>
  </si>
  <si>
    <t>대화</t>
    <phoneticPr fontId="1" type="noConversion"/>
  </si>
  <si>
    <t>대박집</t>
    <phoneticPr fontId="1" type="noConversion"/>
  </si>
  <si>
    <t>단팥빵</t>
    <phoneticPr fontId="1" type="noConversion"/>
  </si>
  <si>
    <t>소금빵</t>
    <phoneticPr fontId="1" type="noConversion"/>
  </si>
  <si>
    <t>스콘</t>
    <phoneticPr fontId="1" type="noConversion"/>
  </si>
  <si>
    <t>크루아상</t>
    <phoneticPr fontId="1" type="noConversion"/>
  </si>
  <si>
    <t>푸딩</t>
    <phoneticPr fontId="1" type="noConversion"/>
  </si>
  <si>
    <t>마들렌</t>
    <phoneticPr fontId="1" type="noConversion"/>
  </si>
  <si>
    <t>에그타르트</t>
    <phoneticPr fontId="1" type="noConversion"/>
  </si>
  <si>
    <t>피낭시에</t>
    <phoneticPr fontId="1" type="noConversion"/>
  </si>
  <si>
    <t>푸딩</t>
    <phoneticPr fontId="1" type="noConversion"/>
  </si>
  <si>
    <t>티라미수</t>
    <phoneticPr fontId="1" type="noConversion"/>
  </si>
  <si>
    <t>마들렌</t>
    <phoneticPr fontId="1" type="noConversion"/>
  </si>
  <si>
    <t>소금빵</t>
    <phoneticPr fontId="1" type="noConversion"/>
  </si>
  <si>
    <t>초콜릿</t>
    <phoneticPr fontId="1" type="noConversion"/>
  </si>
  <si>
    <t>초콜릿</t>
    <phoneticPr fontId="1" type="noConversion"/>
  </si>
  <si>
    <t>크루아상</t>
    <phoneticPr fontId="1" type="noConversion"/>
  </si>
  <si>
    <t>소금빵</t>
    <phoneticPr fontId="1" type="noConversion"/>
  </si>
  <si>
    <t>티라미수</t>
    <phoneticPr fontId="1" type="noConversion"/>
  </si>
  <si>
    <t>푸딩</t>
    <phoneticPr fontId="1" type="noConversion"/>
  </si>
  <si>
    <t>마들렌</t>
    <phoneticPr fontId="1" type="noConversion"/>
  </si>
  <si>
    <t>에그타르트</t>
    <phoneticPr fontId="1" type="noConversion"/>
  </si>
  <si>
    <t>무관</t>
    <phoneticPr fontId="1" type="noConversion"/>
  </si>
  <si>
    <t>Ju</t>
  </si>
  <si>
    <t>Ju</t>
    <phoneticPr fontId="1" type="noConversion"/>
  </si>
  <si>
    <t>나는 내일 어제의 너와 만난다</t>
    <phoneticPr fontId="1" type="noConversion"/>
  </si>
  <si>
    <t>암스테르담</t>
    <phoneticPr fontId="1" type="noConversion"/>
  </si>
  <si>
    <t>취미</t>
    <phoneticPr fontId="1" type="noConversion"/>
  </si>
  <si>
    <t>관심사</t>
    <phoneticPr fontId="1" type="noConversion"/>
  </si>
  <si>
    <t>후추포인트</t>
    <phoneticPr fontId="1" type="noConversion"/>
  </si>
  <si>
    <t>태도</t>
    <phoneticPr fontId="1" type="noConversion"/>
  </si>
  <si>
    <t>W</t>
  </si>
  <si>
    <t>H.A</t>
  </si>
  <si>
    <t>deff.I.A</t>
  </si>
  <si>
    <t>H.T</t>
  </si>
  <si>
    <t>I.T</t>
  </si>
  <si>
    <t>Tea</t>
  </si>
  <si>
    <t>오렌지쥬스</t>
  </si>
  <si>
    <t>I.A</t>
    <phoneticPr fontId="1" type="noConversion"/>
  </si>
  <si>
    <t>H.A</t>
    <phoneticPr fontId="1" type="noConversion"/>
  </si>
  <si>
    <t>H.T</t>
    <phoneticPr fontId="1" type="noConversion"/>
  </si>
  <si>
    <t>I.T</t>
    <phoneticPr fontId="1" type="noConversion"/>
  </si>
  <si>
    <t>Ju</t>
    <phoneticPr fontId="1" type="noConversion"/>
  </si>
  <si>
    <t>W</t>
    <phoneticPr fontId="1" type="noConversion"/>
  </si>
  <si>
    <t>Deff.I.A</t>
    <phoneticPr fontId="1" type="noConversion"/>
  </si>
  <si>
    <t>28~34</t>
    <phoneticPr fontId="1" type="noConversion"/>
  </si>
  <si>
    <t>20~27</t>
    <phoneticPr fontId="1" type="noConversion"/>
  </si>
  <si>
    <t>20~27</t>
    <phoneticPr fontId="1" type="noConversion"/>
  </si>
  <si>
    <t>~165</t>
    <phoneticPr fontId="1" type="noConversion"/>
  </si>
  <si>
    <t>170~</t>
    <phoneticPr fontId="1" type="noConversion"/>
  </si>
  <si>
    <t>31~41</t>
    <phoneticPr fontId="1" type="noConversion"/>
  </si>
  <si>
    <t>31~38</t>
    <phoneticPr fontId="1" type="noConversion"/>
  </si>
  <si>
    <t>175~180</t>
    <phoneticPr fontId="1" type="noConversion"/>
  </si>
  <si>
    <t>35~</t>
    <phoneticPr fontId="1" type="noConversion"/>
  </si>
  <si>
    <t>자영업자 (통신업, 법인 임원/개인사업자 대표)</t>
    <phoneticPr fontId="1" type="noConversion"/>
  </si>
  <si>
    <t>35~41</t>
    <phoneticPr fontId="1" type="noConversion"/>
  </si>
  <si>
    <t>~170</t>
    <phoneticPr fontId="1" type="noConversion"/>
  </si>
  <si>
    <t>170~180</t>
    <phoneticPr fontId="1" type="noConversion"/>
  </si>
  <si>
    <t>38~41</t>
    <phoneticPr fontId="1" type="noConversion"/>
  </si>
  <si>
    <t>175~</t>
    <phoneticPr fontId="1" type="noConversion"/>
  </si>
  <si>
    <t>28~38</t>
    <phoneticPr fontId="1" type="noConversion"/>
  </si>
  <si>
    <t>160~170</t>
    <phoneticPr fontId="1" type="noConversion"/>
  </si>
  <si>
    <t>31~34</t>
    <phoneticPr fontId="1" type="noConversion"/>
  </si>
  <si>
    <t>24~31</t>
    <phoneticPr fontId="1" type="noConversion"/>
  </si>
  <si>
    <t>180~</t>
    <phoneticPr fontId="1" type="noConversion"/>
  </si>
  <si>
    <t>20~38</t>
    <phoneticPr fontId="1" type="noConversion"/>
  </si>
  <si>
    <t>010-6634-9249</t>
    <phoneticPr fontId="1" type="noConversion"/>
  </si>
  <si>
    <t>무관</t>
    <phoneticPr fontId="1" type="noConversion"/>
  </si>
  <si>
    <t>~175</t>
    <phoneticPr fontId="1" type="noConversion"/>
  </si>
  <si>
    <t>20~34</t>
    <phoneticPr fontId="1" type="noConversion"/>
  </si>
  <si>
    <t>38~</t>
    <phoneticPr fontId="1" type="noConversion"/>
  </si>
  <si>
    <t>35~38</t>
    <phoneticPr fontId="1" type="noConversion"/>
  </si>
  <si>
    <t>160이하</t>
    <phoneticPr fontId="1" type="noConversion"/>
  </si>
  <si>
    <t>24~27</t>
    <phoneticPr fontId="1" type="noConversion"/>
  </si>
  <si>
    <t>28~31</t>
    <phoneticPr fontId="1" type="noConversion"/>
  </si>
  <si>
    <t>165~175</t>
    <phoneticPr fontId="1" type="noConversion"/>
  </si>
  <si>
    <t>24~38</t>
    <phoneticPr fontId="1" type="noConversion"/>
  </si>
  <si>
    <t>24~34</t>
    <phoneticPr fontId="1" type="noConversion"/>
  </si>
  <si>
    <t>28~41</t>
    <phoneticPr fontId="1" type="noConversion"/>
  </si>
  <si>
    <t>31~ 무관</t>
    <phoneticPr fontId="1" type="noConversion"/>
  </si>
  <si>
    <t>~160</t>
    <phoneticPr fontId="1" type="noConversion"/>
  </si>
  <si>
    <t>조용한 편이지만, 마음이 열리면 생각보다 잘 웃고 많이 이야기해요.
일상에서는 차분하게 제 할 일을 해나가고,
퇴근 후나 주말엔 그림을 그리거나 작은 취향을 즐기며 쉬는 걸 좋아해요.
빠른 템포보다는
천천히 알아가면서 신뢰가 쌓이는 관계를 선호해요.
말을 잘 들어주는 사람,
서로의 세계를 존중해줄 수 있는 사람과 잘 맞아요. 가까워지면 의외로 잘 웃고 대화가 깊어요.
감정에 휘둘리기보다는, 스스로를 돌아보며 관계를 지키려는 편이에요.
혼자만의 시간도 소중히 여기지만, 소중한 사람에게는 진심으로 집중해요.
작은 취향과 일상을 꾸준히 가꿀 줄 알고, 좋아하는 걸 오래 좋아해요.
말보다 행동이 먼저 나가는 타입이라 신뢰를 중요하게 생각해요.
소소한 대화부터 깊은 이야기까지
자연스럽게 나눌 수 있는 인연을 기대하고 있어요</t>
    <phoneticPr fontId="1" type="noConversion"/>
  </si>
  <si>
    <t>20~30</t>
    <phoneticPr fontId="1" type="noConversion"/>
  </si>
  <si>
    <t>안녕하세요! 저는 올해로 4년차 직장인이 된 고도연입니다. 베이킹에 관심은 많지만 1인
가구의 특성상 빵을 만들기는 어려운 현실입니다•• 매번 눈여겨 보고 있던 케미스트리 오븐을 통해 사람들과 두쫀쿠를 만들며 1월 행복하게 마무리 해보고 싶습니다 ☺️ •• 겉으로는 바삭 딱딱해보이지만 속은 부드럽(?)답니다. 긍정적이고 웃음이 많고 여러 사람과 어울리는 것을 잘합니다 :)</t>
    <phoneticPr fontId="1" type="noConversion"/>
  </si>
  <si>
    <t>간호사(서울아산병원 소아과)</t>
    <phoneticPr fontId="1" type="noConversion"/>
  </si>
  <si>
    <t>나쁘지 않은 괜찮은 사람. 마음이 예쁜 사람.</t>
    <phoneticPr fontId="1" type="noConversion"/>
  </si>
  <si>
    <t>분당서울대학교병원 연구간호사</t>
    <phoneticPr fontId="1" type="noConversion"/>
  </si>
  <si>
    <t>처음엔 좀 낯을 가리긴 하는데 금방 또 잘 어울리기도 하고 내 사람이다 싶으면 한 없이 퍼주는 성격입니다! 진중한 면이 있으면서도 장난끼많아서 같이 있으면 편하고 속얘기를 다 털어놓게 되는 사람인 것 같아요</t>
    <phoneticPr fontId="1" type="noConversion"/>
  </si>
  <si>
    <t>도전적이고 현실적임</t>
    <phoneticPr fontId="1" type="noConversion"/>
  </si>
  <si>
    <t>스타트업 운영</t>
    <phoneticPr fontId="1" type="noConversion"/>
  </si>
  <si>
    <t>175~180</t>
    <phoneticPr fontId="1" type="noConversion"/>
  </si>
  <si>
    <t>바리스타 점장</t>
    <phoneticPr fontId="1" type="noConversion"/>
  </si>
  <si>
    <t>따뜻하고 공감을 잘하며 행복을 추구하는 사람</t>
    <phoneticPr fontId="1" type="noConversion"/>
  </si>
  <si>
    <t>165~170</t>
    <phoneticPr fontId="1" type="noConversion"/>
  </si>
  <si>
    <t>차분하지만 밝고 개그욕심 있는 사람!</t>
    <phoneticPr fontId="1" type="noConversion"/>
  </si>
  <si>
    <t>인테리어디자이너</t>
    <phoneticPr fontId="1" type="noConversion"/>
  </si>
  <si>
    <t>쳇지피티에게 물어본 저의 성격 입니다
-나의 일에대한 자부심과 욕심이 있는 편
1. 기본 성향: 강한데 섬세함
• 겉으로는 단단하고 자기주장 있는 스타일
• 근데 속은 생각 많고, 감정 디테일하게 느끼는 편
👉 그래서 “쿨한데 예민한 사람” 느낌 같이 있음
—
2. 사람 대하는 방식: 선택적으로 열림
• 아무한테나 잘해주는 타입 아님
• 대신 한 번 마음 열면 진짜 잘해줌
👉 그래서 인간관계가 “깊거나 / 아니거나” 둘 중 하나
—
3. 자존감 구조
• 기본 자존감은 있는 편 (쉽게 무너지진 않음)
• 근데 특정 상황(연애, 상대 반응)에서는 흔들림 있음
👉 “나는 괜찮은데 왜 이러지?” 이런 생각 자주 드는 타입
—
4. 감정 처리 방식
• 감정이 없는 게 아니라
👉 느끼지만 표현을 조절하는 스타일
• 그래서 겉으로는 덤덤해 보이는데
속에서는 계속 생각 돌림
—
5. 연애 성향 연결
• 가볍게 못 만남
• 확신 없으면 마음 아끼려고 함
👉 그래서 애매한 상황에서 더 스트레스 받는 타입
—
6. 중요한 포인트 하나
너는
👉 사람을 보는 눈이 있는 대신, 감정이 따라가면 그걸 무시 못하는 타입
그래서
• “이 사람 아닌 거 아는데 왜 신경 쓰이지?”
이런 상황이 생김
—
한 줄로 정리하면
👉 겉은 강하고 선 긋는 사람
👉 속은 깊고 쉽게 정 주는 사람
👉 그래서 스스로도 헷갈릴 때 있는 타입</t>
    <phoneticPr fontId="1" type="noConversion"/>
  </si>
  <si>
    <t>차분하고 섹시한타입</t>
    <phoneticPr fontId="1" type="noConversion"/>
  </si>
  <si>
    <t>엔지니어</t>
    <phoneticPr fontId="1" type="noConversion"/>
  </si>
  <si>
    <t>서울시 공무원</t>
    <phoneticPr fontId="1" type="noConversion"/>
  </si>
  <si>
    <t>차분한 사람..?</t>
    <phoneticPr fontId="1" type="noConversion"/>
  </si>
  <si>
    <t>건축 cg 디자이너</t>
    <phoneticPr fontId="1" type="noConversion"/>
  </si>
  <si>
    <t>양파같은 매력을 지닌 자</t>
    <phoneticPr fontId="1" type="noConversion"/>
  </si>
  <si>
    <t>전략기획실</t>
    <phoneticPr fontId="1" type="noConversion"/>
  </si>
  <si>
    <t>목표가 정해지면 주저하지 않고 실행에 옮겨 효율적인 결과를 만들어내는 사람?인 것 같아요</t>
    <phoneticPr fontId="1" type="noConversion"/>
  </si>
  <si>
    <t>회사원(SK, 서비스기획)</t>
    <phoneticPr fontId="1" type="noConversion"/>
  </si>
  <si>
    <t>공과사 구분확실, 모든지 최선, 경청배려</t>
    <phoneticPr fontId="1" type="noConversion"/>
  </si>
  <si>
    <t>밝고 이해심이 높은 사람</t>
    <phoneticPr fontId="1" type="noConversion"/>
  </si>
  <si>
    <t>160~165</t>
    <phoneticPr fontId="1" type="noConversion"/>
  </si>
  <si>
    <t>저는 즉흥적인 사람인거 같습니다 여행을 좋아하고 어떤거에 꽂히면 바로 도전하고 놀땐 놀고 일할때는 일하는 성격이예요! 제 사람이라고 생각하면 최선을 다해 잘해주는 타입입니다. 글로는 다 표현을 못하지만 실제로 앞에서는 어색해하지 않는 사람이예요!</t>
    <phoneticPr fontId="1" type="noConversion"/>
  </si>
  <si>
    <t>맛집이랑 카페를 좋아하고, 직접 해먹는 편이에요. 같이 맛집 다니는 것도 좋아해요 :) 좋아하는 사람이 생기면 잘 챙겨주고 표현도 잘해요!</t>
    <phoneticPr fontId="1" type="noConversion"/>
  </si>
  <si>
    <t>차분해 보이지만 가까워지면 은근 웃기고 편한 사람</t>
    <phoneticPr fontId="1" type="noConversion"/>
  </si>
  <si>
    <t>보령제약, 학술팀</t>
    <phoneticPr fontId="1" type="noConversion"/>
  </si>
  <si>
    <t>조용함</t>
    <phoneticPr fontId="1" type="noConversion"/>
  </si>
  <si>
    <t>긍정적이고 밝은 사람인거같아요!</t>
    <phoneticPr fontId="1" type="noConversion"/>
  </si>
  <si>
    <t>성격은 밝은 편이고 처음 보는 분들이랑도 금방 편해지는 스타일입니다.
빵을 좋아해서 관심 갖고 보다가 지원하게 됐고 혼자 하는 것보다 같이 만들면서 얘기 나누는 게 더 재밌을 것 같아서 신청했습니다.
편하게 웃으면서 즐길 수 있는 분위기라 기대하고 있습니다:)</t>
    <phoneticPr fontId="1" type="noConversion"/>
  </si>
  <si>
    <t>디자인로고스 인테리어 기사</t>
    <phoneticPr fontId="1" type="noConversion"/>
  </si>
  <si>
    <t>생산직</t>
    <phoneticPr fontId="1" type="noConversion"/>
  </si>
  <si>
    <t>맑고 투명한사람</t>
    <phoneticPr fontId="1" type="noConversion"/>
  </si>
  <si>
    <t>밝고 장난이 많지만 진지충</t>
    <phoneticPr fontId="1" type="noConversion"/>
  </si>
  <si>
    <t>웃음 장벽이 낮아 잘 웃고 술, 담배, 유흥을 좋아하지 않아요
다정하고 섬세하고 내 사람한테는 다 퍼주는 스타일이에요
손재주가 좋아서 손으로 하는 건 대체로 다 잘해요</t>
    <phoneticPr fontId="1" type="noConversion"/>
  </si>
  <si>
    <t>밝고활발한사람</t>
    <phoneticPr fontId="1" type="noConversion"/>
  </si>
  <si>
    <t>(주)정직한청년들 상무이사 &amp; 엠제이컴퍼니 대표</t>
    <phoneticPr fontId="1" type="noConversion"/>
  </si>
  <si>
    <t>밝고 웃음이많은 긍정적인사람이에요!
밀당을 잘 못하고 마음이 맞다는게 확인되는 순간 직진합니다. 외로움을 잘 타지 않는 스타일이고 상대를 잘 배려하려고 노력하기도합니다.</t>
    <phoneticPr fontId="1" type="noConversion"/>
  </si>
  <si>
    <t>웅진프리드</t>
    <phoneticPr fontId="1" type="noConversion"/>
  </si>
  <si>
    <t>밝고 긍정적인 마인드를 가진 사람
다정하고 리액션이 좋은 사람
하루에 하나씩 소확행을 하는 사람
새로운 사람을 만나는 것을 좋아하는 사람</t>
    <phoneticPr fontId="1" type="noConversion"/>
  </si>
  <si>
    <t>열정적이고 할 때는 하는 사람. 불가능은 없다 주의</t>
    <phoneticPr fontId="1" type="noConversion"/>
  </si>
  <si>
    <t>다정한편입니다. 자기일을 잘해요. 운동을 좋아합니다. 자기관리 열심히해요. 여행을 좋아해요. 영화보는 것 좋아합니다. 독서를 좋아해요. 이야기하는 걸 좋아하고 어떤 활동이든 연인과 같이 함께하는것을 선호합니다</t>
    <phoneticPr fontId="1" type="noConversion"/>
  </si>
  <si>
    <t>밝고 긍정적인 사람</t>
    <phoneticPr fontId="1" type="noConversion"/>
  </si>
  <si>
    <t>165~180</t>
    <phoneticPr fontId="1" type="noConversion"/>
  </si>
  <si>
    <t>42~</t>
    <phoneticPr fontId="1" type="noConversion"/>
  </si>
  <si>
    <t>배려있고 웃음이 많은 사람</t>
    <phoneticPr fontId="1" type="noConversion"/>
  </si>
  <si>
    <t>음식물처리기 회사</t>
    <phoneticPr fontId="1" type="noConversion"/>
  </si>
  <si>
    <t>강아지</t>
    <phoneticPr fontId="1" type="noConversion"/>
  </si>
  <si>
    <t>밝고 웃음이 많은 편이라 같이 있으면 편해지는 스타일이에요! 알수록 매력있는 스타일이에요 😊</t>
    <phoneticPr fontId="1" type="noConversion"/>
  </si>
  <si>
    <t>자영업</t>
    <phoneticPr fontId="1" type="noConversion"/>
  </si>
  <si>
    <t>개발자</t>
    <phoneticPr fontId="1" type="noConversion"/>
  </si>
  <si>
    <t>다정하고 자상한 사람</t>
    <phoneticPr fontId="1" type="noConversion"/>
  </si>
  <si>
    <t>교육기획 및 운영</t>
    <phoneticPr fontId="1" type="noConversion"/>
  </si>
  <si>
    <t>진지하지만 밝고 명랑하고 긍정적인사람</t>
    <phoneticPr fontId="1" type="noConversion"/>
  </si>
  <si>
    <t>운동을 좋아하고 활동적인 사람이고, 다양한 분야에 관심이 많아서 새로운걸 배우는 걸 좋아합니다!</t>
    <phoneticPr fontId="1" type="noConversion"/>
  </si>
  <si>
    <t>병원 매니저(한강수병원 출장검진팀)</t>
    <phoneticPr fontId="1" type="noConversion"/>
  </si>
  <si>
    <t>170~175</t>
    <phoneticPr fontId="1" type="noConversion"/>
  </si>
  <si>
    <t>즐거운 시간 보내는 것 좋아해요. 친절하고 다정하고 싶어요. (헤헤 아직 부족)</t>
    <phoneticPr fontId="1" type="noConversion"/>
  </si>
  <si>
    <t>영상의학과 방사선사</t>
    <phoneticPr fontId="1" type="noConversion"/>
  </si>
  <si>
    <t>20~31</t>
    <phoneticPr fontId="1" type="noConversion"/>
  </si>
  <si>
    <t>착하다?</t>
    <phoneticPr fontId="1" type="noConversion"/>
  </si>
  <si>
    <t>밝고 따뜻한 성격</t>
    <phoneticPr fontId="1" type="noConversion"/>
  </si>
  <si>
    <t>삼성서울병원 간호사</t>
    <phoneticPr fontId="1" type="noConversion"/>
  </si>
  <si>
    <t>삼성서울병원 별관동 수술실</t>
    <phoneticPr fontId="1" type="noConversion"/>
  </si>
  <si>
    <t>한국원자력의학원 / 연구원</t>
    <phoneticPr fontId="1" type="noConversion"/>
  </si>
  <si>
    <t>#성실함 #신중함 #안정감 #호기심 많은</t>
    <phoneticPr fontId="1" type="noConversion"/>
  </si>
  <si>
    <t>밝고 긍정적</t>
    <phoneticPr fontId="1" type="noConversion"/>
  </si>
  <si>
    <t>간호조무사</t>
    <phoneticPr fontId="1" type="noConversion"/>
  </si>
  <si>
    <t>솔직한사람</t>
    <phoneticPr fontId="1" type="noConversion"/>
  </si>
  <si>
    <t>제약회사 설비기사</t>
    <phoneticPr fontId="1" type="noConversion"/>
  </si>
  <si>
    <t>160~1170</t>
    <phoneticPr fontId="1" type="noConversion"/>
  </si>
  <si>
    <r>
      <rPr>
        <sz val="10"/>
        <color rgb="FF434343"/>
        <rFont val="맑은 고딕"/>
        <family val="2"/>
        <charset val="129"/>
      </rPr>
      <t>남</t>
    </r>
    <phoneticPr fontId="1" type="noConversion"/>
  </si>
  <si>
    <t>인스파이어 카지노딜러</t>
    <phoneticPr fontId="1" type="noConversion"/>
  </si>
  <si>
    <t>165~170</t>
    <phoneticPr fontId="1" type="noConversion"/>
  </si>
  <si>
    <r>
      <rPr>
        <sz val="10"/>
        <color rgb="FF434343"/>
        <rFont val="맑은 고딕"/>
        <family val="2"/>
        <charset val="129"/>
      </rPr>
      <t>무관</t>
    </r>
    <phoneticPr fontId="1" type="noConversion"/>
  </si>
  <si>
    <t>카지노딜러하고있는 27살 손기범입니다</t>
    <phoneticPr fontId="1" type="noConversion"/>
  </si>
  <si>
    <r>
      <rPr>
        <sz val="10"/>
        <color rgb="FF434343"/>
        <rFont val="맑은 고딕"/>
        <family val="2"/>
        <charset val="129"/>
      </rPr>
      <t>작고</t>
    </r>
    <r>
      <rPr>
        <sz val="10"/>
        <color rgb="FF434343"/>
        <rFont val="Roboto"/>
        <family val="2"/>
      </rPr>
      <t xml:space="preserve"> </t>
    </r>
    <r>
      <rPr>
        <sz val="10"/>
        <color rgb="FF434343"/>
        <rFont val="맑은 고딕"/>
        <family val="2"/>
        <charset val="129"/>
      </rPr>
      <t>아담하신분</t>
    </r>
    <r>
      <rPr>
        <sz val="10"/>
        <color rgb="FF434343"/>
        <rFont val="Roboto"/>
        <family val="2"/>
      </rPr>
      <t xml:space="preserve">, </t>
    </r>
    <r>
      <rPr>
        <sz val="10"/>
        <color rgb="FF434343"/>
        <rFont val="맑은 고딕"/>
        <family val="2"/>
        <charset val="129"/>
      </rPr>
      <t>지혜로운</t>
    </r>
    <phoneticPr fontId="1" type="noConversion"/>
  </si>
  <si>
    <t>여</t>
    <phoneticPr fontId="1" type="noConversion"/>
  </si>
  <si>
    <t>같은 업종 참가자랑 마주치지 않았으면 합니다 부탁드려요ㅠㅠ</t>
    <phoneticPr fontId="1" type="noConversion"/>
  </si>
  <si>
    <t>무교</t>
    <phoneticPr fontId="1" type="noConversion"/>
  </si>
  <si>
    <t>상대를 배려할 줄 알고 다정합니다. 내 사람이라고 생각되면 모든 것을 아끼지 않는 사람입니다.</t>
    <phoneticPr fontId="1" type="noConversion"/>
  </si>
  <si>
    <t>한국인삼공사/전략기획팀</t>
    <phoneticPr fontId="1" type="noConversion"/>
  </si>
  <si>
    <t>175~</t>
    <phoneticPr fontId="1" type="noConversion"/>
  </si>
  <si>
    <t>깔끔한 두부상에 자기관리 열심히 하려고 노력하고 웃는게 이쁨. 미래지향적으로 자격증이나 공부, 독서를 꾸준히 하고 운동도 즐겨하는 편 ! (헬스, 플라테스, 러닝, 등산 등)</t>
    <phoneticPr fontId="1" type="noConversion"/>
  </si>
  <si>
    <t>깔끔한 인상에 자기관리 잘하고 웃는게 이쁜 사람. 운동 꾸준히 하고 피부를 잘 가꾸는 사람.</t>
    <phoneticPr fontId="1" type="noConversion"/>
  </si>
  <si>
    <t>010-8664-3774</t>
    <phoneticPr fontId="1" type="noConversion"/>
  </si>
  <si>
    <t>함께 있으면 비타민을 먹은 듯 에너지가 솟아나는, 긍정의 아이콘입니다. 막힘없이 시원시원한 성격으로 주변에 즐거움을 전하는 것을 좋아하는 사람입니다!</t>
    <phoneticPr fontId="1" type="noConversion"/>
  </si>
  <si>
    <t>정은이</t>
    <phoneticPr fontId="1" type="noConversion"/>
  </si>
  <si>
    <t>010-2364-5115</t>
    <phoneticPr fontId="1" type="noConversion"/>
  </si>
  <si>
    <t>기독교</t>
    <phoneticPr fontId="1" type="noConversion"/>
  </si>
  <si>
    <t>박근준</t>
    <phoneticPr fontId="1" type="noConversion"/>
  </si>
  <si>
    <t>친해지면 장난기 많은 사람</t>
    <phoneticPr fontId="1" type="noConversion"/>
  </si>
  <si>
    <t>오지영</t>
    <phoneticPr fontId="1" type="noConversion"/>
  </si>
  <si>
    <t>동일</t>
    <phoneticPr fontId="1" type="noConversion"/>
  </si>
  <si>
    <t>남</t>
    <phoneticPr fontId="1" type="noConversion"/>
  </si>
  <si>
    <t>긍정적이고 선한 사람</t>
    <phoneticPr fontId="1" type="noConversion"/>
  </si>
  <si>
    <t>동의</t>
    <phoneticPr fontId="1" type="noConversion"/>
  </si>
  <si>
    <t>알면알수록좋은사람</t>
    <phoneticPr fontId="1" type="noConversion"/>
  </si>
  <si>
    <t>동의</t>
    <phoneticPr fontId="1" type="noConversion"/>
  </si>
  <si>
    <t>바리스타</t>
    <phoneticPr fontId="1" type="noConversion"/>
  </si>
  <si>
    <t>무관</t>
    <phoneticPr fontId="1" type="noConversion"/>
  </si>
  <si>
    <t>남</t>
    <phoneticPr fontId="1" type="noConversion"/>
  </si>
  <si>
    <t>스태츠 칩팩코리아 반도체 엔지니어</t>
    <phoneticPr fontId="1" type="noConversion"/>
  </si>
  <si>
    <t>~165</t>
    <phoneticPr fontId="1" type="noConversion"/>
  </si>
  <si>
    <t>밝고 상대방에게 집중할수 있는사람</t>
    <phoneticPr fontId="1" type="noConversion"/>
  </si>
  <si>
    <t>김연준</t>
    <phoneticPr fontId="1" type="noConversion"/>
  </si>
  <si>
    <t>010-2374-6085</t>
    <phoneticPr fontId="1" type="noConversion"/>
  </si>
  <si>
    <t>무교</t>
    <phoneticPr fontId="1" type="noConversion"/>
  </si>
  <si>
    <t>차분하고 침착하며 다정하고 챙겨주길 좋아하는 사람, 맡은 일 책임감과 발전하고자 하는 계발적인 사람</t>
    <phoneticPr fontId="1" type="noConversion"/>
  </si>
  <si>
    <t>자기 감정에 솔직하고 표현 잘하는 사람, 잘 웃고 밝은 사람, 다정한 사람</t>
    <phoneticPr fontId="1" type="noConversion"/>
  </si>
  <si>
    <t>010-2711-2198</t>
    <phoneticPr fontId="1" type="noConversion"/>
  </si>
  <si>
    <t>회사원</t>
    <phoneticPr fontId="1" type="noConversion"/>
  </si>
  <si>
    <r>
      <rPr>
        <sz val="10"/>
        <color rgb="FF434343"/>
        <rFont val="맑은 고딕"/>
        <family val="2"/>
        <charset val="129"/>
      </rPr>
      <t>무교</t>
    </r>
    <phoneticPr fontId="1" type="noConversion"/>
  </si>
  <si>
    <t>적당히 맞춰줄 수 있는 사람</t>
    <phoneticPr fontId="1" type="noConversion"/>
  </si>
  <si>
    <r>
      <rPr>
        <sz val="10"/>
        <color rgb="FF434343"/>
        <rFont val="맑은 고딕"/>
        <family val="2"/>
        <charset val="129"/>
      </rPr>
      <t>귀여우면</t>
    </r>
    <r>
      <rPr>
        <sz val="10"/>
        <color rgb="FF434343"/>
        <rFont val="Roboto"/>
        <family val="2"/>
      </rPr>
      <t xml:space="preserve"> </t>
    </r>
    <r>
      <rPr>
        <sz val="10"/>
        <color rgb="FF434343"/>
        <rFont val="맑은 고딕"/>
        <family val="2"/>
        <charset val="129"/>
      </rPr>
      <t>됩니다</t>
    </r>
    <phoneticPr fontId="1" type="noConversion"/>
  </si>
  <si>
    <t>이지현</t>
    <phoneticPr fontId="1" type="noConversion"/>
  </si>
  <si>
    <t>ENTJ제외</t>
    <phoneticPr fontId="1" type="noConversion"/>
  </si>
  <si>
    <t>여</t>
    <phoneticPr fontId="1" type="noConversion"/>
  </si>
  <si>
    <t>최하영</t>
    <phoneticPr fontId="1" type="noConversion"/>
  </si>
  <si>
    <t>010-5108-5813</t>
    <phoneticPr fontId="1" type="noConversion"/>
  </si>
  <si>
    <t>삼성서울병원 병동 간호사</t>
    <phoneticPr fontId="1" type="noConversion"/>
  </si>
  <si>
    <t>28~34</t>
    <phoneticPr fontId="1" type="noConversion"/>
  </si>
  <si>
    <t>기독교</t>
    <phoneticPr fontId="1" type="noConversion"/>
  </si>
  <si>
    <t>밝고 착함</t>
    <phoneticPr fontId="1" type="noConversion"/>
  </si>
  <si>
    <t>다정한 사람</t>
    <phoneticPr fontId="1" type="noConversion"/>
  </si>
  <si>
    <t>외국계 / 영업관리팀</t>
    <phoneticPr fontId="1" type="noConversion"/>
  </si>
  <si>
    <t>INFP, INTP, INFJ, ISFJ, ENFP, ESFP, ENFJ, ESFJ, ENTP, ENTJ</t>
    <phoneticPr fontId="1" type="noConversion"/>
  </si>
  <si>
    <t>불교</t>
    <phoneticPr fontId="1" type="noConversion"/>
  </si>
  <si>
    <t>스타일 좋은 사람 센스 있는 사람</t>
    <phoneticPr fontId="1" type="noConversion"/>
  </si>
  <si>
    <t>이재형</t>
    <phoneticPr fontId="1" type="noConversion"/>
  </si>
  <si>
    <t>에스원, FM파트</t>
    <phoneticPr fontId="1" type="noConversion"/>
  </si>
  <si>
    <t>도전적인 사람</t>
    <phoneticPr fontId="1" type="noConversion"/>
  </si>
  <si>
    <t>무관, INFP, ISFP</t>
    <phoneticPr fontId="1" type="noConversion"/>
  </si>
  <si>
    <t>낭만적인것 좋아고 배우는 활동에 진심인 사람</t>
    <phoneticPr fontId="1" type="noConversion"/>
  </si>
  <si>
    <t>김논형</t>
    <phoneticPr fontId="1" type="noConversion"/>
  </si>
  <si>
    <t>~170</t>
    <phoneticPr fontId="1" type="noConversion"/>
  </si>
  <si>
    <t>박수아</t>
    <phoneticPr fontId="1" type="noConversion"/>
  </si>
  <si>
    <t>크로스보더플랫폼 / 인사</t>
    <phoneticPr fontId="1" type="noConversion"/>
  </si>
  <si>
    <t>35~38</t>
    <phoneticPr fontId="1" type="noConversion"/>
  </si>
  <si>
    <t>밝음</t>
    <phoneticPr fontId="1" type="noConversion"/>
  </si>
  <si>
    <t>김민형</t>
    <phoneticPr fontId="1" type="noConversion"/>
  </si>
  <si>
    <t>제약회사 QC</t>
    <phoneticPr fontId="1" type="noConversion"/>
  </si>
  <si>
    <t>예의바른사람</t>
    <phoneticPr fontId="1" type="noConversion"/>
  </si>
  <si>
    <t>서예슬</t>
    <phoneticPr fontId="1" type="noConversion"/>
  </si>
  <si>
    <t>삼성서울병원 간호</t>
    <phoneticPr fontId="1" type="noConversion"/>
  </si>
  <si>
    <t>운동좋아하고 맛집탐방을 좋아해요</t>
    <phoneticPr fontId="1" type="noConversion"/>
  </si>
  <si>
    <t>병원직군, 기술직, 연구직, 회사원</t>
    <phoneticPr fontId="1" type="noConversion"/>
  </si>
  <si>
    <t>20~31</t>
    <phoneticPr fontId="1" type="noConversion"/>
  </si>
  <si>
    <t>~175</t>
    <phoneticPr fontId="1" type="noConversion"/>
  </si>
  <si>
    <t>추수진</t>
    <phoneticPr fontId="1" type="noConversion"/>
  </si>
  <si>
    <t>중학교 교사</t>
    <phoneticPr fontId="1" type="noConversion"/>
  </si>
  <si>
    <t>28~31</t>
    <phoneticPr fontId="1" type="noConversion"/>
  </si>
  <si>
    <t>무관, ESFP, ESTP</t>
    <phoneticPr fontId="1" type="noConversion"/>
  </si>
  <si>
    <t>밝은 에너지가 있는 건강한 사람</t>
    <phoneticPr fontId="1" type="noConversion"/>
  </si>
  <si>
    <t>공무원, 연구직, 회사원</t>
    <phoneticPr fontId="1" type="noConversion"/>
  </si>
  <si>
    <t>불교</t>
    <phoneticPr fontId="1" type="noConversion"/>
  </si>
  <si>
    <t>황성준</t>
    <phoneticPr fontId="1" type="noConversion"/>
  </si>
  <si>
    <t>회사원(IT보안)</t>
    <phoneticPr fontId="1" type="noConversion"/>
  </si>
  <si>
    <t>정민희</t>
    <phoneticPr fontId="1" type="noConversion"/>
  </si>
  <si>
    <t>영어 강사</t>
    <phoneticPr fontId="1" type="noConversion"/>
  </si>
  <si>
    <t>31~34</t>
    <phoneticPr fontId="1" type="noConversion"/>
  </si>
  <si>
    <t>180~</t>
    <phoneticPr fontId="1" type="noConversion"/>
  </si>
  <si>
    <t>밝고 외향적이며 매사에 성실히 임하는 사람입니다 :) 서로를 배려하며 즐거운 대화를 나눌 수 있는 상대방을 찾고 있어요</t>
    <phoneticPr fontId="1" type="noConversion"/>
  </si>
  <si>
    <t>자영업, 공무원</t>
    <phoneticPr fontId="1" type="noConversion"/>
  </si>
  <si>
    <t>경찰공무원 강남경찰서</t>
    <phoneticPr fontId="1" type="noConversion"/>
  </si>
  <si>
    <t>처음엔 낯을 조금 가리지만 금방 친해지는 편이라 재밌는 사람이라는 얘길 자주 듣습니다
편한 사람이라고도 자주 듣습니다</t>
    <phoneticPr fontId="1" type="noConversion"/>
  </si>
  <si>
    <t>최준혁</t>
    <phoneticPr fontId="1" type="noConversion"/>
  </si>
  <si>
    <t>백화점 MD</t>
    <phoneticPr fontId="1" type="noConversion"/>
  </si>
  <si>
    <t>삼성서울병원 신생아중환자실</t>
    <phoneticPr fontId="1" type="noConversion"/>
  </si>
  <si>
    <t>병원직군, 자영업, 연구직, 회사원</t>
    <phoneticPr fontId="1" type="noConversion"/>
  </si>
  <si>
    <t>천현정</t>
    <phoneticPr fontId="1" type="noConversion"/>
  </si>
  <si>
    <t>간호사</t>
    <phoneticPr fontId="1" type="noConversion"/>
  </si>
  <si>
    <t>무관, INFJ, ISFJ, ENFJ, ESFJ</t>
    <phoneticPr fontId="1" type="noConversion"/>
  </si>
  <si>
    <t>밝고 사람과 함께하는걸 좋아하는 사람입니다. 자기관리 잘하며 프리패스 며느리상..</t>
    <phoneticPr fontId="1" type="noConversion"/>
  </si>
  <si>
    <t>간호사, 병동간호2팀, 18W병동</t>
    <phoneticPr fontId="1" type="noConversion"/>
  </si>
  <si>
    <t>저는 22년도에 삼성서울병원에 입사해서 지금 5년차가 되어가고있는 18W병동 간호사입니다. 그동안 3년간의 연애를 총 2번 했던 경험이 있고, 간호학과 특성상 아는 남자도 없고 직장에도 없다보니 사람 만날 기회가 적어서 신청하게되었습니다. 제가 약간 집순이라 쉴때 약속이 없다면 보통 집에서 넷플보거나 집청소, 심심하면 베이킹할때도 있고, 그외에는 가끔씩 친구들 만나서 맛있는거 먹고 쇼핑하고 수다떨고 하는걸 좋아합니다. 강아지나 고양이같은 귀여운것들을 좋아하고 노래듣는것도 좋아합니다(jpop- official higedandism, 국내 밴드 - xdinary heros, day6, 하현상, 한로로, 여자 아이돌 노래 등). 저는 재수를 한번 하긴 했지만 그외는 큰 탈 없이 무난하게 자라왔다고 생각하고, 요즘 사회에 참 이상한 사람들이 많지만 그럼에도 좋은 사람은 있다고 생각하는.. 나름 해맑은(?) 사람입니다. 병동에서 일할때도 가끔 저희한테 뭐먹었냐 물어보며 먹을거 챙겨주시거나 하는 귀여운 어르신들보면 괜히 그게 소소하게 좋더라구요. 가끔 쌤들이랑 수다떨거나 하는 그런 재미에 힘들어도 지금껏 다니는것같아요. 친한 친구들이랑도 두쫀쿠, 버터떡 맛있다 이런얘기하고다니는 사람이라ㅋㅋ그냥 별거 아닌 일에 잘 웃고 재밌어해요. 저와 비슷한 결의, 같이 얘기할때 티키타카 잘되는 사람을 만나고 싶어요.</t>
    <phoneticPr fontId="1" type="noConversion"/>
  </si>
  <si>
    <r>
      <rPr>
        <sz val="10"/>
        <color rgb="FF434343"/>
        <rFont val="맑은 고딕"/>
        <family val="2"/>
        <charset val="129"/>
      </rPr>
      <t>여</t>
    </r>
    <phoneticPr fontId="1" type="noConversion"/>
  </si>
  <si>
    <t>010-5418-3952</t>
    <phoneticPr fontId="1" type="noConversion"/>
  </si>
  <si>
    <t>치과위생사</t>
    <phoneticPr fontId="1" type="noConversion"/>
  </si>
  <si>
    <t>ESFP</t>
    <phoneticPr fontId="1" type="noConversion"/>
  </si>
  <si>
    <r>
      <rPr>
        <sz val="10"/>
        <color rgb="FF434343"/>
        <rFont val="맑은 고딕"/>
        <family val="2"/>
        <charset val="129"/>
      </rPr>
      <t>도전적이고</t>
    </r>
    <r>
      <rPr>
        <sz val="10"/>
        <color rgb="FF434343"/>
        <rFont val="Roboto"/>
        <family val="2"/>
      </rPr>
      <t xml:space="preserve">, </t>
    </r>
    <r>
      <rPr>
        <sz val="10"/>
        <color rgb="FF434343"/>
        <rFont val="맑은 고딕"/>
        <family val="2"/>
        <charset val="129"/>
      </rPr>
      <t>자기</t>
    </r>
    <r>
      <rPr>
        <sz val="10"/>
        <color rgb="FF434343"/>
        <rFont val="Roboto"/>
        <family val="2"/>
      </rPr>
      <t xml:space="preserve"> </t>
    </r>
    <r>
      <rPr>
        <sz val="10"/>
        <color rgb="FF434343"/>
        <rFont val="맑은 고딕"/>
        <family val="2"/>
        <charset val="129"/>
      </rPr>
      <t>할</t>
    </r>
    <r>
      <rPr>
        <sz val="10"/>
        <color rgb="FF434343"/>
        <rFont val="Roboto"/>
        <family val="2"/>
      </rPr>
      <t xml:space="preserve"> </t>
    </r>
    <r>
      <rPr>
        <sz val="10"/>
        <color rgb="FF434343"/>
        <rFont val="맑은 고딕"/>
        <family val="2"/>
        <charset val="129"/>
      </rPr>
      <t>일에</t>
    </r>
    <r>
      <rPr>
        <sz val="10"/>
        <color rgb="FF434343"/>
        <rFont val="Roboto"/>
        <family val="2"/>
      </rPr>
      <t xml:space="preserve"> </t>
    </r>
    <r>
      <rPr>
        <sz val="10"/>
        <color rgb="FF434343"/>
        <rFont val="맑은 고딕"/>
        <family val="2"/>
        <charset val="129"/>
      </rPr>
      <t>열정적인</t>
    </r>
    <r>
      <rPr>
        <sz val="10"/>
        <color rgb="FF434343"/>
        <rFont val="Roboto"/>
        <family val="2"/>
      </rPr>
      <t xml:space="preserve"> </t>
    </r>
    <r>
      <rPr>
        <sz val="10"/>
        <color rgb="FF434343"/>
        <rFont val="맑은 고딕"/>
        <family val="2"/>
        <charset val="129"/>
      </rPr>
      <t>사람</t>
    </r>
    <r>
      <rPr>
        <sz val="10"/>
        <color rgb="FF434343"/>
        <rFont val="Roboto"/>
        <family val="2"/>
      </rPr>
      <t xml:space="preserve"> / </t>
    </r>
    <r>
      <rPr>
        <sz val="10"/>
        <color rgb="FF434343"/>
        <rFont val="맑은 고딕"/>
        <family val="2"/>
        <charset val="129"/>
      </rPr>
      <t>나한테만</t>
    </r>
    <r>
      <rPr>
        <sz val="10"/>
        <color rgb="FF434343"/>
        <rFont val="Roboto"/>
        <family val="2"/>
      </rPr>
      <t xml:space="preserve"> </t>
    </r>
    <r>
      <rPr>
        <sz val="10"/>
        <color rgb="FF434343"/>
        <rFont val="맑은 고딕"/>
        <family val="2"/>
        <charset val="129"/>
      </rPr>
      <t>다정한</t>
    </r>
    <r>
      <rPr>
        <sz val="10"/>
        <color rgb="FF434343"/>
        <rFont val="Roboto"/>
        <family val="2"/>
      </rPr>
      <t xml:space="preserve"> </t>
    </r>
    <r>
      <rPr>
        <sz val="10"/>
        <color rgb="FF434343"/>
        <rFont val="맑은 고딕"/>
        <family val="2"/>
        <charset val="129"/>
      </rPr>
      <t>사람</t>
    </r>
    <phoneticPr fontId="1" type="noConversion"/>
  </si>
  <si>
    <r>
      <rPr>
        <sz val="10"/>
        <color rgb="FF434343"/>
        <rFont val="맑은 고딕"/>
        <family val="2"/>
        <charset val="129"/>
      </rPr>
      <t>여</t>
    </r>
    <phoneticPr fontId="1" type="noConversion"/>
  </si>
  <si>
    <t>010-5361-3960</t>
    <phoneticPr fontId="1" type="noConversion"/>
  </si>
  <si>
    <t>공기업비서</t>
    <phoneticPr fontId="1" type="noConversion"/>
  </si>
  <si>
    <t>35~45</t>
    <phoneticPr fontId="1" type="noConversion"/>
  </si>
  <si>
    <r>
      <rPr>
        <sz val="10"/>
        <color rgb="FF434343"/>
        <rFont val="맑은 고딕"/>
        <family val="2"/>
        <charset val="129"/>
      </rPr>
      <t>무관</t>
    </r>
    <phoneticPr fontId="1" type="noConversion"/>
  </si>
  <si>
    <r>
      <rPr>
        <sz val="10"/>
        <color rgb="FF434343"/>
        <rFont val="맑은 고딕"/>
        <family val="2"/>
        <charset val="129"/>
      </rPr>
      <t>기독교</t>
    </r>
    <phoneticPr fontId="1" type="noConversion"/>
  </si>
  <si>
    <r>
      <rPr>
        <sz val="10"/>
        <color rgb="FF434343"/>
        <rFont val="맑은 고딕"/>
        <family val="2"/>
        <charset val="129"/>
      </rPr>
      <t>포용력</t>
    </r>
    <r>
      <rPr>
        <sz val="10"/>
        <color rgb="FF434343"/>
        <rFont val="Roboto"/>
        <family val="2"/>
      </rPr>
      <t xml:space="preserve"> </t>
    </r>
    <r>
      <rPr>
        <sz val="10"/>
        <color rgb="FF434343"/>
        <rFont val="맑은 고딕"/>
        <family val="2"/>
        <charset val="129"/>
      </rPr>
      <t>있고</t>
    </r>
    <r>
      <rPr>
        <sz val="10"/>
        <color rgb="FF434343"/>
        <rFont val="Roboto"/>
        <family val="2"/>
      </rPr>
      <t xml:space="preserve"> </t>
    </r>
    <r>
      <rPr>
        <sz val="10"/>
        <color rgb="FF434343"/>
        <rFont val="맑은 고딕"/>
        <family val="2"/>
        <charset val="129"/>
      </rPr>
      <t>몸도</t>
    </r>
    <r>
      <rPr>
        <sz val="10"/>
        <color rgb="FF434343"/>
        <rFont val="Roboto"/>
        <family val="2"/>
      </rPr>
      <t xml:space="preserve"> </t>
    </r>
    <r>
      <rPr>
        <sz val="10"/>
        <color rgb="FF434343"/>
        <rFont val="맑은 고딕"/>
        <family val="2"/>
        <charset val="129"/>
      </rPr>
      <t>마음도</t>
    </r>
    <r>
      <rPr>
        <sz val="10"/>
        <color rgb="FF434343"/>
        <rFont val="Roboto"/>
        <family val="2"/>
      </rPr>
      <t xml:space="preserve"> </t>
    </r>
    <r>
      <rPr>
        <sz val="10"/>
        <color rgb="FF434343"/>
        <rFont val="맑은 고딕"/>
        <family val="2"/>
        <charset val="129"/>
      </rPr>
      <t>건강하신</t>
    </r>
    <r>
      <rPr>
        <sz val="10"/>
        <color rgb="FF434343"/>
        <rFont val="Roboto"/>
        <family val="2"/>
      </rPr>
      <t xml:space="preserve"> </t>
    </r>
    <r>
      <rPr>
        <sz val="10"/>
        <color rgb="FF434343"/>
        <rFont val="맑은 고딕"/>
        <family val="2"/>
        <charset val="129"/>
      </rPr>
      <t>분</t>
    </r>
    <phoneticPr fontId="1" type="noConversion"/>
  </si>
  <si>
    <t>병원직군, 기술직, 공무원, 연구직, 회사원</t>
    <phoneticPr fontId="1" type="noConversion"/>
  </si>
  <si>
    <r>
      <rPr>
        <sz val="10"/>
        <color rgb="FF434343"/>
        <rFont val="맑은 고딕"/>
        <family val="2"/>
        <charset val="129"/>
      </rPr>
      <t>김동현</t>
    </r>
    <phoneticPr fontId="1" type="noConversion"/>
  </si>
  <si>
    <t>010-8425-1866</t>
    <phoneticPr fontId="1" type="noConversion"/>
  </si>
  <si>
    <t>포스코 인터내셔널, 경영기획실</t>
    <phoneticPr fontId="1" type="noConversion"/>
  </si>
  <si>
    <t>ENTP</t>
    <phoneticPr fontId="1" type="noConversion"/>
  </si>
  <si>
    <r>
      <rPr>
        <sz val="10"/>
        <color rgb="FF434343"/>
        <rFont val="맑은 고딕"/>
        <family val="2"/>
        <charset val="129"/>
      </rPr>
      <t>김연희</t>
    </r>
    <phoneticPr fontId="1" type="noConversion"/>
  </si>
  <si>
    <t>삼표산업 비서</t>
    <phoneticPr fontId="1" type="noConversion"/>
  </si>
  <si>
    <t>ENFJ</t>
    <phoneticPr fontId="1" type="noConversion"/>
  </si>
  <si>
    <r>
      <rPr>
        <sz val="10"/>
        <color rgb="FF434343"/>
        <rFont val="맑은 고딕"/>
        <family val="2"/>
        <charset val="129"/>
      </rPr>
      <t>무교</t>
    </r>
    <phoneticPr fontId="1" type="noConversion"/>
  </si>
  <si>
    <t>동일</t>
    <phoneticPr fontId="1" type="noConversion"/>
  </si>
  <si>
    <t>쾌활하고 밝고 긍정적인 사람</t>
    <phoneticPr fontId="1" type="noConversion"/>
  </si>
  <si>
    <r>
      <rPr>
        <sz val="10"/>
        <color rgb="FF434343"/>
        <rFont val="맑은 고딕"/>
        <family val="2"/>
        <charset val="129"/>
      </rPr>
      <t>눈치</t>
    </r>
    <r>
      <rPr>
        <sz val="10"/>
        <color rgb="FF434343"/>
        <rFont val="Roboto"/>
        <family val="2"/>
      </rPr>
      <t xml:space="preserve"> </t>
    </r>
    <r>
      <rPr>
        <sz val="10"/>
        <color rgb="FF434343"/>
        <rFont val="맑은 고딕"/>
        <family val="2"/>
        <charset val="129"/>
      </rPr>
      <t>빠르고</t>
    </r>
    <r>
      <rPr>
        <sz val="10"/>
        <color rgb="FF434343"/>
        <rFont val="Roboto"/>
        <family val="2"/>
      </rPr>
      <t xml:space="preserve"> </t>
    </r>
    <r>
      <rPr>
        <sz val="10"/>
        <color rgb="FF434343"/>
        <rFont val="맑은 고딕"/>
        <family val="2"/>
        <charset val="129"/>
      </rPr>
      <t>센스</t>
    </r>
    <r>
      <rPr>
        <sz val="10"/>
        <color rgb="FF434343"/>
        <rFont val="Roboto"/>
        <family val="2"/>
      </rPr>
      <t xml:space="preserve"> </t>
    </r>
    <r>
      <rPr>
        <sz val="10"/>
        <color rgb="FF434343"/>
        <rFont val="맑은 고딕"/>
        <family val="2"/>
        <charset val="129"/>
      </rPr>
      <t>있는</t>
    </r>
    <r>
      <rPr>
        <sz val="10"/>
        <color rgb="FF434343"/>
        <rFont val="Roboto"/>
        <family val="2"/>
      </rPr>
      <t xml:space="preserve"> </t>
    </r>
    <r>
      <rPr>
        <sz val="10"/>
        <color rgb="FF434343"/>
        <rFont val="맑은 고딕"/>
        <family val="2"/>
        <charset val="129"/>
      </rPr>
      <t>사람</t>
    </r>
    <phoneticPr fontId="1" type="noConversion"/>
  </si>
  <si>
    <t>모델</t>
    <phoneticPr fontId="1" type="noConversion"/>
  </si>
  <si>
    <r>
      <rPr>
        <sz val="10"/>
        <color rgb="FF434343"/>
        <rFont val="맑은 고딕"/>
        <family val="2"/>
        <charset val="129"/>
      </rPr>
      <t>정건호</t>
    </r>
    <phoneticPr fontId="1" type="noConversion"/>
  </si>
  <si>
    <t>010-5264-0596</t>
    <phoneticPr fontId="1" type="noConversion"/>
  </si>
  <si>
    <t>기아 생산직</t>
    <phoneticPr fontId="1" type="noConversion"/>
  </si>
  <si>
    <t>INTJ/INFJ</t>
    <phoneticPr fontId="1" type="noConversion"/>
  </si>
  <si>
    <t>차분한 내향적인 꾸준한</t>
    <phoneticPr fontId="1" type="noConversion"/>
  </si>
  <si>
    <t>건국대학교 교직원</t>
    <phoneticPr fontId="1" type="noConversion"/>
  </si>
  <si>
    <t>24~34</t>
    <phoneticPr fontId="1" type="noConversion"/>
  </si>
  <si>
    <t>삼성서울병원 외래간호</t>
    <phoneticPr fontId="1" type="noConversion"/>
  </si>
  <si>
    <t>박중호</t>
    <phoneticPr fontId="1" type="noConversion"/>
  </si>
  <si>
    <t>제뉴원사이언스 B2B Sales</t>
    <phoneticPr fontId="1" type="noConversion"/>
  </si>
  <si>
    <t>160~175</t>
    <phoneticPr fontId="1" type="noConversion"/>
  </si>
  <si>
    <t>김하신</t>
    <phoneticPr fontId="1" type="noConversion"/>
  </si>
  <si>
    <t>서울시청 임기제 공무원</t>
    <phoneticPr fontId="1" type="noConversion"/>
  </si>
  <si>
    <t>라이트 외향형에 리액션을 잘하는 편인 사람입니다!</t>
    <phoneticPr fontId="1" type="noConversion"/>
  </si>
  <si>
    <t>최아름</t>
    <phoneticPr fontId="1" type="noConversion"/>
  </si>
  <si>
    <t>삼성서울병원 내시경실</t>
    <phoneticPr fontId="1" type="noConversion"/>
  </si>
  <si>
    <t>31~41</t>
    <phoneticPr fontId="1" type="noConversion"/>
  </si>
  <si>
    <t>170~</t>
    <phoneticPr fontId="1" type="noConversion"/>
  </si>
  <si>
    <t>ISTP</t>
    <phoneticPr fontId="1" type="noConversion"/>
  </si>
  <si>
    <t>내성적이고 낮가림 있음 집순이</t>
    <phoneticPr fontId="1" type="noConversion"/>
  </si>
  <si>
    <t>날 적극적으로 이끌어 줄 사람</t>
    <phoneticPr fontId="1" type="noConversion"/>
  </si>
  <si>
    <t>정재훈</t>
    <phoneticPr fontId="1" type="noConversion"/>
  </si>
  <si>
    <t>010-8766-5989</t>
    <phoneticPr fontId="1" type="noConversion"/>
  </si>
  <si>
    <t>ESFJ</t>
    <phoneticPr fontId="1" type="noConversion"/>
  </si>
  <si>
    <t>INFP, ISFP, ISTP, INFJ, ISTJ, INTJ, ISFJ, ENFP, ESFP, ENFJ, ESFJ, ESTP, ENTJ, ESTJ</t>
    <phoneticPr fontId="1" type="noConversion"/>
  </si>
  <si>
    <t>이상희</t>
    <phoneticPr fontId="1" type="noConversion"/>
  </si>
  <si>
    <t>010-7522-4007</t>
    <phoneticPr fontId="1" type="noConversion"/>
  </si>
  <si>
    <t>커피프랜차이즈 구매부서</t>
  </si>
  <si>
    <t>175~</t>
    <phoneticPr fontId="1" type="noConversion"/>
  </si>
  <si>
    <t>ISFJ</t>
    <phoneticPr fontId="1" type="noConversion"/>
  </si>
  <si>
    <t>무관</t>
    <phoneticPr fontId="1" type="noConversion"/>
  </si>
  <si>
    <t>첫인상은 내향인이지만 시간이 지나면 금방 외향인이 됩니다. 챙겨줌을 잘 하며 호감의 표시가 사소한 챙겨줌으로 나타납니다. 여행, 체험같은 활동적인 시간을 좋아하고 맛집 여행 좋아합니다. 감정 기복이 심하지 않아 잔잔하게 유지하지만 F라서 무심함에는 서운함을 크게 느끼어 다정한사람, 표현을 잘 해주는 사람을 좋아합니다.</t>
    <phoneticPr fontId="1" type="noConversion"/>
  </si>
  <si>
    <t>비흡연자</t>
    <phoneticPr fontId="1" type="noConversion"/>
  </si>
  <si>
    <t>진수환</t>
    <phoneticPr fontId="1" type="noConversion"/>
  </si>
  <si>
    <t>서비스 기획자(위드시스템, 기획팀)</t>
  </si>
  <si>
    <t>본인과 동일</t>
    <phoneticPr fontId="1" type="noConversion"/>
  </si>
  <si>
    <t>활동적이고 긍정적인 사람, 감정기복이 적고 공감을 잘 하여 편안하고 듬직하다는 말을 많이 듣습니다.</t>
    <phoneticPr fontId="1" type="noConversion"/>
  </si>
  <si>
    <t>비흡연자, 피부 하얗고 귀여운 스타일, 뚱뚱하지 않은 체형, 예의바르고 표현 잘 하는 사람</t>
    <phoneticPr fontId="1" type="noConversion"/>
  </si>
  <si>
    <t>이번주 4/18일 일정 제외하고는 가능할 것 같습니다.</t>
  </si>
  <si>
    <t>김시현</t>
    <phoneticPr fontId="1" type="noConversion"/>
  </si>
  <si>
    <t>Infp</t>
    <phoneticPr fontId="1" type="noConversion"/>
  </si>
  <si>
    <t>ENFP, ENFJ, ESFJ, ENTJ</t>
    <phoneticPr fontId="1" type="noConversion"/>
  </si>
  <si>
    <t>웃음이 많고 상대방을 편하게 해줘요
여행과 활동하는걸 좋아해요.</t>
    <phoneticPr fontId="1" type="noConversion"/>
  </si>
  <si>
    <t>웃는게 예쁘신 호감형이셨으면 좋겠고 말을 재치있게 하시고 먼저 이끌어주셨으면 좋겠어요</t>
    <phoneticPr fontId="1" type="noConversion"/>
  </si>
  <si>
    <t>신유진</t>
    <phoneticPr fontId="1" type="noConversion"/>
  </si>
  <si>
    <t>010-7551-6909</t>
    <phoneticPr fontId="1" type="noConversion"/>
  </si>
  <si>
    <t>대기업 제약회사 마케터</t>
  </si>
  <si>
    <t>170~180</t>
    <phoneticPr fontId="1" type="noConversion"/>
  </si>
  <si>
    <t>ENTJ, ENFJ</t>
    <phoneticPr fontId="1" type="noConversion"/>
  </si>
  <si>
    <t>일에 자부심이 있고 잘 웃는 긍정적인 사람</t>
    <phoneticPr fontId="1" type="noConversion"/>
  </si>
  <si>
    <t>본인 일 열심히하고, 웃는 모습이 예쁘고 운동으로 자기관리를 하는 사람</t>
    <phoneticPr fontId="1" type="noConversion"/>
  </si>
  <si>
    <t>임세현</t>
    <phoneticPr fontId="1" type="noConversion"/>
  </si>
  <si>
    <t>골든듀에이엠씨 상품관리</t>
  </si>
  <si>
    <t>첫인상은 조금 조용하다고 느낄수 있으나 친해지면 말도 많고 장난도 많은 편입니다
보통 주말엔 카페가서 여유로운 하루를 보내거나 집에서 OTT 보면서 시간을 보내는 편이예요
사람 만나는 것도 좋아해서 종종 친구들 만나서 수다떨고 놀기도 해요</t>
    <phoneticPr fontId="1" type="noConversion"/>
  </si>
  <si>
    <t>대화하는 걸 좋아해서 티키타카가 잘되는 사람에게 호감을 느끼는 편인 것 같아요 성격은 차분하고 따뜻한 감성적인 성격을 가진 분이 좋아요</t>
    <phoneticPr fontId="1" type="noConversion"/>
  </si>
  <si>
    <t>박지효</t>
    <phoneticPr fontId="1" type="noConversion"/>
  </si>
  <si>
    <t>IT유통회사 Sales Operation팀</t>
  </si>
  <si>
    <t>INTP</t>
    <phoneticPr fontId="1" type="noConversion"/>
  </si>
  <si>
    <t>ISFP, ENFP</t>
    <phoneticPr fontId="1" type="noConversion"/>
  </si>
  <si>
    <t>솔직하고 활발함</t>
    <phoneticPr fontId="1" type="noConversion"/>
  </si>
  <si>
    <t>재치있고 술을 많이 좋아하지 않는 사람</t>
    <phoneticPr fontId="1" type="noConversion"/>
  </si>
  <si>
    <t>기술직, 공무원, 연구직, 회사원</t>
    <phoneticPr fontId="1" type="noConversion"/>
  </si>
  <si>
    <t>남성 참여 나이대를 알고싶어요</t>
  </si>
  <si>
    <t>정다예</t>
    <phoneticPr fontId="1" type="noConversion"/>
  </si>
  <si>
    <t>감염관리실 간호사</t>
  </si>
  <si>
    <t>170~</t>
    <phoneticPr fontId="1" type="noConversion"/>
  </si>
  <si>
    <t>이야기를 잘 들어주고 잘 웃는사람</t>
    <phoneticPr fontId="1" type="noConversion"/>
  </si>
  <si>
    <t>책임감있고 다정한 사람 감정표현 잘하는 사람</t>
    <phoneticPr fontId="1" type="noConversion"/>
  </si>
  <si>
    <t>조소영</t>
    <phoneticPr fontId="1" type="noConversion"/>
  </si>
  <si>
    <t>간호사(삼성서울병원)</t>
  </si>
  <si>
    <t>24~31</t>
    <phoneticPr fontId="1" type="noConversion"/>
  </si>
  <si>
    <t>esfp</t>
    <phoneticPr fontId="1" type="noConversion"/>
  </si>
  <si>
    <t>밝고 긍정적인 편이다</t>
    <phoneticPr fontId="1" type="noConversion"/>
  </si>
  <si>
    <t>다정한사람</t>
    <phoneticPr fontId="1" type="noConversion"/>
  </si>
  <si>
    <t>유택현</t>
    <phoneticPr fontId="1" type="noConversion"/>
  </si>
  <si>
    <t>인터컨티넨탈호텔 조리팀</t>
  </si>
  <si>
    <t>Esfj</t>
    <phoneticPr fontId="1" type="noConversion"/>
  </si>
  <si>
    <t>무관, ISTP</t>
    <phoneticPr fontId="1" type="noConversion"/>
  </si>
  <si>
    <t>다정하고 재밌는사람인거같습니다</t>
    <phoneticPr fontId="1" type="noConversion"/>
  </si>
  <si>
    <t>외적인건 하얀사람을 좋아하고 같이있을때 편하고 재밌는사람이 좋습니다.</t>
    <phoneticPr fontId="1" type="noConversion"/>
  </si>
  <si>
    <t>김수민</t>
    <phoneticPr fontId="1" type="noConversion"/>
  </si>
  <si>
    <t>35~41</t>
    <phoneticPr fontId="1" type="noConversion"/>
  </si>
  <si>
    <t>ESFP</t>
    <phoneticPr fontId="1" type="noConversion"/>
  </si>
  <si>
    <t>웃는모습이예쁜남자</t>
    <phoneticPr fontId="1" type="noConversion"/>
  </si>
  <si>
    <t>케리스/하은</t>
    <phoneticPr fontId="1" type="noConversion"/>
  </si>
  <si>
    <t>28~38</t>
    <phoneticPr fontId="1" type="noConversion"/>
  </si>
  <si>
    <t>INFJ</t>
    <phoneticPr fontId="1" type="noConversion"/>
  </si>
  <si>
    <t>저는 친절하고 솔직한 사람이에요. 요리하고 베이킹하는 걸 좋아해요. 다른 사람들을 행복하게 해주는 걸 좋아하고, 제가 사랑하는 사람들을 위해서라면 뭐든지 다 해요.</t>
    <phoneticPr fontId="1" type="noConversion"/>
  </si>
  <si>
    <t>새로운 걸 시도하는 걸 좋아하는 사람이 좋아요. 운동하고 여행하는 것도 좋아했으면 좋겠어요. 배려심 있고 친절하고, 매너가 좋은 사람이면 더 좋아요.</t>
    <phoneticPr fontId="1" type="noConversion"/>
  </si>
  <si>
    <t>초청 (5월 10일 15시)</t>
  </si>
  <si>
    <t>남윤모</t>
    <phoneticPr fontId="1" type="noConversion"/>
  </si>
  <si>
    <t>외국계회사 공무부 안전관리자</t>
  </si>
  <si>
    <t>istj</t>
    <phoneticPr fontId="1" type="noConversion"/>
  </si>
  <si>
    <t>신중하고 유쾌한사람</t>
    <phoneticPr fontId="1" type="noConversion"/>
  </si>
  <si>
    <t>활발한사람</t>
    <phoneticPr fontId="1" type="noConversion"/>
  </si>
  <si>
    <t>감사합니다. !</t>
  </si>
  <si>
    <t>정재훈</t>
  </si>
  <si>
    <t>INFP, ISFP, ISTP, INFJ, ISTJ, INTJ, ISFJ, ENFP, ESFP, ENFJ, ESFJ, ESTP, ENTJ, ESTJ</t>
  </si>
  <si>
    <t>감정기복이 크지않고 상대방 얘기를 잘 들어줍니다.</t>
  </si>
  <si>
    <t>첫인상은 내향인이지만 시간이 지나면 금방 외향인이 됩니다. 챙겨줌을 잘 하며 호감의 표시가 사소한 챙겨줌으로 나타납니다. 여행, 체험같은 활동적인 시간을 좋아하고 맛집 여행 좋아합니다. 감정 기복이 심하지 않아 잔잔하게 유지하지만 F라서 무심함에는 서운함을 크게 느끼어 다정한사람, 표현을 잘 해주는 사람을 좋아합니다.</t>
  </si>
  <si>
    <t>진수환</t>
  </si>
  <si>
    <t>활동적이고 긍정적인 사람, 감정기복이 적고 공감을 잘 하여 편안하고 듬직하다는 말을 많이 듣습니다.</t>
  </si>
  <si>
    <t>비흡연자, 피부 하얗고 귀여운 스타일, 뚱뚱하지 않은 체형, 예의바르고 표현 잘 하는 사람</t>
  </si>
  <si>
    <t>김시현</t>
  </si>
  <si>
    <t>ENFP, ENFJ, ESFJ, ENTJ</t>
  </si>
  <si>
    <t>웃음이 많고 상대방을 편하게 해줘요
여행과 활동하는걸 좋아해요.</t>
  </si>
  <si>
    <t>웃는게 예쁘신 호감형이셨으면 좋겠고 말을 재치있게 하시고 먼저 이끌어주셨으면 좋겠어요</t>
  </si>
  <si>
    <t>신유진</t>
  </si>
  <si>
    <t>ENTJ, ENFJ</t>
  </si>
  <si>
    <t>일에 자부심이 있고 잘 웃는 긍정적인 사람</t>
  </si>
  <si>
    <t>본인 일 열심히하고, 웃는 모습이 예쁘고 운동으로 자기관리를 하는 사람</t>
  </si>
  <si>
    <t>임세현</t>
  </si>
  <si>
    <t>첫인상은 조금 조용하다고 느낄수 있으나 친해지면 말도 많고 장난도 많은 편입니다
보통 주말엔 카페가서 여유로운 하루를 보내거나 집에서 OTT 보면서 시간을 보내는 편이예요
사람 만나는 것도 좋아해서 종종 친구들 만나서 수다떨고 놀기도 해요</t>
  </si>
  <si>
    <t>대화하는 걸 좋아해서 티키타카가 잘되는 사람에게 호감을 느끼는 편인 것 같아요 성격은 차분하고 따뜻한 감성적인 성격을 가진 분이 좋아요</t>
  </si>
  <si>
    <t>박지효</t>
  </si>
  <si>
    <t>ISFP, ENFP</t>
  </si>
  <si>
    <t>솔직하고 활발함</t>
  </si>
  <si>
    <t>재치있고 술을 많이 좋아하지 않는 사람</t>
  </si>
  <si>
    <t>정다예</t>
  </si>
  <si>
    <t>이야기를 잘 들어주고 잘 웃는사람</t>
  </si>
  <si>
    <t>책임감있고 다정한 사람 감정표현 잘하는 사람</t>
  </si>
  <si>
    <t>조소영</t>
  </si>
  <si>
    <t>밝고 긍정적인 편이다</t>
  </si>
  <si>
    <t>유택현</t>
  </si>
  <si>
    <t>무관, ISTP</t>
  </si>
  <si>
    <t>다정하고 재밌는사람인거같습니다</t>
  </si>
  <si>
    <t>외적인건 하얀사람을 좋아하고 같이있을때 편하고 재밌는사람이 좋습니다.</t>
  </si>
  <si>
    <t>웃는모습이예쁜남자</t>
  </si>
  <si>
    <t>케리스/하은</t>
  </si>
  <si>
    <t>저는 친절하고 솔직한 사람이에요. 요리하고 베이킹하는 걸 좋아해요. 다른 사람들을 행복하게 해주는 걸 좋아하고, 제가 사랑하는 사람들을 위해서라면 뭐든지 다 해요.</t>
  </si>
  <si>
    <t>새로운 걸 시도하는 걸 좋아하는 사람이 좋아요. 운동하고 여행하는 것도 좋아했으면 좋겠어요. 배려심 있고 친절하고, 매너가 좋은 사람이면 더 좋아요.</t>
  </si>
  <si>
    <t>남윤모</t>
  </si>
  <si>
    <t>신중하고 유쾌한사람</t>
  </si>
  <si>
    <t>활발한사람</t>
  </si>
  <si>
    <t>10일M</t>
  </si>
  <si>
    <t>10일A</t>
  </si>
  <si>
    <t>16일M</t>
    <phoneticPr fontId="1" type="noConversion"/>
  </si>
  <si>
    <t>16일A</t>
    <phoneticPr fontId="1" type="noConversion"/>
  </si>
  <si>
    <t>이성균</t>
  </si>
  <si>
    <t>010-4284-8244</t>
  </si>
  <si>
    <t>바이브 마케터 / 기획팀</t>
  </si>
  <si>
    <t>겉차속따!</t>
  </si>
  <si>
    <t>할말 잘하는 사람 / 고양이상</t>
  </si>
  <si>
    <t>병원직군, 기술직, 공무원, 회사원</t>
  </si>
  <si>
    <t>정다혜</t>
  </si>
  <si>
    <t>오스비스 생산팀</t>
  </si>
  <si>
    <t>가만히 있는 걸 못 참고 이것저것 도전하고 재미 찾는 거 좋아하는 사람이에요</t>
  </si>
  <si>
    <t>긍정적이고 외향적인 사람</t>
  </si>
  <si>
    <t>오상현</t>
  </si>
  <si>
    <t>현대백화점 이커머스</t>
  </si>
  <si>
    <t>ESFP, ENFJ, ENTP, ESTP, ENTJ</t>
  </si>
  <si>
    <t>성실하고 책임감 있고 자기관리하는 사람입니다.</t>
  </si>
  <si>
    <t>발전적이고 자기일 열심히 하고 관리하는 사람. 밝고 긍정적인 성격의 소유자 선호.</t>
  </si>
  <si>
    <t>강지안</t>
  </si>
  <si>
    <t>패션회사 해외영업</t>
  </si>
  <si>
    <t>INTP, ISTP, ISTJ, ISFJ</t>
  </si>
  <si>
    <t>밝고 긍정적이고 에너지가 넘치는사람</t>
  </si>
  <si>
    <t>외적으로 내적으로 자기관리 잘하고 이해심이 있는 사람</t>
  </si>
  <si>
    <t>이성균</t>
    <phoneticPr fontId="1" type="noConversion"/>
  </si>
  <si>
    <t>estp</t>
    <phoneticPr fontId="1" type="noConversion"/>
  </si>
  <si>
    <t>무관</t>
    <phoneticPr fontId="1" type="noConversion"/>
  </si>
  <si>
    <t>무교</t>
    <phoneticPr fontId="1" type="noConversion"/>
  </si>
  <si>
    <t>겉차속따!</t>
    <phoneticPr fontId="1" type="noConversion"/>
  </si>
  <si>
    <t>할말 잘하는 사람 / 고양이상</t>
    <phoneticPr fontId="1" type="noConversion"/>
  </si>
  <si>
    <t>병원직군, 기술직, 공무원, 회사원</t>
    <phoneticPr fontId="1" type="noConversion"/>
  </si>
  <si>
    <t>정다혜</t>
    <phoneticPr fontId="1" type="noConversion"/>
  </si>
  <si>
    <t>가만히 있는 걸 못 참고 이것저것 도전하고 재미 찾는 거 좋아하는 사람이에요</t>
    <phoneticPr fontId="1" type="noConversion"/>
  </si>
  <si>
    <t>긍정적이고 외향적인 사람</t>
    <phoneticPr fontId="1" type="noConversion"/>
  </si>
  <si>
    <t>오상현</t>
    <phoneticPr fontId="1" type="noConversion"/>
  </si>
  <si>
    <t>estj</t>
    <phoneticPr fontId="1" type="noConversion"/>
  </si>
  <si>
    <t>ESFP, ENFJ, ENTP, ESTP, ENTJ</t>
    <phoneticPr fontId="1" type="noConversion"/>
  </si>
  <si>
    <t>본인과 동일</t>
    <phoneticPr fontId="1" type="noConversion"/>
  </si>
  <si>
    <t>성실하고 책임감 있고 자기관리하는 사람입니다.</t>
    <phoneticPr fontId="1" type="noConversion"/>
  </si>
  <si>
    <t>발전적이고 자기일 열심히 하고 관리하는 사람. 밝고 긍정적인 성격의 소유자 선호.</t>
    <phoneticPr fontId="1" type="noConversion"/>
  </si>
  <si>
    <t>강지안</t>
    <phoneticPr fontId="1" type="noConversion"/>
  </si>
  <si>
    <t>31~34</t>
    <phoneticPr fontId="1" type="noConversion"/>
  </si>
  <si>
    <t>밝고 긍정적이고 에너지가 넘치는사람</t>
    <phoneticPr fontId="1" type="noConversion"/>
  </si>
  <si>
    <t>외적으로 내적으로 자기관리 잘하고 이해심이 있는 사람</t>
    <phoneticPr fontId="1" type="noConversion"/>
  </si>
  <si>
    <t>31~41</t>
    <phoneticPr fontId="1" type="noConversion"/>
  </si>
  <si>
    <t>~170</t>
    <phoneticPr fontId="1" type="noConversion"/>
  </si>
  <si>
    <t>1</t>
    <phoneticPr fontId="1" type="noConversion"/>
  </si>
  <si>
    <t>1</t>
    <phoneticPr fontId="1" type="noConversion"/>
  </si>
  <si>
    <t>전지은</t>
  </si>
  <si>
    <t>간호사(서울대병원소아응급실)</t>
  </si>
  <si>
    <t>밝고 열심히 살고 나름 다정한 사람</t>
  </si>
  <si>
    <t>다정하고 나에게 안정감을 주는 사람</t>
  </si>
  <si>
    <t>김광선</t>
  </si>
  <si>
    <t>헬스장/트레이너</t>
  </si>
  <si>
    <t>착하고 약간의 내성적인 모습이 있습니다.</t>
  </si>
  <si>
    <t>착하고 기분에 따라 행동하지 않는 사람.</t>
  </si>
  <si>
    <t>신희건</t>
  </si>
  <si>
    <t>공무원/소방공무원</t>
  </si>
  <si>
    <t>INFP, ISFP, INFJ, ISTJ, ISFJ, ENFP, ESFP, ENFJ, ESFJ, ENTP, ESTP, ENTJ, ESTJ</t>
  </si>
  <si>
    <t>해보고 싶은 것이 생기면 도전해보는 사람</t>
  </si>
  <si>
    <t>웃음이 많고 성격이 밝은 사람</t>
  </si>
  <si>
    <t>대학생</t>
  </si>
  <si>
    <t>처음엔 어색해서 말도 잘 못걸고 뚝딱거리긴 하지만 조금씩 편해지면 말 많아져요!!</t>
  </si>
  <si>
    <t>스스로를 잘 어울리게 꾸밀줄 아는 사람</t>
  </si>
  <si>
    <t>성격은 잘 웃고 긍정적인 편이고 회복탄력성이 좋은것 같아요. 저 스스로를 꾸미는걸 좋아해서 스타일 좋고 어려보인다는 말도 자주 들어요 ! 디자이너라는 제 일에 대한 애정도 있구요</t>
  </si>
  <si>
    <t>티키타카가 잘 되고 본인 일에 성실하시고 동안이였으면 좋겠어요~!</t>
  </si>
  <si>
    <t>추지혜</t>
  </si>
  <si>
    <t>웹에이전시, 웹 개발자</t>
  </si>
  <si>
    <t>INFP, INFJ, INTJ, ENFP, ENFJ, ENTP, ENTJ</t>
  </si>
  <si>
    <t>말하는 것보다 들어주는 것을 좋아하고, 내 사람에게는 한없이 세심해지는 '겉차속따'입니다. 저는 화려한 말솜씨보다는 상대방의 이야기에 귀 기울이고 공감하는 시간을 더 소중히 여겨요. MBTI는 F이지만 일처리나 고민을 해결할 때는 T 성향이 강해서, 다정하면서도 든든한 조언자가 되어드리기도 합니다. 낯을 조금 가릴 순 있어도 '내 사람'이라는 확신이 들면 누구보다 세심하고 다정하게 챙겨주는 편이에요. 외적으로는 농담곰 캐릭터를 닮았다고 듣습니다. 취미로는 뜨개질처럼 손으로 만들면서 차분하게 집중할 수 있는 활동입니다. 정성을 담아 무언가를 만드는 시간을 좋아합니다.</t>
  </si>
  <si>
    <t>말을 잘하고 밝은 웃는게 잘 어울리는 무해한 대형견같은 사람</t>
  </si>
  <si>
    <t>황원규</t>
  </si>
  <si>
    <t>성남문화원(공공기관)/사무 및 운영파트</t>
  </si>
  <si>
    <t>INFP, ISFP, INFJ, INTJ, ISFJ, ENFP, ESFP, ENFJ, ESFJ, ENTP, ESTP, ENTJ, ESTJ</t>
  </si>
  <si>
    <t>본인과 동일, 무관</t>
  </si>
  <si>
    <t>잘웃고 배려심이 깊은사람, 같이 있으면 재밌고 편안함을 주는 사람, 알면 알수록 더 재미있는 사람</t>
  </si>
  <si>
    <t>잘웃고 착한사람, 교회 다니지 않고 담배 피지 않는 사람, 긴머리</t>
  </si>
  <si>
    <t>잘부탁드려요👍</t>
  </si>
  <si>
    <t>010-7900-0492</t>
    <phoneticPr fontId="1" type="noConversion"/>
  </si>
  <si>
    <t>INTP, ISTP, ISTJ, ISFJ</t>
    <phoneticPr fontId="1" type="noConversion"/>
  </si>
  <si>
    <t>밝고 열심히 살고 나름 다정한 사람</t>
    <phoneticPr fontId="1" type="noConversion"/>
  </si>
  <si>
    <t>다정하고 나에게 안정감을 주는 사람</t>
    <phoneticPr fontId="1" type="noConversion"/>
  </si>
  <si>
    <t>ESTP</t>
    <phoneticPr fontId="1" type="noConversion"/>
  </si>
  <si>
    <t>착하고 약간의 내성적인 모습이 있습니다.</t>
    <phoneticPr fontId="1" type="noConversion"/>
  </si>
  <si>
    <t>착하고 기분에 따라 행동하지 않는 사람.</t>
    <phoneticPr fontId="1" type="noConversion"/>
  </si>
  <si>
    <t>ISTJ</t>
    <phoneticPr fontId="1" type="noConversion"/>
  </si>
  <si>
    <t>INFP, ISFP, INFJ, ISTJ, ISFJ, ENFP, ESFP, ENFJ, ESFJ, ENTP, ESTP, ENTJ, ESTJ</t>
    <phoneticPr fontId="1" type="noConversion"/>
  </si>
  <si>
    <t>무교</t>
    <phoneticPr fontId="1" type="noConversion"/>
  </si>
  <si>
    <t>해보고 싶은 것이 생기면 도전해보는 사람</t>
    <phoneticPr fontId="1" type="noConversion"/>
  </si>
  <si>
    <t>웃음이 많고 성격이 밝은 사람</t>
    <phoneticPr fontId="1" type="noConversion"/>
  </si>
  <si>
    <t>병원직군, 공무원, 연구직, 회사원</t>
    <phoneticPr fontId="1" type="noConversion"/>
  </si>
  <si>
    <t>Istp</t>
    <phoneticPr fontId="1" type="noConversion"/>
  </si>
  <si>
    <t>처음엔 어색해서 말도 잘 못걸고 뚝딱거리긴 하지만 조금씩 편해지면 말 많아져요!!</t>
    <phoneticPr fontId="1" type="noConversion"/>
  </si>
  <si>
    <t>스스로를 잘 어울리게 꾸밀줄 아는 사람</t>
    <phoneticPr fontId="1" type="noConversion"/>
  </si>
  <si>
    <t>Istj</t>
    <phoneticPr fontId="1" type="noConversion"/>
  </si>
  <si>
    <t>무관</t>
    <phoneticPr fontId="1" type="noConversion"/>
  </si>
  <si>
    <t>성격은 잘 웃고 긍정적인 편이고 회복탄력성이 좋은것 같아요. 저 스스로를 꾸미는걸 좋아해서 스타일 좋고 어려보인다는 말도 자주 들어요 ! 디자이너라는 제 일에 대한 애정도 있구요</t>
    <phoneticPr fontId="1" type="noConversion"/>
  </si>
  <si>
    <t>티키타카가 잘 되고 본인 일에 성실하시고 동안이였으면 좋겠어요~!</t>
    <phoneticPr fontId="1" type="noConversion"/>
  </si>
  <si>
    <t>회사원, 무관</t>
    <phoneticPr fontId="1" type="noConversion"/>
  </si>
  <si>
    <t>010-4148-9414</t>
    <phoneticPr fontId="1" type="noConversion"/>
  </si>
  <si>
    <t>INFJ</t>
    <phoneticPr fontId="1" type="noConversion"/>
  </si>
  <si>
    <t>INFP, INFJ, INTJ, ENFP, ENFJ, ENTP, ENTJ</t>
    <phoneticPr fontId="1" type="noConversion"/>
  </si>
  <si>
    <t>말하는 것보다 들어주는 것을 좋아하고, 내 사람에게는 한없이 세심해지는 '겉차속따'입니다. 저는 화려한 말솜씨보다는 상대방의 이야기에 귀 기울이고 공감하는 시간을 더 소중히 여겨요. MBTI는 F이지만 일처리나 고민을 해결할 때는 T 성향이 강해서, 다정하면서도 든든한 조언자가 되어드리기도 합니다. 낯을 조금 가릴 순 있어도 '내 사람'이라는 확신이 들면 누구보다 세심하고 다정하게 챙겨주는 편이에요. 외적으로는 농담곰 캐릭터를 닮았다고 듣습니다. 취미로는 뜨개질처럼 손으로 만들면서 차분하게 집중할 수 있는 활동입니다. 정성을 담아 무언가를 만드는 시간을 좋아합니다.</t>
    <phoneticPr fontId="1" type="noConversion"/>
  </si>
  <si>
    <t>말을 잘하고 밝은 웃는게 잘 어울리는 무해한 대형견같은 사람</t>
    <phoneticPr fontId="1" type="noConversion"/>
  </si>
  <si>
    <t>010-7197-9045</t>
    <phoneticPr fontId="1" type="noConversion"/>
  </si>
  <si>
    <t>isfj</t>
    <phoneticPr fontId="1" type="noConversion"/>
  </si>
  <si>
    <t>INFP, ISFP, INFJ, INTJ, ISFJ, ENFP, ESFP, ENFJ, ESFJ, ENTP, ESTP, ENTJ, ESTJ</t>
    <phoneticPr fontId="1" type="noConversion"/>
  </si>
  <si>
    <t>본인과 동일, 무관</t>
    <phoneticPr fontId="1" type="noConversion"/>
  </si>
  <si>
    <t>잘웃고 배려심이 깊은사람, 같이 있으면 재밌고 편안함을 주는 사람, 알면 알수록 더 재미있는 사람</t>
    <phoneticPr fontId="1" type="noConversion"/>
  </si>
  <si>
    <t>잘웃고 착한사람, 교회 다니지 않고 담배 피지 않는 사람, 긴머리</t>
    <phoneticPr fontId="1" type="noConversion"/>
  </si>
  <si>
    <t>잘부탁드려요👍</t>
    <phoneticPr fontId="1" type="noConversion"/>
  </si>
  <si>
    <t>31~38</t>
    <phoneticPr fontId="1" type="noConversion"/>
  </si>
  <si>
    <t>28~38</t>
    <phoneticPr fontId="1" type="noConversion"/>
  </si>
  <si>
    <t>31~38</t>
    <phoneticPr fontId="1" type="noConversion"/>
  </si>
  <si>
    <t>28~34</t>
    <phoneticPr fontId="1" type="noConversion"/>
  </si>
  <si>
    <t>24~34</t>
    <phoneticPr fontId="1" type="noConversion"/>
  </si>
  <si>
    <t>175~</t>
    <phoneticPr fontId="1" type="noConversion"/>
  </si>
  <si>
    <t>~165</t>
    <phoneticPr fontId="1" type="noConversion"/>
  </si>
  <si>
    <t>~170</t>
    <phoneticPr fontId="1" type="noConversion"/>
  </si>
  <si>
    <t>1</t>
    <phoneticPr fontId="1" type="noConversion"/>
  </si>
  <si>
    <t>1</t>
    <phoneticPr fontId="1" type="noConversion"/>
  </si>
  <si>
    <t>1</t>
    <phoneticPr fontId="1" type="noConversion"/>
  </si>
  <si>
    <t>1</t>
    <phoneticPr fontId="1" type="noConversion"/>
  </si>
  <si>
    <t>1</t>
    <phoneticPr fontId="1" type="noConversion"/>
  </si>
  <si>
    <t>1</t>
    <phoneticPr fontId="1" type="noConversion"/>
  </si>
  <si>
    <t>1</t>
    <phoneticPr fontId="1" type="noConversion"/>
  </si>
  <si>
    <t>조원경</t>
  </si>
  <si>
    <t>아동미술학원운영 원장</t>
  </si>
  <si>
    <t>저는 밝고 활발한 성격으로 사람들과 이야기 나누고 함께 웃는 시간을 좋아합니다. 주변에서는 함께 있으면 즐겁고 솔직한 사람이라는 이야기를 자주 듣습니다.
여행을 가거나 밖에서 시간을 보내는 것도 좋아하지만, 집에서 쉬며 소소하게, 여유롭게 보내는 시간도 소중하게 생각합니다.</t>
  </si>
  <si>
    <t>말 이쁘게 하시는분.</t>
  </si>
  <si>
    <t>저는 밝고 활발한 성격으로 사람들과 이야기 나누고 함께 웃는 시간을 좋아합니다. 주변에서는 함께 있으면 즐겁고 솔직한 사람이라는 이야기를 자주 듣습니다.
여행을 가거나 밖에서 시간을 보내는 것도 좋아하지만, 집에서 쉬며 소소하게, 여유롭게 보내는 시간도 소중하게 생각합니다.</t>
    <phoneticPr fontId="1" type="noConversion"/>
  </si>
  <si>
    <t>말 이쁘게 하시는분.</t>
    <phoneticPr fontId="1" type="noConversion"/>
  </si>
  <si>
    <t>38~45</t>
    <phoneticPr fontId="1" type="noConversion"/>
  </si>
  <si>
    <t>10일 11시</t>
    <phoneticPr fontId="1" type="noConversion"/>
  </si>
  <si>
    <t>10일 16시</t>
    <phoneticPr fontId="1" type="noConversion"/>
  </si>
  <si>
    <t>박성현</t>
  </si>
  <si>
    <t>cj제일제당 기술직</t>
  </si>
  <si>
    <t>차분하고 침착한 사람</t>
  </si>
  <si>
    <t>서로 존중하고 긍정적인사람</t>
  </si>
  <si>
    <t>티빙 광고사업부</t>
  </si>
  <si>
    <t>알수록 매력있는 사람</t>
  </si>
  <si>
    <t>다정하고 성실한 사람, 회피형 비선호</t>
  </si>
  <si>
    <t>기술직, 자영업, 공무원</t>
  </si>
  <si>
    <t>1</t>
    <phoneticPr fontId="1" type="noConversion"/>
  </si>
  <si>
    <t>무관</t>
    <phoneticPr fontId="1" type="noConversion"/>
  </si>
  <si>
    <t>isfp</t>
    <phoneticPr fontId="1" type="noConversion"/>
  </si>
  <si>
    <t>본인과 동일</t>
    <phoneticPr fontId="1" type="noConversion"/>
  </si>
  <si>
    <t>차분하고 침착한 사람</t>
    <phoneticPr fontId="1" type="noConversion"/>
  </si>
  <si>
    <t>서로 존중하고 긍정적인사람</t>
    <phoneticPr fontId="1" type="noConversion"/>
  </si>
  <si>
    <t>무관</t>
    <phoneticPr fontId="1" type="noConversion"/>
  </si>
  <si>
    <t>ENTJ</t>
    <phoneticPr fontId="1" type="noConversion"/>
  </si>
  <si>
    <t>알수록 매력있는 사람</t>
    <phoneticPr fontId="1" type="noConversion"/>
  </si>
  <si>
    <t>다정하고 성실한 사람, 회피형 비선호</t>
    <phoneticPr fontId="1" type="noConversion"/>
  </si>
  <si>
    <t>기술직, 자영업, 공무원</t>
    <phoneticPr fontId="1" type="noConversion"/>
  </si>
  <si>
    <t>24~34</t>
    <phoneticPr fontId="1" type="noConversion"/>
  </si>
  <si>
    <t>35~41</t>
    <phoneticPr fontId="1" type="noConversion"/>
  </si>
  <si>
    <t>175~</t>
    <phoneticPr fontId="1" type="noConversion"/>
  </si>
  <si>
    <t>허진영</t>
  </si>
  <si>
    <t>SMC 간호사 5서병동</t>
  </si>
  <si>
    <t>28~</t>
  </si>
  <si>
    <t>INTJ, INTP, INFJ, ISTJ, ISTP, ISFJ, ENTJ, ENTP, ENFJ, ENFP, ESTJ, ESTP, ESFJ, ESFP</t>
  </si>
  <si>
    <t>병원직군, 기술직, 자영업, 공무원, 연구직, 회사원, 무관</t>
  </si>
  <si>
    <t>반갑습니다 정말 잘해보고 싶어요~</t>
  </si>
  <si>
    <t>긍정적이고 선입견이 없습니다</t>
  </si>
  <si>
    <t>최규인</t>
  </si>
  <si>
    <t>삼성서울병원/ 소아청소년과 연구간호사</t>
  </si>
  <si>
    <t>16일 16시</t>
    <phoneticPr fontId="1" type="noConversion"/>
  </si>
  <si>
    <t>권오성</t>
  </si>
  <si>
    <t>사무직</t>
  </si>
  <si>
    <t>25~30</t>
  </si>
  <si>
    <t>ESTJ</t>
    <phoneticPr fontId="1" type="noConversion"/>
  </si>
  <si>
    <t>INFJ, INFP, ISTJ, ISTP, ISFJ, ISFP, ENTJ, ENTP, ENFJ, ENFP, ESTP, ESFJ, ESFP</t>
  </si>
  <si>
    <t>남자입니다.
친화력이 좋은 편입니다.</t>
  </si>
  <si>
    <t>왕인상</t>
  </si>
  <si>
    <t>외국계 에스테틱회사(세일즈 교육팀)</t>
  </si>
  <si>
    <t>ISTJ, ISFJ, ENTJ, ENFJ, ESTJ, ESFJ</t>
  </si>
  <si>
    <t>안녕하세요~~~!!!
지인의 공고 전달을 받고 참여를 안할래야 안할수가 없어 지원했습니다~~!</t>
  </si>
  <si>
    <t>함께하며 대화하는 티키타카를 좋아하는 사람</t>
  </si>
  <si>
    <t>선호 하는 20대 연령대분이면 좋겠습니다</t>
  </si>
  <si>
    <t>인스파이어 카지노딜러</t>
  </si>
  <si>
    <t>카지노딜러하고있는 27살 손기범입니다</t>
  </si>
  <si>
    <t>작고 아담하신분, 지혜로운</t>
  </si>
  <si>
    <t>박영진</t>
  </si>
  <si>
    <t>삼성서울병원 수술실 간호사</t>
  </si>
  <si>
    <t>INFJ, ISFJ, ISFP, ENFP, ESFJ</t>
  </si>
  <si>
    <t>전성준</t>
  </si>
  <si>
    <t>삼성서울병원 혈액종양내과 간호사</t>
  </si>
  <si>
    <t>INFJ, INFP, ISFJ, ISFP, ENFJ, ENFP, ESFJ, ESFP</t>
  </si>
  <si>
    <t>환자 보호자들에게 인기많은 칭찬간호사입니다.운동좋아하고 한결같은 성격</t>
  </si>
  <si>
    <t>양성인</t>
  </si>
  <si>
    <t>삼성병원 신경검사실</t>
  </si>
  <si>
    <t>에겐남 양성인입니다</t>
  </si>
  <si>
    <t>활동적이고 운동을 좋아해요!</t>
  </si>
  <si>
    <t>안예찬</t>
  </si>
  <si>
    <t>방사선사, 삼성서울병원 방사선종양학과</t>
  </si>
  <si>
    <t>INTJ, INFJ, ISTJ, ISFJ, ENTJ, ENFJ, ESTJ, ESFJ</t>
  </si>
  <si>
    <t>삼성서울병원 방사선종양학과에서 방사선사로써 7년간 근무하였습니다. 외면은 부드럽지만 내면은 단단한 성격을 갖고있고, 취미는 운동과 음악듣기입니다. 감사합니다!</t>
  </si>
  <si>
    <t>주위 분들 착하고 다정한 사람이라고 많이 말씀해주십니다.. ㅎㅎ.. 
화도 잘 안내고 무던한 편입니다! 하는 일에 있어서는 책임감있게 해내려고 
하는 편이에요</t>
  </si>
  <si>
    <t>나이대가
 저와 2-3살 
정도 아래였으면 싶습니다.. ㅎㅎ..</t>
  </si>
  <si>
    <t>홍세연</t>
  </si>
  <si>
    <t>SMC 성형외과 수술전담간호사</t>
  </si>
  <si>
    <t>ISTJ, ISFJ, ESTJ, ESFJ</t>
  </si>
  <si>
    <t>안녕하세요  눈치 빠르고 분위기 파악 잘하는 특기를 가지고 있는 어딜가나 인기 아주 조금은 있는 사람입니다.
삼성계열사 내에서 새로운 인연을 찾고자 지원하게 됐습니다. 잘 부탁드립니다.</t>
  </si>
  <si>
    <t>연상(98년생 이상)을 선호합니다 ㅎㅎ</t>
  </si>
  <si>
    <t>김규민</t>
  </si>
  <si>
    <t>방사선사(중앙대병원 방사선종양학과)</t>
  </si>
  <si>
    <t>꾸준히 운동하고 요리 하는 걸 좋아하는 장발st</t>
  </si>
  <si>
    <t>고양이상(그렇다고 강아지상이 싫은거 아님)</t>
  </si>
  <si>
    <t>주중엔 일에 집중하고 퇴근 후엔 운동과 강아지와 산책하며 보내며,
 차분하지만 친해지면 잘 웃고 리액션 좋은편입니다.커피,맛집,영화 좋아합니다. 
부담없이 천천히 알아가면서 서로 존중하는 관계를 찾고 있습니다.</t>
  </si>
  <si>
    <t>직업적으로는 직업 전문성을 키우기 위해 끊임없이 노력합니다. 석사 학위를 가지고 있으며 현재 전문간호사 자격증 취득을 위해 다시 대학원을 다니고 있습니다. 웨이트 트레이닝을 좋아하며 식단관리까지 병행하여 자기 관리를 하고 있습니다. 나이가 들어도 망가지지 않도록 꾸준히 자기관리를 하는 것이 목표입니다. 일에서든 다른 것에서든 책임감 있게 행동합니다. 또한 긍정적이고 성실한 것이 장점입니다.
초반에는 낯을 많이 가리는 편입니다. 하지만 친해지고 내 사람이라는 생각이 들면 장난도 많이 치고 잘 챙겨줍니다.</t>
    <phoneticPr fontId="1" type="noConversion"/>
  </si>
  <si>
    <t>류승현</t>
  </si>
  <si>
    <t>자동차1차사 IT팀</t>
  </si>
  <si>
    <t>INTJ, INFJ, ENTJ, ENFJ</t>
  </si>
  <si>
    <t>잘 웃고 운동 좋아합니다!</t>
  </si>
  <si>
    <t>김지수</t>
  </si>
  <si>
    <t>삼성서울병원 암6동</t>
    <phoneticPr fontId="1" type="noConversion"/>
  </si>
  <si>
    <t>ISTJ, ISFJ, ENFJ, ESTJ</t>
  </si>
  <si>
    <t>기술직, 자영업,공무원</t>
  </si>
  <si>
    <t>삼성서울병원 3년차 간호사 입니다. 베이킹은 처음이지만 디져트 먹는걸 참 좋아합니다~!</t>
    <phoneticPr fontId="1" type="noConversion"/>
  </si>
  <si>
    <t>박지희</t>
  </si>
  <si>
    <t>굉장히 밝고, 에너자이틱하다🤗
투명하고 감정에 솔직한 편이며, 눈치가 빨라
상대에게 잘 맞춰주는 편이다</t>
  </si>
  <si>
    <t>다정하고 배려할 줄 아는 사람, 남자다우면서 가끔은 감성도 즐겨줄 수 있는 사람</t>
  </si>
  <si>
    <t>두번째 신청입니다! 두바이 쫀득 쿠키 꼬옥 만들고 싶어요 ..🥹🩷</t>
  </si>
  <si>
    <t>감자상 공룡상, 술,담배,타투 X 운동하고 근육덩치가 있으신 분, 
말 예쁘게 하는 사람, 건실한 사람</t>
  </si>
  <si>
    <t>김채희</t>
  </si>
  <si>
    <t>삼성서울병원 외래지원파트</t>
  </si>
  <si>
    <t>ISFJ, ENTJ, ENFJ, ESTJ, ESTP, ESFJ, ESFP</t>
    <phoneticPr fontId="1" type="noConversion"/>
  </si>
  <si>
    <t>안녕하세요. 저는 28살 5년차 간호사 김채희 입니다!:)</t>
  </si>
  <si>
    <t>이현주</t>
  </si>
  <si>
    <t>intp</t>
    <phoneticPr fontId="1" type="noConversion"/>
  </si>
  <si>
    <t>안녕하세요!
잘 부탁드립니다</t>
  </si>
  <si>
    <t>모든 것에서 좋은 점을 찾을 수 있다 !</t>
  </si>
  <si>
    <t>박혜연</t>
  </si>
  <si>
    <t>간호사(건진내시경)</t>
  </si>
  <si>
    <t>병원직군, 연구직</t>
  </si>
  <si>
    <t>안녕하세요 삼성서울병원 건진내시경실 간호사로 일하고있는 박혜연 입니다. 복싱</t>
    <phoneticPr fontId="1" type="noConversion"/>
  </si>
  <si>
    <t>예의바른 사람</t>
  </si>
  <si>
    <t>윤수선</t>
  </si>
  <si>
    <t>간호사 ( 가천대 길병원, 마취과)</t>
  </si>
  <si>
    <t>INTJ, INTP, INFJ, INFP, ISTJ, ISFP</t>
    <phoneticPr fontId="1" type="noConversion"/>
  </si>
  <si>
    <t>안녕하세요! 소개팅은 어렵고 자연스러운 만남을 통해 매력을 어필하여 저와 대화가 잘통하는 인연을 이번 좋은 기회를 통해 만나고싶습니다. 여러번 보아야 매력을 보일 수 있는 저에게 좋을 것 같아 신청했습니다 서로의 장점을 보고 좋은 인연 만들어서 나가고 싶어요 인연이 되지않아도 배이킹을 즐기고 갈 자신 있습니다!! 새로운걸 도전하는걸 좋아하기 때문입니다 긍정적인 파워를 보여드리겠습니다 !</t>
  </si>
  <si>
    <t>박유임</t>
  </si>
  <si>
    <t>간호사 삼성서울병원</t>
  </si>
  <si>
    <t>180~185</t>
  </si>
  <si>
    <t>여행을 좋아하고 맛집탐방 좋아합니다 !,  차분하면서 활동적인 느낌 웃음이 많다 !</t>
  </si>
  <si>
    <t>박지혜</t>
  </si>
  <si>
    <t>삼성서울병원(간호사)</t>
  </si>
  <si>
    <t>Isfp</t>
    <phoneticPr fontId="1" type="noConversion"/>
  </si>
  <si>
    <t>안녕하세요 얼마전 이별해서 참가신청했습니다ㅎㅎ</t>
  </si>
  <si>
    <t>잘 주차된 이목구비</t>
  </si>
  <si>
    <t>임채영</t>
  </si>
  <si>
    <t>삼성서울병원 영상의학과(의사)</t>
  </si>
  <si>
    <t>안녕하세요 호기심과 웃음이 많은 임채영입니다 가종이 화목합니다</t>
  </si>
  <si>
    <t>이반야</t>
  </si>
  <si>
    <t>서울삼성병원</t>
  </si>
  <si>
    <t>170~185</t>
  </si>
  <si>
    <t>저는 긍적적이고 리액션이 좋습니다!
귀엽게 생겨서 호감형이라고 생각합니다 ㅎㅎ</t>
  </si>
  <si>
    <t>성실하고 착하다</t>
  </si>
  <si>
    <t>강태이</t>
    <phoneticPr fontId="1" type="noConversion"/>
  </si>
  <si>
    <t>삼성서울병원_연구직</t>
  </si>
  <si>
    <t>INFJ, INFP, ISFJ</t>
  </si>
  <si>
    <t>안녕하세요! 저는 직업 특성상 여초사회에서 오랜기간 근무하여 주변을 통해서는 인연을 만나기가 점점 더 힘들어진 삼십대 초반 여자입니다,, 이 쿠킹클래스를 통해 새로운 사람들을 알아가고 좋은 인연을 만날 수 있는 기회가 될 수 있기를 바라며 신청합니다!</t>
  </si>
  <si>
    <t>성격은 밝고 잘 웃는 성격이고 처음 친해지는데엔 어려움이 없지만 마음을 여는데 
시간이 조금 걸리는 편인 것 같습니다.  현재 혼자 반려견을 키우고 있어서 만나는 
분의 배려가 조금 필요하지만 책임감의 영역으로 이해해주시는 분이면 좋을 것 같고 
어떠한 상황이든 현재에 있어 최선을 다하는 성격입니다. 남들이 보면 테토...라고 
하지만 연애에 있어서만큼은 에겐인것 같아요!</t>
  </si>
  <si>
    <t>이상형은 딱히 없습니다.. 그냥 첫눈에 꽂히는 편인 것 같아요. 
자기 일 잘하고 J 스러운 면모가 많은 분에게 설레는 것 같아요.</t>
  </si>
  <si>
    <t>백은지</t>
  </si>
  <si>
    <t>해운회사 (서류 및 오퍼레이션 파트)</t>
  </si>
  <si>
    <t>INTJ, ISTJ, ISTP, ENTJ, ENFP, ESFJ, ESFP</t>
    <phoneticPr fontId="1" type="noConversion"/>
  </si>
  <si>
    <t>안녕하세요! 제 짝꿍을 찾고 싶어 지원하게 된 33살 백은지 입니다. 마지막 연애를 한 지 2년이 다 되어 가는데, 직전 연애가 자만추인 탓일까요? 연애를 시작을 못하고 있습니다. 이제는 씨가 말랐다고 아무리 찾아도 괜찮은 남자가 없다는 친구들이 그래도 숨은 사람을 찾아 찾아서 소개를 해주는데 소개팅도 참 쉽지가 않더라구요. 소개팅이다보니 대화보다는 그래도 외모에서 일단 호감이 생겨야 하는 탓인거 같아요. 너무 신중한 탓에 연애 시작이 쉽지 않은 저에게 이 케미스트리 오븐이 좋은 사람을 짝지어줄것만 같아요! 소개팅인 듯 아닌 듯 자만추인 듯 아닌 듯 베이킹 하는 시간 동안 혹은 자연스러운 대화속 상대방의 성격, 성향도 자연스럽게 파악 할 수 있어 더 좋은 기회 일 것이라는 생각이 듭니다 조금간략히 저에대해 말씀드리자면 취미로는 요가, 독서 좋아하구요 정적인 걸 좋아하면서도 활동적인 것도 너무 좋아합니다. 아무래도 상대방에게 맞추려는 편이다 보니 평소에 안하던 활동적인 걸 하면 새롭게 해보는게 많아서 너무 좋더라구요! 저랑 조금은 비슷하지만 조금은 다른 성향으로 서로에게 새로운 경험과 긍정적인 영향을 줄 수 있는 사람을 만나고 싶습니다.</t>
    <phoneticPr fontId="1" type="noConversion"/>
  </si>
  <si>
    <t>성정은</t>
  </si>
  <si>
    <t>변호사(사내변)</t>
  </si>
  <si>
    <t>170~185</t>
    <phoneticPr fontId="1" type="noConversion"/>
  </si>
  <si>
    <t>INTJ</t>
    <phoneticPr fontId="1" type="noConversion"/>
  </si>
  <si>
    <t>소심하지만 정많은 변호사 성실하다! 하기로 한 일/약속은 무슨 일이 있어도 지킨다. 연애할 준비가 되어있는 것 같다</t>
    <phoneticPr fontId="1" type="noConversion"/>
  </si>
  <si>
    <t>신나리</t>
  </si>
  <si>
    <t>PTKorea (광고대행사/퍼포먼스미디어 파트)</t>
  </si>
  <si>
    <t>30~40</t>
    <phoneticPr fontId="1" type="noConversion"/>
  </si>
  <si>
    <t>INTJ, INTP, ISTJ, ISTP, ISFJ, ISFP, ENTJ, ENTP, ENFJ, ESTJ, ESTP, ESFJ</t>
  </si>
  <si>
    <t>안녕하세요! 광고대행사에서 마케팅 업무를 하고 있습니다. 항상 반복된 일상에 새로움이 없었는데, 이번 기회를 통해 베이킹도 배우고  새로운 분들과 재미있는 추억 만들고 싶어요!  (겉바속촉) 반전매력 (외모는 에겐 / 성격은 테토)</t>
    <phoneticPr fontId="1" type="noConversion"/>
  </si>
  <si>
    <t>댄서</t>
    <phoneticPr fontId="1" type="noConversion"/>
  </si>
  <si>
    <t>INTJ, INTP, INFJ, ISTJ, ISTP, ISFJ, ISFP, ENTJ, ENTP, ENFJ, ESTJ, ESTP, ESFJ, ESFP</t>
    <phoneticPr fontId="1" type="noConversion"/>
  </si>
  <si>
    <t>INFP or INTP</t>
    <phoneticPr fontId="1" type="noConversion"/>
  </si>
  <si>
    <t>황구연</t>
  </si>
  <si>
    <t>성모윌병원 수술실</t>
  </si>
  <si>
    <t>에스프레소 옆 작은 다크초콜릿 한조각</t>
  </si>
  <si>
    <t>INFJ, INFP, ISFJ, ENFP</t>
  </si>
  <si>
    <t>안녕하세요 9년차 수술실 간호사 황구연입니다. 꾸준한 운동으로 다져진 체력과 체격'</t>
    <phoneticPr fontId="1" type="noConversion"/>
  </si>
  <si>
    <t>운동을 좋아하고 부지런하며 성격의 기복이 크지 않으신분 외모는 연예인으로 따지면 배우 표예진</t>
  </si>
  <si>
    <t>김길원</t>
    <phoneticPr fontId="1" type="noConversion"/>
  </si>
  <si>
    <t>오현석</t>
  </si>
  <si>
    <t>삼성SDI, 기술혁신그룹, 접합가공기술 파트</t>
    <phoneticPr fontId="1" type="noConversion"/>
  </si>
  <si>
    <t>ENTJ, ENTP, ENFJ, ENFP</t>
  </si>
  <si>
    <t>안녕하세요! 오현석입니다. 주중(월~목) 삼성SDI 천안사업장에 일(거주)하고 있고, 주말(금~일)에는 서울에서 거주 주 입니다.</t>
  </si>
  <si>
    <t>발명왕</t>
  </si>
  <si>
    <t>초청</t>
    <phoneticPr fontId="1" type="noConversion"/>
  </si>
  <si>
    <t>Liv</t>
  </si>
  <si>
    <t>Liv</t>
    <phoneticPr fontId="1" type="noConversion"/>
  </si>
  <si>
    <t>포용력 있고 몸도 마음도 건강하신 분</t>
    <phoneticPr fontId="1" type="noConversion"/>
  </si>
  <si>
    <t>1</t>
    <phoneticPr fontId="1" type="noConversion"/>
  </si>
  <si>
    <t>여</t>
    <phoneticPr fontId="1" type="noConversion"/>
  </si>
  <si>
    <t>010-7752-8611</t>
    <phoneticPr fontId="1" type="noConversion"/>
  </si>
  <si>
    <t>헤어&amp;메이크업 아티스트</t>
  </si>
  <si>
    <r>
      <rPr>
        <sz val="10"/>
        <color rgb="FF434343"/>
        <rFont val="맑은 고딕"/>
        <family val="2"/>
        <charset val="129"/>
      </rPr>
      <t>헤어</t>
    </r>
    <r>
      <rPr>
        <sz val="10"/>
        <color rgb="FF434343"/>
        <rFont val="Roboto"/>
        <family val="2"/>
      </rPr>
      <t>&amp;</t>
    </r>
    <r>
      <rPr>
        <sz val="10"/>
        <color rgb="FF434343"/>
        <rFont val="맑은 고딕"/>
        <family val="2"/>
        <charset val="129"/>
      </rPr>
      <t>메이크업</t>
    </r>
    <r>
      <rPr>
        <sz val="10"/>
        <color rgb="FF434343"/>
        <rFont val="Roboto"/>
        <family val="2"/>
      </rPr>
      <t xml:space="preserve"> </t>
    </r>
    <r>
      <rPr>
        <sz val="10"/>
        <color rgb="FF434343"/>
        <rFont val="맑은 고딕"/>
        <family val="2"/>
        <charset val="129"/>
      </rPr>
      <t>아티스트</t>
    </r>
    <phoneticPr fontId="1" type="noConversion"/>
  </si>
  <si>
    <t>다정하고 잘 웃고 새로운 곳 탐험하는걸 좋아하는 사람</t>
  </si>
  <si>
    <r>
      <rPr>
        <sz val="10"/>
        <color rgb="FF434343"/>
        <rFont val="맑은 고딕"/>
        <family val="2"/>
        <charset val="129"/>
      </rPr>
      <t>다정하고</t>
    </r>
    <r>
      <rPr>
        <sz val="10"/>
        <color rgb="FF434343"/>
        <rFont val="Roboto"/>
        <family val="2"/>
      </rPr>
      <t xml:space="preserve"> </t>
    </r>
    <r>
      <rPr>
        <sz val="10"/>
        <color rgb="FF434343"/>
        <rFont val="맑은 고딕"/>
        <family val="2"/>
        <charset val="129"/>
      </rPr>
      <t>잘</t>
    </r>
    <r>
      <rPr>
        <sz val="10"/>
        <color rgb="FF434343"/>
        <rFont val="Roboto"/>
        <family val="2"/>
      </rPr>
      <t xml:space="preserve"> </t>
    </r>
    <r>
      <rPr>
        <sz val="10"/>
        <color rgb="FF434343"/>
        <rFont val="맑은 고딕"/>
        <family val="2"/>
        <charset val="129"/>
      </rPr>
      <t>웃고</t>
    </r>
    <r>
      <rPr>
        <sz val="10"/>
        <color rgb="FF434343"/>
        <rFont val="Roboto"/>
        <family val="2"/>
      </rPr>
      <t xml:space="preserve"> </t>
    </r>
    <r>
      <rPr>
        <sz val="10"/>
        <color rgb="FF434343"/>
        <rFont val="맑은 고딕"/>
        <family val="2"/>
        <charset val="129"/>
      </rPr>
      <t>새로운</t>
    </r>
    <r>
      <rPr>
        <sz val="10"/>
        <color rgb="FF434343"/>
        <rFont val="Roboto"/>
        <family val="2"/>
      </rPr>
      <t xml:space="preserve"> </t>
    </r>
    <r>
      <rPr>
        <sz val="10"/>
        <color rgb="FF434343"/>
        <rFont val="맑은 고딕"/>
        <family val="2"/>
        <charset val="129"/>
      </rPr>
      <t>곳</t>
    </r>
    <r>
      <rPr>
        <sz val="10"/>
        <color rgb="FF434343"/>
        <rFont val="Roboto"/>
        <family val="2"/>
      </rPr>
      <t xml:space="preserve"> </t>
    </r>
    <r>
      <rPr>
        <sz val="10"/>
        <color rgb="FF434343"/>
        <rFont val="맑은 고딕"/>
        <family val="2"/>
        <charset val="129"/>
      </rPr>
      <t>탐험하는걸</t>
    </r>
    <r>
      <rPr>
        <sz val="10"/>
        <color rgb="FF434343"/>
        <rFont val="Roboto"/>
        <family val="2"/>
      </rPr>
      <t xml:space="preserve"> </t>
    </r>
    <r>
      <rPr>
        <sz val="10"/>
        <color rgb="FF434343"/>
        <rFont val="맑은 고딕"/>
        <family val="2"/>
        <charset val="129"/>
      </rPr>
      <t>좋아하는</t>
    </r>
    <r>
      <rPr>
        <sz val="10"/>
        <color rgb="FF434343"/>
        <rFont val="Roboto"/>
        <family val="2"/>
      </rPr>
      <t xml:space="preserve"> </t>
    </r>
    <r>
      <rPr>
        <sz val="10"/>
        <color rgb="FF434343"/>
        <rFont val="맑은 고딕"/>
        <family val="2"/>
        <charset val="129"/>
      </rPr>
      <t>사람</t>
    </r>
    <phoneticPr fontId="1" type="noConversion"/>
  </si>
  <si>
    <t>나랑 비슷한 사람, 착하고 재미있는 사람인데 나보다 더 외향적이야</t>
  </si>
  <si>
    <t>나랑 비슷한 사람, 착하고 재미있는 사람인데 나보다 더 외향적이야</t>
    <phoneticPr fontId="1" type="noConversion"/>
  </si>
  <si>
    <t>동의</t>
    <phoneticPr fontId="1" type="noConversion"/>
  </si>
  <si>
    <r>
      <rPr>
        <sz val="10"/>
        <color rgb="FF434343"/>
        <rFont val="돋움"/>
        <family val="3"/>
        <charset val="129"/>
      </rPr>
      <t>건국대학교</t>
    </r>
    <r>
      <rPr>
        <sz val="10"/>
        <color rgb="FF434343"/>
        <rFont val="Roboto"/>
        <family val="2"/>
      </rPr>
      <t xml:space="preserve"> </t>
    </r>
    <r>
      <rPr>
        <sz val="10"/>
        <color rgb="FF434343"/>
        <rFont val="돋움"/>
        <family val="3"/>
        <charset val="129"/>
      </rPr>
      <t>교직원</t>
    </r>
    <r>
      <rPr>
        <sz val="10"/>
        <color rgb="FF434343"/>
        <rFont val="Roboto"/>
        <family val="2"/>
      </rPr>
      <t>(</t>
    </r>
    <r>
      <rPr>
        <sz val="10"/>
        <color rgb="FF434343"/>
        <rFont val="돋움"/>
        <family val="3"/>
        <charset val="129"/>
      </rPr>
      <t>정보운영팀</t>
    </r>
    <r>
      <rPr>
        <sz val="10"/>
        <color rgb="FF434343"/>
        <rFont val="Roboto"/>
        <family val="2"/>
      </rPr>
      <t>)</t>
    </r>
    <phoneticPr fontId="1" type="noConversion"/>
  </si>
  <si>
    <t>24~31</t>
    <phoneticPr fontId="1" type="noConversion"/>
  </si>
  <si>
    <t>착하고 유한 성격을 가지고 있습니다. 이야기를 잘 들어 주며 세심한 면이 있습니다</t>
    <phoneticPr fontId="1" type="noConversion"/>
  </si>
  <si>
    <t>귀엽고 선한 사람</t>
    <phoneticPr fontId="1" type="noConversion"/>
  </si>
  <si>
    <t>자기 할일 열심히하는 사람이 이상형 입니다</t>
    <phoneticPr fontId="1" type="noConversion"/>
  </si>
  <si>
    <t>무관, INTJ, INFJ, ISFJ, ISFP, ENTJ, ENFJ, ENFP, ESTJ, ESFJ, ESFP</t>
    <phoneticPr fontId="1" type="noConversion"/>
  </si>
  <si>
    <t>안녕하세요, 저는 97년생 간호사입니다! 삼성서울병원을 첫 직장으로 시작하여 현재는 연구 간호사로 근무 중입니다. 성격은 밝고 사람들과 원만하게 잘 지내는 편입니다. 처음에는 차분해 보일 수 있지만 친해지면 장난기도 많고 다정한 성격이에요! 송파구 거주 중이고 두쫀쿠도 만들면 좋은 인연을 만들고 싶어 지원합니다! :) 처음엔 조금 딱딱하거나 차분해 보일 수 있지만, 알고 보면 속은 말랑하고 달달합니다! 친해지면 장난도 많이 치고, 주변 사람들을 기분 좋게 해주는 은은한 향기 같은 배려를 하려고 노력해요.</t>
    <phoneticPr fontId="1" type="noConversion"/>
  </si>
  <si>
    <t>170cm/50kg로 키가 크고 얼굴이 작은 편이라 비율이 좋다는 말을 자주 듣습니다! 면접/상견례 프리패스 상이라는 말 듣고 부업으로 모델 일도 잠깐 했었습니다. 성격 면에서는 주변 사람들을 세심하게 잘 챙기려고 합니다.
근무는 9-5시로 해서 워라벨이 좋은 편이고, 경제적인 부분도 중요하다고 생각하여 열심히 저축하고 있습니다! 부모님 지원 덕에 또래보다 많이 모은 편인 것 같습니다.</t>
    <phoneticPr fontId="1" type="noConversion"/>
  </si>
  <si>
    <t>33~38</t>
    <phoneticPr fontId="1" type="noConversion"/>
  </si>
  <si>
    <t>1</t>
    <phoneticPr fontId="1" type="noConversion"/>
  </si>
  <si>
    <t>여</t>
    <phoneticPr fontId="1" type="noConversion"/>
  </si>
  <si>
    <t>박선아</t>
  </si>
  <si>
    <t>박선아</t>
    <phoneticPr fontId="1" type="noConversion"/>
  </si>
  <si>
    <t>010-6824-9921</t>
    <phoneticPr fontId="1" type="noConversion"/>
  </si>
  <si>
    <t>대학병원(수원)간호사</t>
  </si>
  <si>
    <r>
      <rPr>
        <sz val="10"/>
        <color rgb="FF434343"/>
        <rFont val="맑은 고딕"/>
        <family val="2"/>
        <charset val="129"/>
      </rPr>
      <t>대학병원</t>
    </r>
    <r>
      <rPr>
        <sz val="10"/>
        <color rgb="FF434343"/>
        <rFont val="Roboto"/>
        <family val="2"/>
      </rPr>
      <t>(</t>
    </r>
    <r>
      <rPr>
        <sz val="10"/>
        <color rgb="FF434343"/>
        <rFont val="맑은 고딕"/>
        <family val="2"/>
        <charset val="129"/>
      </rPr>
      <t>수원</t>
    </r>
    <r>
      <rPr>
        <sz val="10"/>
        <color rgb="FF434343"/>
        <rFont val="Roboto"/>
        <family val="2"/>
      </rPr>
      <t>)</t>
    </r>
    <r>
      <rPr>
        <sz val="10"/>
        <color rgb="FF434343"/>
        <rFont val="맑은 고딕"/>
        <family val="2"/>
        <charset val="129"/>
      </rPr>
      <t>간호사</t>
    </r>
    <phoneticPr fontId="1" type="noConversion"/>
  </si>
  <si>
    <t>INFJ/ENFJ</t>
  </si>
  <si>
    <t>ISFJ, ENFJ, ESFJ, ESTJ</t>
  </si>
  <si>
    <t>처음엔 낯가리지만 친해지면 장난치는 걸 좋아하고 때론 진지한 대화를 나누며 깊은 생각들을 나누는 걸 좋아하는 사람</t>
  </si>
  <si>
    <t>친구같이 장난스러우면서도 다정하고 배려가 많은 사람</t>
  </si>
  <si>
    <t>동의</t>
    <phoneticPr fontId="1" type="noConversion"/>
  </si>
  <si>
    <t>남</t>
    <phoneticPr fontId="1" type="noConversion"/>
  </si>
  <si>
    <t>전대석</t>
  </si>
  <si>
    <t>전대석</t>
    <phoneticPr fontId="1" type="noConversion"/>
  </si>
  <si>
    <t>010-4002-1614</t>
    <phoneticPr fontId="1" type="noConversion"/>
  </si>
  <si>
    <t>회사원(HR)</t>
  </si>
  <si>
    <r>
      <rPr>
        <sz val="10"/>
        <color rgb="FF434343"/>
        <rFont val="맑은 고딕"/>
        <family val="2"/>
        <charset val="129"/>
      </rPr>
      <t>회사원</t>
    </r>
    <r>
      <rPr>
        <sz val="10"/>
        <color rgb="FF434343"/>
        <rFont val="Roboto"/>
        <family val="2"/>
      </rPr>
      <t>(HR)</t>
    </r>
    <phoneticPr fontId="1" type="noConversion"/>
  </si>
  <si>
    <t>유머러스하면서 예의를 지키려고 노력하는 사람</t>
  </si>
  <si>
    <t>자기관리를 잘하는 사람(운동 등등)</t>
  </si>
  <si>
    <t>INFJ/ENFJ</t>
    <phoneticPr fontId="1" type="noConversion"/>
  </si>
  <si>
    <t>ISFJ, ENFJ, ESFJ, ESTJ</t>
    <phoneticPr fontId="1" type="noConversion"/>
  </si>
  <si>
    <r>
      <rPr>
        <sz val="10"/>
        <color rgb="FF434343"/>
        <rFont val="맑은 고딕"/>
        <family val="2"/>
        <charset val="129"/>
      </rPr>
      <t>동일</t>
    </r>
    <phoneticPr fontId="1" type="noConversion"/>
  </si>
  <si>
    <r>
      <rPr>
        <sz val="10"/>
        <color rgb="FF434343"/>
        <rFont val="맑은 고딕"/>
        <family val="2"/>
        <charset val="129"/>
      </rPr>
      <t>처음엔</t>
    </r>
    <r>
      <rPr>
        <sz val="10"/>
        <color rgb="FF434343"/>
        <rFont val="Roboto"/>
        <family val="2"/>
      </rPr>
      <t xml:space="preserve"> </t>
    </r>
    <r>
      <rPr>
        <sz val="10"/>
        <color rgb="FF434343"/>
        <rFont val="맑은 고딕"/>
        <family val="2"/>
        <charset val="129"/>
      </rPr>
      <t>낯가리지만</t>
    </r>
    <r>
      <rPr>
        <sz val="10"/>
        <color rgb="FF434343"/>
        <rFont val="Roboto"/>
        <family val="2"/>
      </rPr>
      <t xml:space="preserve"> </t>
    </r>
    <r>
      <rPr>
        <sz val="10"/>
        <color rgb="FF434343"/>
        <rFont val="맑은 고딕"/>
        <family val="2"/>
        <charset val="129"/>
      </rPr>
      <t>친해지면</t>
    </r>
    <r>
      <rPr>
        <sz val="10"/>
        <color rgb="FF434343"/>
        <rFont val="Roboto"/>
        <family val="2"/>
      </rPr>
      <t xml:space="preserve"> </t>
    </r>
    <r>
      <rPr>
        <sz val="10"/>
        <color rgb="FF434343"/>
        <rFont val="맑은 고딕"/>
        <family val="2"/>
        <charset val="129"/>
      </rPr>
      <t>장난치는</t>
    </r>
    <r>
      <rPr>
        <sz val="10"/>
        <color rgb="FF434343"/>
        <rFont val="Roboto"/>
        <family val="2"/>
      </rPr>
      <t xml:space="preserve"> </t>
    </r>
    <r>
      <rPr>
        <sz val="10"/>
        <color rgb="FF434343"/>
        <rFont val="맑은 고딕"/>
        <family val="2"/>
        <charset val="129"/>
      </rPr>
      <t>걸</t>
    </r>
    <r>
      <rPr>
        <sz val="10"/>
        <color rgb="FF434343"/>
        <rFont val="Roboto"/>
        <family val="2"/>
      </rPr>
      <t xml:space="preserve"> </t>
    </r>
    <r>
      <rPr>
        <sz val="10"/>
        <color rgb="FF434343"/>
        <rFont val="맑은 고딕"/>
        <family val="2"/>
        <charset val="129"/>
      </rPr>
      <t>좋아하고</t>
    </r>
    <r>
      <rPr>
        <sz val="10"/>
        <color rgb="FF434343"/>
        <rFont val="Roboto"/>
        <family val="2"/>
      </rPr>
      <t xml:space="preserve"> </t>
    </r>
    <r>
      <rPr>
        <sz val="10"/>
        <color rgb="FF434343"/>
        <rFont val="맑은 고딕"/>
        <family val="2"/>
        <charset val="129"/>
      </rPr>
      <t>때론</t>
    </r>
    <r>
      <rPr>
        <sz val="10"/>
        <color rgb="FF434343"/>
        <rFont val="Roboto"/>
        <family val="2"/>
      </rPr>
      <t xml:space="preserve"> </t>
    </r>
    <r>
      <rPr>
        <sz val="10"/>
        <color rgb="FF434343"/>
        <rFont val="맑은 고딕"/>
        <family val="2"/>
        <charset val="129"/>
      </rPr>
      <t>진지한</t>
    </r>
    <r>
      <rPr>
        <sz val="10"/>
        <color rgb="FF434343"/>
        <rFont val="Roboto"/>
        <family val="2"/>
      </rPr>
      <t xml:space="preserve"> </t>
    </r>
    <r>
      <rPr>
        <sz val="10"/>
        <color rgb="FF434343"/>
        <rFont val="맑은 고딕"/>
        <family val="2"/>
        <charset val="129"/>
      </rPr>
      <t>대화를</t>
    </r>
    <r>
      <rPr>
        <sz val="10"/>
        <color rgb="FF434343"/>
        <rFont val="Roboto"/>
        <family val="2"/>
      </rPr>
      <t xml:space="preserve"> </t>
    </r>
    <r>
      <rPr>
        <sz val="10"/>
        <color rgb="FF434343"/>
        <rFont val="맑은 고딕"/>
        <family val="2"/>
        <charset val="129"/>
      </rPr>
      <t>나누며</t>
    </r>
    <r>
      <rPr>
        <sz val="10"/>
        <color rgb="FF434343"/>
        <rFont val="Roboto"/>
        <family val="2"/>
      </rPr>
      <t xml:space="preserve"> </t>
    </r>
    <r>
      <rPr>
        <sz val="10"/>
        <color rgb="FF434343"/>
        <rFont val="맑은 고딕"/>
        <family val="2"/>
        <charset val="129"/>
      </rPr>
      <t>깊은</t>
    </r>
    <r>
      <rPr>
        <sz val="10"/>
        <color rgb="FF434343"/>
        <rFont val="Roboto"/>
        <family val="2"/>
      </rPr>
      <t xml:space="preserve"> </t>
    </r>
    <r>
      <rPr>
        <sz val="10"/>
        <color rgb="FF434343"/>
        <rFont val="맑은 고딕"/>
        <family val="2"/>
        <charset val="129"/>
      </rPr>
      <t>생각들을</t>
    </r>
    <r>
      <rPr>
        <sz val="10"/>
        <color rgb="FF434343"/>
        <rFont val="Roboto"/>
        <family val="2"/>
      </rPr>
      <t xml:space="preserve"> </t>
    </r>
    <r>
      <rPr>
        <sz val="10"/>
        <color rgb="FF434343"/>
        <rFont val="맑은 고딕"/>
        <family val="2"/>
        <charset val="129"/>
      </rPr>
      <t>나누는</t>
    </r>
    <r>
      <rPr>
        <sz val="10"/>
        <color rgb="FF434343"/>
        <rFont val="Roboto"/>
        <family val="2"/>
      </rPr>
      <t xml:space="preserve"> </t>
    </r>
    <r>
      <rPr>
        <sz val="10"/>
        <color rgb="FF434343"/>
        <rFont val="맑은 고딕"/>
        <family val="2"/>
        <charset val="129"/>
      </rPr>
      <t>걸</t>
    </r>
    <r>
      <rPr>
        <sz val="10"/>
        <color rgb="FF434343"/>
        <rFont val="Roboto"/>
        <family val="2"/>
      </rPr>
      <t xml:space="preserve"> </t>
    </r>
    <r>
      <rPr>
        <sz val="10"/>
        <color rgb="FF434343"/>
        <rFont val="맑은 고딕"/>
        <family val="2"/>
        <charset val="129"/>
      </rPr>
      <t>좋아하는</t>
    </r>
    <r>
      <rPr>
        <sz val="10"/>
        <color rgb="FF434343"/>
        <rFont val="Roboto"/>
        <family val="2"/>
      </rPr>
      <t xml:space="preserve"> </t>
    </r>
    <r>
      <rPr>
        <sz val="10"/>
        <color rgb="FF434343"/>
        <rFont val="맑은 고딕"/>
        <family val="2"/>
        <charset val="129"/>
      </rPr>
      <t>사람</t>
    </r>
    <phoneticPr fontId="1" type="noConversion"/>
  </si>
  <si>
    <t>친구같이 장난스러우면서도 다정하고 배려가 많은 사람</t>
    <phoneticPr fontId="1" type="noConversion"/>
  </si>
  <si>
    <t>병원직군, 자영업, 공무원</t>
    <phoneticPr fontId="1" type="noConversion"/>
  </si>
  <si>
    <r>
      <rPr>
        <sz val="10"/>
        <color rgb="FF434343"/>
        <rFont val="맑은 고딕"/>
        <family val="2"/>
        <charset val="129"/>
      </rPr>
      <t>유머러스하면서</t>
    </r>
    <r>
      <rPr>
        <sz val="10"/>
        <color rgb="FF434343"/>
        <rFont val="Roboto"/>
        <family val="2"/>
      </rPr>
      <t xml:space="preserve"> </t>
    </r>
    <r>
      <rPr>
        <sz val="10"/>
        <color rgb="FF434343"/>
        <rFont val="맑은 고딕"/>
        <family val="2"/>
        <charset val="129"/>
      </rPr>
      <t>예의를</t>
    </r>
    <r>
      <rPr>
        <sz val="10"/>
        <color rgb="FF434343"/>
        <rFont val="Roboto"/>
        <family val="2"/>
      </rPr>
      <t xml:space="preserve"> </t>
    </r>
    <r>
      <rPr>
        <sz val="10"/>
        <color rgb="FF434343"/>
        <rFont val="맑은 고딕"/>
        <family val="2"/>
        <charset val="129"/>
      </rPr>
      <t>지키려고</t>
    </r>
    <r>
      <rPr>
        <sz val="10"/>
        <color rgb="FF434343"/>
        <rFont val="Roboto"/>
        <family val="2"/>
      </rPr>
      <t xml:space="preserve"> </t>
    </r>
    <r>
      <rPr>
        <sz val="10"/>
        <color rgb="FF434343"/>
        <rFont val="맑은 고딕"/>
        <family val="2"/>
        <charset val="129"/>
      </rPr>
      <t>노력하는</t>
    </r>
    <r>
      <rPr>
        <sz val="10"/>
        <color rgb="FF434343"/>
        <rFont val="Roboto"/>
        <family val="2"/>
      </rPr>
      <t xml:space="preserve"> </t>
    </r>
    <r>
      <rPr>
        <sz val="10"/>
        <color rgb="FF434343"/>
        <rFont val="맑은 고딕"/>
        <family val="2"/>
        <charset val="129"/>
      </rPr>
      <t>사람</t>
    </r>
    <phoneticPr fontId="1" type="noConversion"/>
  </si>
  <si>
    <t>자기관리를 잘하는 사람(운동 등등)</t>
    <phoneticPr fontId="1" type="noConversion"/>
  </si>
  <si>
    <t>안녕하세요!
잘 부탁드립니다 모든 것에서 좋은 점을 찾을 수 있다 !</t>
    <phoneticPr fontId="1" type="noConversion"/>
  </si>
  <si>
    <t>남</t>
    <phoneticPr fontId="1" type="noConversion"/>
  </si>
  <si>
    <t>이원준</t>
  </si>
  <si>
    <t>이원준</t>
    <phoneticPr fontId="1" type="noConversion"/>
  </si>
  <si>
    <t>010-5883-0450</t>
    <phoneticPr fontId="1" type="noConversion"/>
  </si>
  <si>
    <t>24~31</t>
    <phoneticPr fontId="1" type="noConversion"/>
  </si>
  <si>
    <t>160~165</t>
    <phoneticPr fontId="1" type="noConversion"/>
  </si>
  <si>
    <t>INFP</t>
    <phoneticPr fontId="1" type="noConversion"/>
  </si>
  <si>
    <t>무관</t>
    <phoneticPr fontId="1" type="noConversion"/>
  </si>
  <si>
    <r>
      <rPr>
        <sz val="10"/>
        <color rgb="FF434343"/>
        <rFont val="맑은 고딕"/>
        <family val="2"/>
        <charset val="129"/>
      </rPr>
      <t>무관</t>
    </r>
    <phoneticPr fontId="1" type="noConversion"/>
  </si>
  <si>
    <t>무교</t>
    <phoneticPr fontId="1" type="noConversion"/>
  </si>
  <si>
    <t>성실하고 다정한 사람</t>
  </si>
  <si>
    <r>
      <rPr>
        <sz val="10"/>
        <color rgb="FF434343"/>
        <rFont val="맑은 고딕"/>
        <family val="2"/>
        <charset val="129"/>
      </rPr>
      <t>성실하고</t>
    </r>
    <r>
      <rPr>
        <sz val="10"/>
        <color rgb="FF434343"/>
        <rFont val="Roboto"/>
        <family val="2"/>
      </rPr>
      <t xml:space="preserve"> </t>
    </r>
    <r>
      <rPr>
        <sz val="10"/>
        <color rgb="FF434343"/>
        <rFont val="맑은 고딕"/>
        <family val="2"/>
        <charset val="129"/>
      </rPr>
      <t>다정한</t>
    </r>
    <r>
      <rPr>
        <sz val="10"/>
        <color rgb="FF434343"/>
        <rFont val="Roboto"/>
        <family val="2"/>
      </rPr>
      <t xml:space="preserve"> </t>
    </r>
    <r>
      <rPr>
        <sz val="10"/>
        <color rgb="FF434343"/>
        <rFont val="맑은 고딕"/>
        <family val="2"/>
        <charset val="129"/>
      </rPr>
      <t>사람</t>
    </r>
    <phoneticPr fontId="1" type="noConversion"/>
  </si>
  <si>
    <t>강아지상에 손 예쁘고 쌍커풀 있는 사람</t>
  </si>
  <si>
    <t>강아지상에 손 예쁘고 쌍커풀 있는 사람</t>
    <phoneticPr fontId="1" type="noConversion"/>
  </si>
  <si>
    <t>동의</t>
    <phoneticPr fontId="1" type="noConversion"/>
  </si>
  <si>
    <r>
      <rPr>
        <sz val="10"/>
        <color rgb="FF434343"/>
        <rFont val="맑은 고딕"/>
        <family val="2"/>
        <charset val="129"/>
      </rPr>
      <t>약국</t>
    </r>
    <r>
      <rPr>
        <sz val="10"/>
        <color rgb="FF434343"/>
        <rFont val="Roboto"/>
        <family val="2"/>
      </rPr>
      <t>(</t>
    </r>
    <r>
      <rPr>
        <sz val="10"/>
        <color rgb="FF434343"/>
        <rFont val="맑은 고딕"/>
        <family val="2"/>
        <charset val="129"/>
      </rPr>
      <t>사무직</t>
    </r>
    <r>
      <rPr>
        <sz val="10"/>
        <color rgb="FF434343"/>
        <rFont val="Roboto"/>
        <family val="2"/>
      </rPr>
      <t>)</t>
    </r>
    <phoneticPr fontId="1" type="noConversion"/>
  </si>
  <si>
    <t>약국(사무직)</t>
  </si>
  <si>
    <t>1</t>
    <phoneticPr fontId="1" type="noConversion"/>
  </si>
  <si>
    <t>11일 10시</t>
    <phoneticPr fontId="1" type="noConversion"/>
  </si>
  <si>
    <t>1</t>
    <phoneticPr fontId="1" type="noConversion"/>
  </si>
  <si>
    <t>병원 매니저(한강수병원 출장검진팀)</t>
  </si>
  <si>
    <t>낯을 가리지만 친해지면 누구보다 재밌고 대화 잘 통하는 사람</t>
  </si>
  <si>
    <t>29일</t>
    <phoneticPr fontId="1" type="noConversion"/>
  </si>
  <si>
    <t>장동철</t>
    <phoneticPr fontId="1" type="noConversion"/>
  </si>
  <si>
    <t>동일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</si>
</sst>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0000\-0000"/>
  </numFmts>
  <fonts count="26">
    <font>
      <sz val="11"/>
      <color theme="1"/>
      <name val="맑은 고딕"/>
      <family val="2"/>
      <charset val="129"/>
      <scheme val="minor"/>
    </font>
    <font>
      <sz val="8"/>
      <name val="맑은 고딕"/>
      <family val="2"/>
      <charset val="129"/>
      <scheme val="minor"/>
    </font>
    <font>
      <b/>
      <sz val="13"/>
      <color theme="1"/>
      <name val="메이플스토리"/>
      <family val="3"/>
      <charset val="129"/>
    </font>
    <font>
      <sz val="16"/>
      <color theme="1"/>
      <name val="맑은 고딕"/>
      <family val="3"/>
      <charset val="129"/>
      <scheme val="minor"/>
    </font>
    <font>
      <sz val="14"/>
      <color theme="1"/>
      <name val="맑은 고딕"/>
      <family val="2"/>
      <charset val="129"/>
      <scheme val="minor"/>
    </font>
    <font>
      <b/>
      <sz val="11"/>
      <color theme="1"/>
      <name val="메이플스토리"/>
      <family val="3"/>
      <charset val="129"/>
    </font>
    <font>
      <sz val="12"/>
      <color theme="1"/>
      <name val="맑은 고딕"/>
      <family val="2"/>
      <charset val="129"/>
      <scheme val="minor"/>
    </font>
    <font>
      <sz val="12"/>
      <color theme="1"/>
      <name val="맑은 고딕"/>
      <family val="3"/>
      <charset val="129"/>
      <scheme val="minor"/>
    </font>
    <font>
      <b/>
      <sz val="12"/>
      <color theme="1"/>
      <name val="맑은 고딕"/>
      <family val="3"/>
      <charset val="129"/>
      <scheme val="minor"/>
    </font>
    <font>
      <b/>
      <sz val="11"/>
      <color theme="1"/>
      <name val="맑은 고딕"/>
      <family val="3"/>
      <charset val="129"/>
      <scheme val="minor"/>
    </font>
    <font>
      <sz val="10"/>
      <color theme="1"/>
      <name val="맑은 고딕"/>
      <family val="2"/>
      <scheme val="minor"/>
    </font>
    <font>
      <sz val="10"/>
      <color rgb="FF434343"/>
      <name val="Roboto"/>
      <family val="2"/>
    </font>
    <font>
      <b/>
      <sz val="14"/>
      <color theme="1"/>
      <name val="메이플스토리"/>
      <family val="3"/>
      <charset val="129"/>
    </font>
    <font>
      <b/>
      <sz val="48"/>
      <color theme="1"/>
      <name val="메이플스토리"/>
      <family val="3"/>
      <charset val="129"/>
    </font>
    <font>
      <sz val="10"/>
      <color theme="1"/>
      <name val="맑은 고딕"/>
      <family val="2"/>
      <charset val="129"/>
      <scheme val="minor"/>
    </font>
    <font>
      <sz val="10"/>
      <color rgb="FF434343"/>
      <name val="돋움"/>
      <family val="3"/>
      <charset val="129"/>
    </font>
    <font>
      <sz val="10"/>
      <color theme="1"/>
      <name val="Arial"/>
      <family val="2"/>
    </font>
    <font>
      <sz val="10"/>
      <color theme="1"/>
      <name val="돋움"/>
      <family val="3"/>
      <charset val="129"/>
    </font>
    <font>
      <b/>
      <sz val="12"/>
      <color theme="1"/>
      <name val="메이플스토리"/>
      <family val="3"/>
      <charset val="129"/>
    </font>
    <font>
      <b/>
      <sz val="18"/>
      <color theme="1"/>
      <name val="맑은 고딕"/>
      <family val="3"/>
      <charset val="129"/>
      <scheme val="minor"/>
    </font>
    <font>
      <sz val="28"/>
      <color theme="1"/>
      <name val="맑은 고딕"/>
      <family val="2"/>
      <charset val="129"/>
      <scheme val="minor"/>
    </font>
    <font>
      <b/>
      <sz val="28"/>
      <color theme="1"/>
      <name val="메이플스토리"/>
      <family val="3"/>
      <charset val="129"/>
    </font>
    <font>
      <sz val="20"/>
      <color theme="1"/>
      <name val="메이플스토리"/>
      <family val="3"/>
      <charset val="129"/>
    </font>
    <font>
      <sz val="28"/>
      <color theme="1"/>
      <name val="메이플스토리"/>
      <family val="3"/>
      <charset val="129"/>
    </font>
    <font>
      <sz val="10"/>
      <color rgb="FF434343"/>
      <name val="맑은 고딕"/>
      <family val="2"/>
      <charset val="129"/>
    </font>
    <font>
      <sz val="11"/>
      <name val="돋움"/>
      <family val="3"/>
      <charset val="129"/>
    </font>
  </fonts>
  <fills count="10">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FF"/>
        <bgColor indexed="64"/>
      </patternFill>
    </fill>
    <fill>
      <patternFill patternType="solid">
        <fgColor rgb="FFF8F9FA"/>
        <bgColor indexed="64"/>
      </patternFill>
    </fill>
    <fill>
      <patternFill patternType="solid">
        <fgColor rgb="FFFF99FF"/>
        <bgColor indexed="64"/>
      </patternFill>
    </fill>
    <fill>
      <patternFill patternType="solid">
        <fgColor rgb="FFFFC000"/>
        <bgColor indexed="64"/>
      </patternFill>
    </fill>
    <fill>
      <patternFill patternType="solid">
        <fgColor theme="4" tint="0.39997558519241921"/>
        <bgColor indexed="64"/>
      </patternFill>
    </fill>
  </fills>
  <borders count="46">
    <border>
      <left/>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style="thin">
        <color indexed="64"/>
      </left>
      <right/>
      <top style="medium">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right style="medium">
        <color indexed="64"/>
      </right>
      <top style="medium">
        <color indexed="64"/>
      </top>
      <bottom/>
      <diagonal/>
    </border>
    <border>
      <left/>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right style="medium">
        <color rgb="FF442F65"/>
      </right>
      <top style="medium">
        <color rgb="FFCCCCCC"/>
      </top>
      <bottom style="medium">
        <color rgb="FFF8F9FA"/>
      </bottom>
      <diagonal/>
    </border>
    <border>
      <left style="medium">
        <color rgb="FFCCCCCC"/>
      </left>
      <right style="medium">
        <color rgb="FFFFFFFF"/>
      </right>
      <top style="medium">
        <color rgb="FF442F65"/>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F8F9FA"/>
      </right>
      <top style="medium">
        <color rgb="FFCCCCCC"/>
      </top>
      <bottom style="medium">
        <color rgb="FF442F65"/>
      </bottom>
      <diagonal/>
    </border>
  </borders>
  <cellStyleXfs count="2">
    <xf numFmtId="0" fontId="0" fillId="0" borderId="0">
      <alignment vertical="center"/>
    </xf>
    <xf numFmtId="0" fontId="25" fillId="0" borderId="0">
      <alignment vertical="center"/>
    </xf>
  </cellStyleXfs>
  <cellXfs count="215">
    <xf numFmtId="0" fontId="0" fillId="0" borderId="0" xfId="0">
      <alignment vertical="center"/>
    </xf>
    <xf numFmtId="0" fontId="0" fillId="0" borderId="0" xfId="0">
      <alignment vertical="center"/>
    </xf>
    <xf numFmtId="0" fontId="0" fillId="0" borderId="0" xfId="0" applyAlignment="1">
      <alignment vertical="center"/>
    </xf>
    <xf numFmtId="0" fontId="0" fillId="0" borderId="0" xfId="0" applyAlignment="1">
      <alignment horizontal="center" vertical="center"/>
    </xf>
    <xf numFmtId="0" fontId="0" fillId="0" borderId="2" xfId="0" applyBorder="1">
      <alignment vertical="center"/>
    </xf>
    <xf numFmtId="0" fontId="0" fillId="0" borderId="2" xfId="0" applyFill="1" applyBorder="1">
      <alignment vertical="center"/>
    </xf>
    <xf numFmtId="0" fontId="7" fillId="2" borderId="2" xfId="0" applyFont="1" applyFill="1" applyBorder="1">
      <alignment vertical="center"/>
    </xf>
    <xf numFmtId="0" fontId="7" fillId="0" borderId="2" xfId="0" applyFont="1" applyFill="1" applyBorder="1">
      <alignment vertical="center"/>
    </xf>
    <xf numFmtId="0" fontId="7" fillId="3" borderId="2" xfId="0" applyFont="1" applyFill="1" applyBorder="1">
      <alignment vertical="center"/>
    </xf>
    <xf numFmtId="0" fontId="8" fillId="0" borderId="2" xfId="0" applyFont="1" applyBorder="1">
      <alignment vertical="center"/>
    </xf>
    <xf numFmtId="0" fontId="8" fillId="0" borderId="2" xfId="0" applyFont="1" applyBorder="1" applyAlignment="1">
      <alignment vertical="center" wrapText="1"/>
    </xf>
    <xf numFmtId="0" fontId="9" fillId="0" borderId="2" xfId="0" applyFont="1" applyBorder="1" applyAlignment="1">
      <alignment vertical="center" wrapText="1"/>
    </xf>
    <xf numFmtId="0" fontId="0" fillId="0" borderId="0" xfId="0"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3" fillId="0" borderId="20" xfId="0" applyFont="1" applyFill="1" applyBorder="1" applyAlignment="1">
      <alignment horizontal="center" vertical="center"/>
    </xf>
    <xf numFmtId="0" fontId="4" fillId="0" borderId="10" xfId="0" applyFont="1" applyBorder="1" applyAlignment="1">
      <alignment horizontal="center" vertical="center"/>
    </xf>
    <xf numFmtId="0" fontId="10" fillId="0" borderId="2" xfId="0" applyFont="1" applyBorder="1" applyAlignment="1">
      <alignment horizontal="left" vertical="top"/>
    </xf>
    <xf numFmtId="0" fontId="8" fillId="0" borderId="35" xfId="0" applyFont="1" applyFill="1" applyBorder="1">
      <alignment vertical="center"/>
    </xf>
    <xf numFmtId="0" fontId="7" fillId="4" borderId="2" xfId="0" applyFont="1" applyFill="1" applyBorder="1">
      <alignment vertical="center"/>
    </xf>
    <xf numFmtId="0" fontId="12" fillId="0" borderId="34" xfId="0" applyFont="1" applyBorder="1" applyAlignment="1">
      <alignment horizontal="center" vertical="center"/>
    </xf>
    <xf numFmtId="0" fontId="10" fillId="0" borderId="2" xfId="0" applyFont="1" applyBorder="1" applyAlignment="1">
      <alignment horizontal="left" vertical="center"/>
    </xf>
    <xf numFmtId="0" fontId="2" fillId="0" borderId="10" xfId="0" applyFont="1" applyBorder="1" applyAlignment="1">
      <alignment horizontal="center" vertical="center"/>
    </xf>
    <xf numFmtId="0" fontId="11" fillId="0" borderId="2" xfId="0" applyFont="1" applyFill="1" applyBorder="1" applyAlignment="1">
      <alignment horizontal="left" vertical="center" wrapText="1"/>
    </xf>
    <xf numFmtId="176" fontId="11" fillId="6" borderId="2" xfId="0" applyNumberFormat="1" applyFont="1" applyFill="1" applyBorder="1" applyAlignment="1">
      <alignment horizontal="left" vertical="center" wrapText="1"/>
    </xf>
    <xf numFmtId="0" fontId="10" fillId="0" borderId="2" xfId="0" applyFont="1" applyFill="1" applyBorder="1" applyAlignment="1">
      <alignment horizontal="left" vertical="top"/>
    </xf>
    <xf numFmtId="0" fontId="10" fillId="0" borderId="2" xfId="0" applyFont="1" applyFill="1" applyBorder="1" applyAlignment="1">
      <alignment horizontal="left" vertical="center"/>
    </xf>
    <xf numFmtId="0" fontId="2" fillId="0" borderId="8" xfId="0" applyFont="1" applyFill="1" applyBorder="1" applyAlignment="1">
      <alignment horizontal="center" vertical="center"/>
    </xf>
    <xf numFmtId="0" fontId="7" fillId="0" borderId="2" xfId="0" applyFont="1" applyFill="1" applyBorder="1" applyAlignment="1">
      <alignment vertical="center" wrapText="1"/>
    </xf>
    <xf numFmtId="0" fontId="4" fillId="0" borderId="20" xfId="0" applyFont="1" applyBorder="1" applyAlignment="1">
      <alignment horizontal="center" vertical="center"/>
    </xf>
    <xf numFmtId="0" fontId="2" fillId="0" borderId="8" xfId="0" applyFont="1" applyFill="1" applyBorder="1" applyAlignment="1">
      <alignment horizontal="center" vertical="center"/>
    </xf>
    <xf numFmtId="0" fontId="2" fillId="0" borderId="10" xfId="0" applyFont="1" applyBorder="1" applyAlignment="1">
      <alignment horizontal="center" vertical="center"/>
    </xf>
    <xf numFmtId="176" fontId="0" fillId="0" borderId="0" xfId="0" applyNumberFormat="1">
      <alignment vertical="center"/>
    </xf>
    <xf numFmtId="0" fontId="10" fillId="0" borderId="13" xfId="0" applyFont="1" applyBorder="1" applyAlignment="1">
      <alignment horizontal="left" vertical="center"/>
    </xf>
    <xf numFmtId="0" fontId="11" fillId="5" borderId="2" xfId="0" applyFont="1" applyFill="1" applyBorder="1" applyAlignment="1">
      <alignment vertical="center" wrapText="1"/>
    </xf>
    <xf numFmtId="0" fontId="11" fillId="6" borderId="2" xfId="0" applyFont="1" applyFill="1" applyBorder="1" applyAlignment="1">
      <alignment vertical="center" wrapText="1"/>
    </xf>
    <xf numFmtId="0" fontId="10" fillId="4" borderId="2" xfId="0" applyFont="1" applyFill="1" applyBorder="1" applyAlignment="1">
      <alignment horizontal="left" vertical="center"/>
    </xf>
    <xf numFmtId="0" fontId="0" fillId="0" borderId="2" xfId="0" applyBorder="1" applyAlignment="1">
      <alignment horizontal="left" vertical="center"/>
    </xf>
    <xf numFmtId="0" fontId="0" fillId="0" borderId="0" xfId="0" applyNumberFormat="1">
      <alignment vertical="center"/>
    </xf>
    <xf numFmtId="0" fontId="10" fillId="0" borderId="2" xfId="0" applyNumberFormat="1" applyFont="1" applyBorder="1" applyAlignment="1">
      <alignment horizontal="left" vertical="center"/>
    </xf>
    <xf numFmtId="0" fontId="10" fillId="0" borderId="2" xfId="0" quotePrefix="1" applyNumberFormat="1" applyFont="1" applyBorder="1" applyAlignment="1">
      <alignment horizontal="left" vertical="center"/>
    </xf>
    <xf numFmtId="0" fontId="14" fillId="0" borderId="0" xfId="0" applyFont="1">
      <alignment vertical="center"/>
    </xf>
    <xf numFmtId="0" fontId="14" fillId="0" borderId="2" xfId="0" applyFont="1" applyBorder="1">
      <alignment vertical="center"/>
    </xf>
    <xf numFmtId="0" fontId="14" fillId="0" borderId="13" xfId="0" applyFont="1" applyFill="1" applyBorder="1">
      <alignment vertical="center"/>
    </xf>
    <xf numFmtId="0" fontId="0" fillId="0" borderId="2" xfId="0" applyNumberFormat="1" applyBorder="1" applyAlignment="1">
      <alignment horizontal="center" vertical="center"/>
    </xf>
    <xf numFmtId="0" fontId="11" fillId="0" borderId="2" xfId="0" applyNumberFormat="1" applyFont="1" applyFill="1" applyBorder="1" applyAlignment="1">
      <alignment horizontal="left" vertical="center" wrapText="1"/>
    </xf>
    <xf numFmtId="0" fontId="11" fillId="6" borderId="2" xfId="0" applyNumberFormat="1" applyFont="1" applyFill="1" applyBorder="1" applyAlignment="1">
      <alignment horizontal="left" vertical="center" wrapText="1"/>
    </xf>
    <xf numFmtId="0" fontId="0" fillId="4" borderId="2" xfId="0" applyFill="1" applyBorder="1">
      <alignment vertical="center"/>
    </xf>
    <xf numFmtId="0" fontId="0" fillId="4" borderId="0" xfId="0" applyNumberFormat="1" applyFill="1">
      <alignment vertical="center"/>
    </xf>
    <xf numFmtId="49" fontId="0" fillId="0" borderId="0" xfId="0" applyNumberFormat="1">
      <alignment vertical="center"/>
    </xf>
    <xf numFmtId="0" fontId="0" fillId="0" borderId="2" xfId="0" applyFill="1" applyBorder="1" applyAlignment="1">
      <alignment horizontal="left" vertical="center"/>
    </xf>
    <xf numFmtId="0" fontId="11" fillId="5" borderId="2" xfId="0" applyFont="1" applyFill="1" applyBorder="1" applyAlignment="1">
      <alignment horizontal="left" vertical="center" wrapText="1"/>
    </xf>
    <xf numFmtId="0" fontId="11" fillId="6" borderId="2" xfId="0" applyFont="1" applyFill="1" applyBorder="1" applyAlignment="1">
      <alignment horizontal="left" vertical="center" wrapText="1"/>
    </xf>
    <xf numFmtId="176" fontId="11" fillId="5" borderId="2" xfId="0" applyNumberFormat="1" applyFont="1" applyFill="1" applyBorder="1" applyAlignment="1">
      <alignment horizontal="left" vertical="center" wrapText="1"/>
    </xf>
    <xf numFmtId="0" fontId="10" fillId="0" borderId="2" xfId="0" applyFont="1" applyBorder="1" applyAlignment="1">
      <alignment horizontal="left" vertical="top" wrapText="1"/>
    </xf>
    <xf numFmtId="0" fontId="11" fillId="5" borderId="41" xfId="0" applyFont="1" applyFill="1" applyBorder="1" applyAlignment="1">
      <alignment vertical="center" wrapText="1"/>
    </xf>
    <xf numFmtId="0" fontId="10" fillId="0" borderId="0" xfId="0" applyFont="1" applyBorder="1" applyAlignment="1">
      <alignment horizontal="left" vertical="center"/>
    </xf>
    <xf numFmtId="0" fontId="15" fillId="5" borderId="2" xfId="0" applyFont="1" applyFill="1" applyBorder="1" applyAlignment="1">
      <alignment horizontal="left" vertical="center" wrapText="1"/>
    </xf>
    <xf numFmtId="0" fontId="19" fillId="0" borderId="0" xfId="0" applyFont="1" applyAlignment="1">
      <alignment horizontal="right" vertical="center"/>
    </xf>
    <xf numFmtId="0" fontId="20" fillId="0" borderId="0" xfId="0" applyFont="1">
      <alignment vertical="center"/>
    </xf>
    <xf numFmtId="0" fontId="21" fillId="0" borderId="0" xfId="0" applyFont="1" applyFill="1" applyBorder="1" applyAlignment="1">
      <alignment vertical="center"/>
    </xf>
    <xf numFmtId="0" fontId="21" fillId="0" borderId="24" xfId="0" applyFont="1" applyFill="1" applyBorder="1" applyAlignment="1">
      <alignment vertical="center"/>
    </xf>
    <xf numFmtId="0" fontId="0" fillId="0" borderId="24" xfId="0" applyBorder="1">
      <alignment vertical="center"/>
    </xf>
    <xf numFmtId="0" fontId="20" fillId="0" borderId="24" xfId="0" applyFont="1" applyBorder="1">
      <alignment vertical="center"/>
    </xf>
    <xf numFmtId="0" fontId="21" fillId="0" borderId="0" xfId="0" applyFont="1" applyFill="1" applyBorder="1" applyAlignment="1">
      <alignment horizontal="center" vertical="center"/>
    </xf>
    <xf numFmtId="0" fontId="2" fillId="0" borderId="10" xfId="0" applyFont="1" applyBorder="1" applyAlignment="1">
      <alignment horizontal="center" vertical="center"/>
    </xf>
    <xf numFmtId="0" fontId="2" fillId="0" borderId="8" xfId="0" applyFont="1" applyFill="1" applyBorder="1" applyAlignment="1">
      <alignment horizontal="center" vertical="center"/>
    </xf>
    <xf numFmtId="0" fontId="0" fillId="0" borderId="0" xfId="0" applyAlignment="1">
      <alignment horizontal="center" vertical="center"/>
    </xf>
    <xf numFmtId="0" fontId="22" fillId="0" borderId="0" xfId="0" applyFont="1" applyFill="1" applyBorder="1" applyAlignment="1">
      <alignment horizontal="center" vertical="center"/>
    </xf>
    <xf numFmtId="0" fontId="23" fillId="0" borderId="0" xfId="0" applyFont="1" applyFill="1" applyBorder="1" applyAlignment="1">
      <alignment vertical="center"/>
    </xf>
    <xf numFmtId="0" fontId="23" fillId="0" borderId="0" xfId="0" applyFont="1" applyFill="1" applyBorder="1" applyAlignment="1">
      <alignment horizontal="center" vertical="center"/>
    </xf>
    <xf numFmtId="0" fontId="16" fillId="5" borderId="42" xfId="0" applyFont="1" applyFill="1" applyBorder="1" applyAlignment="1">
      <alignment vertical="center" wrapText="1"/>
    </xf>
    <xf numFmtId="0" fontId="11" fillId="6" borderId="43" xfId="0" applyFont="1" applyFill="1" applyBorder="1" applyAlignment="1">
      <alignment vertical="center" wrapText="1"/>
    </xf>
    <xf numFmtId="0" fontId="16" fillId="6" borderId="43" xfId="0" applyFont="1" applyFill="1" applyBorder="1" applyAlignment="1">
      <alignment vertical="center" wrapText="1"/>
    </xf>
    <xf numFmtId="0" fontId="11" fillId="5" borderId="44" xfId="0" applyFont="1" applyFill="1" applyBorder="1" applyAlignment="1">
      <alignment vertical="center" wrapText="1"/>
    </xf>
    <xf numFmtId="0" fontId="16" fillId="5" borderId="44" xfId="0" applyFont="1" applyFill="1" applyBorder="1" applyAlignment="1">
      <alignment vertical="center" wrapText="1"/>
    </xf>
    <xf numFmtId="0" fontId="16" fillId="6" borderId="45" xfId="0" applyFont="1" applyFill="1" applyBorder="1" applyAlignment="1">
      <alignment vertical="center" wrapText="1"/>
    </xf>
    <xf numFmtId="0" fontId="15" fillId="6" borderId="2" xfId="0" applyFont="1" applyFill="1" applyBorder="1" applyAlignment="1">
      <alignment horizontal="left" vertical="center" wrapText="1"/>
    </xf>
    <xf numFmtId="0" fontId="0" fillId="0" borderId="0" xfId="0" applyAlignment="1">
      <alignment horizontal="left" vertical="center"/>
    </xf>
    <xf numFmtId="49" fontId="0" fillId="0" borderId="0" xfId="0" applyNumberFormat="1" applyAlignment="1">
      <alignment horizontal="left" vertical="center"/>
    </xf>
    <xf numFmtId="0" fontId="0" fillId="0" borderId="0" xfId="0" applyNumberFormat="1" applyFill="1" applyAlignment="1">
      <alignment horizontal="left" vertical="center"/>
    </xf>
    <xf numFmtId="0" fontId="0" fillId="0" borderId="0" xfId="0" applyNumberFormat="1" applyFill="1" applyBorder="1" applyAlignment="1">
      <alignment horizontal="left" vertical="center"/>
    </xf>
    <xf numFmtId="0" fontId="0" fillId="0" borderId="0" xfId="0" applyNumberFormat="1" applyAlignment="1">
      <alignment horizontal="left" vertical="center"/>
    </xf>
    <xf numFmtId="49" fontId="0" fillId="0" borderId="0" xfId="0" applyNumberFormat="1" applyFill="1" applyAlignment="1">
      <alignment horizontal="left" vertical="center"/>
    </xf>
    <xf numFmtId="49" fontId="0" fillId="0" borderId="0" xfId="0" applyNumberFormat="1" applyBorder="1" applyAlignment="1">
      <alignment horizontal="left" vertical="center"/>
    </xf>
    <xf numFmtId="49" fontId="0" fillId="0" borderId="0" xfId="0" applyNumberFormat="1" applyFill="1" applyBorder="1" applyAlignment="1">
      <alignment horizontal="left" vertical="center"/>
    </xf>
    <xf numFmtId="0" fontId="0" fillId="0" borderId="0" xfId="0" applyBorder="1" applyAlignment="1">
      <alignment horizontal="left" vertical="center"/>
    </xf>
    <xf numFmtId="0" fontId="0" fillId="0" borderId="0" xfId="0" applyNumberFormat="1" applyBorder="1" applyAlignment="1">
      <alignment horizontal="left" vertical="center"/>
    </xf>
    <xf numFmtId="0" fontId="10" fillId="0" borderId="0" xfId="0" applyNumberFormat="1" applyFont="1" applyFill="1" applyBorder="1" applyAlignment="1">
      <alignment horizontal="left" vertical="center"/>
    </xf>
    <xf numFmtId="0" fontId="10" fillId="0" borderId="0" xfId="0" applyFont="1" applyFill="1" applyBorder="1" applyAlignment="1">
      <alignment horizontal="left" vertical="center"/>
    </xf>
    <xf numFmtId="0" fontId="0" fillId="0" borderId="35" xfId="0" applyNumberFormat="1" applyFill="1" applyBorder="1" applyAlignment="1">
      <alignment horizontal="left" vertical="center"/>
    </xf>
    <xf numFmtId="0" fontId="0" fillId="0" borderId="2" xfId="0" applyNumberFormat="1" applyFill="1" applyBorder="1" applyAlignment="1">
      <alignment horizontal="left" vertical="center"/>
    </xf>
    <xf numFmtId="0" fontId="2" fillId="0" borderId="10" xfId="0" applyFont="1" applyBorder="1" applyAlignment="1">
      <alignment horizontal="center" vertical="center"/>
    </xf>
    <xf numFmtId="0" fontId="2" fillId="0" borderId="8" xfId="0" applyFont="1" applyFill="1" applyBorder="1" applyAlignment="1">
      <alignment horizontal="center" vertical="center"/>
    </xf>
    <xf numFmtId="0" fontId="2" fillId="0" borderId="8" xfId="0" applyFont="1" applyFill="1" applyBorder="1" applyAlignment="1">
      <alignment horizontal="center" vertical="center"/>
    </xf>
    <xf numFmtId="0" fontId="21" fillId="0" borderId="0" xfId="0" applyFont="1" applyFill="1" applyBorder="1" applyAlignment="1">
      <alignment horizontal="center" vertical="center"/>
    </xf>
    <xf numFmtId="49" fontId="0" fillId="0" borderId="35" xfId="0" applyNumberFormat="1" applyFill="1" applyBorder="1" applyAlignment="1">
      <alignment horizontal="left" vertical="center"/>
    </xf>
    <xf numFmtId="0" fontId="0" fillId="0" borderId="35" xfId="0" applyBorder="1" applyAlignment="1">
      <alignment horizontal="left" vertical="center"/>
    </xf>
    <xf numFmtId="0" fontId="2" fillId="0" borderId="8" xfId="0" applyFont="1" applyFill="1" applyBorder="1" applyAlignment="1">
      <alignment horizontal="center" vertical="center"/>
    </xf>
    <xf numFmtId="0" fontId="2" fillId="0" borderId="10" xfId="0" applyFont="1" applyBorder="1" applyAlignment="1">
      <alignment horizontal="center" vertical="center"/>
    </xf>
    <xf numFmtId="0" fontId="21" fillId="0" borderId="0" xfId="0" applyFont="1" applyFill="1" applyBorder="1" applyAlignment="1">
      <alignment horizontal="center" vertical="center"/>
    </xf>
    <xf numFmtId="0" fontId="2" fillId="0" borderId="8" xfId="0" applyFont="1" applyFill="1" applyBorder="1" applyAlignment="1">
      <alignment horizontal="center" vertical="center"/>
    </xf>
    <xf numFmtId="0" fontId="2" fillId="0" borderId="8" xfId="0" applyFont="1" applyFill="1" applyBorder="1" applyAlignment="1">
      <alignment horizontal="center" vertical="center"/>
    </xf>
    <xf numFmtId="0" fontId="10" fillId="7" borderId="2" xfId="0" applyFont="1" applyFill="1" applyBorder="1" applyAlignment="1">
      <alignment horizontal="left" vertical="center"/>
    </xf>
    <xf numFmtId="0" fontId="11" fillId="6" borderId="0" xfId="0" applyNumberFormat="1" applyFont="1" applyFill="1" applyBorder="1" applyAlignment="1">
      <alignment horizontal="left" vertical="center" wrapText="1"/>
    </xf>
    <xf numFmtId="0" fontId="0" fillId="4" borderId="2" xfId="0" applyNumberFormat="1" applyFill="1" applyBorder="1">
      <alignment vertical="center"/>
    </xf>
    <xf numFmtId="0" fontId="0" fillId="0" borderId="2" xfId="0" applyNumberFormat="1" applyBorder="1" applyAlignment="1">
      <alignment horizontal="left" vertical="center"/>
    </xf>
    <xf numFmtId="0" fontId="0" fillId="4" borderId="0" xfId="0" applyNumberFormat="1" applyFill="1" applyBorder="1">
      <alignment vertical="center"/>
    </xf>
    <xf numFmtId="0" fontId="10" fillId="0" borderId="35" xfId="0" applyNumberFormat="1" applyFont="1" applyFill="1" applyBorder="1" applyAlignment="1">
      <alignment horizontal="left" vertical="center"/>
    </xf>
    <xf numFmtId="0" fontId="0" fillId="0" borderId="0" xfId="0" applyBorder="1">
      <alignment vertical="center"/>
    </xf>
    <xf numFmtId="49" fontId="0" fillId="0" borderId="35" xfId="0" applyNumberFormat="1" applyBorder="1" applyAlignment="1">
      <alignment horizontal="left" vertical="center"/>
    </xf>
    <xf numFmtId="0" fontId="25" fillId="0" borderId="2" xfId="1" applyBorder="1">
      <alignment vertical="center"/>
    </xf>
    <xf numFmtId="0" fontId="10" fillId="0" borderId="2" xfId="0" applyNumberFormat="1" applyFont="1" applyFill="1" applyBorder="1" applyAlignment="1">
      <alignment horizontal="left" vertical="center"/>
    </xf>
    <xf numFmtId="176" fontId="11" fillId="6" borderId="35" xfId="0" applyNumberFormat="1" applyFont="1" applyFill="1" applyBorder="1" applyAlignment="1">
      <alignment horizontal="left" vertical="center" wrapText="1"/>
    </xf>
    <xf numFmtId="0" fontId="10" fillId="0" borderId="35" xfId="0" applyFont="1" applyFill="1" applyBorder="1" applyAlignment="1">
      <alignment horizontal="left" vertical="top"/>
    </xf>
    <xf numFmtId="0" fontId="11" fillId="6" borderId="35" xfId="0" applyFont="1" applyFill="1" applyBorder="1" applyAlignment="1">
      <alignment horizontal="left" vertical="center" wrapText="1"/>
    </xf>
    <xf numFmtId="0" fontId="15" fillId="6" borderId="35" xfId="0" applyFont="1" applyFill="1" applyBorder="1" applyAlignment="1">
      <alignment horizontal="left" vertical="center" wrapText="1"/>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9" xfId="0" applyFont="1" applyBorder="1" applyAlignment="1">
      <alignment horizontal="center" vertical="center"/>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9" xfId="0" applyFont="1" applyBorder="1" applyAlignment="1">
      <alignment horizontal="center" vertical="center" wrapText="1"/>
    </xf>
    <xf numFmtId="0" fontId="8" fillId="0" borderId="2" xfId="0" applyFont="1" applyBorder="1" applyAlignment="1">
      <alignment horizontal="center" vertical="center"/>
    </xf>
    <xf numFmtId="0" fontId="6" fillId="0" borderId="2" xfId="0" applyFont="1" applyBorder="1" applyAlignment="1">
      <alignment horizontal="center" vertical="center" wrapText="1"/>
    </xf>
    <xf numFmtId="0" fontId="8" fillId="0" borderId="2" xfId="0" applyFont="1" applyFill="1" applyBorder="1" applyAlignment="1">
      <alignment horizontal="center" vertical="center"/>
    </xf>
    <xf numFmtId="0" fontId="13" fillId="0" borderId="25" xfId="0" applyFont="1" applyFill="1" applyBorder="1" applyAlignment="1">
      <alignment horizontal="center" vertical="center"/>
    </xf>
    <xf numFmtId="0" fontId="13" fillId="0" borderId="30" xfId="0" applyFont="1" applyFill="1" applyBorder="1" applyAlignment="1">
      <alignment horizontal="center" vertical="center"/>
    </xf>
    <xf numFmtId="0" fontId="13" fillId="0" borderId="36" xfId="0" applyFont="1" applyFill="1" applyBorder="1" applyAlignment="1">
      <alignment horizontal="center" vertical="center"/>
    </xf>
    <xf numFmtId="0" fontId="13" fillId="0" borderId="39" xfId="0" applyFont="1" applyFill="1" applyBorder="1" applyAlignment="1">
      <alignment horizontal="center" vertical="center"/>
    </xf>
    <xf numFmtId="0" fontId="13" fillId="0" borderId="0" xfId="0" applyFont="1" applyFill="1" applyBorder="1" applyAlignment="1">
      <alignment horizontal="center" vertical="center"/>
    </xf>
    <xf numFmtId="0" fontId="13" fillId="0" borderId="40" xfId="0" applyFont="1" applyFill="1" applyBorder="1" applyAlignment="1">
      <alignment horizontal="center" vertical="center"/>
    </xf>
    <xf numFmtId="0" fontId="13" fillId="0" borderId="28"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33" xfId="0" applyFont="1" applyFill="1" applyBorder="1" applyAlignment="1">
      <alignment horizontal="center" vertical="center"/>
    </xf>
    <xf numFmtId="0" fontId="2" fillId="0" borderId="20" xfId="0" applyFont="1" applyFill="1" applyBorder="1" applyAlignment="1">
      <alignment horizontal="center" vertical="center"/>
    </xf>
    <xf numFmtId="0" fontId="2" fillId="0" borderId="8" xfId="0" applyFont="1" applyFill="1" applyBorder="1" applyAlignment="1">
      <alignment horizontal="center" vertical="center"/>
    </xf>
    <xf numFmtId="0" fontId="2" fillId="0" borderId="9"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13" xfId="0" applyFont="1" applyFill="1" applyBorder="1" applyAlignment="1">
      <alignment horizontal="center" vertical="center"/>
    </xf>
    <xf numFmtId="0" fontId="2" fillId="0" borderId="12" xfId="0" applyFont="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2" fillId="0" borderId="5" xfId="0" applyFont="1" applyFill="1" applyBorder="1" applyAlignment="1">
      <alignment horizontal="center" vertical="center"/>
    </xf>
    <xf numFmtId="0" fontId="2" fillId="0" borderId="27"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7" xfId="0" applyFont="1" applyBorder="1" applyAlignment="1">
      <alignment horizontal="center" vertical="center"/>
    </xf>
    <xf numFmtId="0" fontId="2" fillId="0" borderId="10" xfId="0" applyFont="1" applyBorder="1" applyAlignment="1">
      <alignment horizontal="center" vertical="center"/>
    </xf>
    <xf numFmtId="0" fontId="2" fillId="0" borderId="17" xfId="0" applyFont="1" applyFill="1" applyBorder="1" applyAlignment="1">
      <alignment horizontal="center" vertical="center"/>
    </xf>
    <xf numFmtId="0" fontId="2" fillId="0" borderId="12" xfId="0" applyFont="1" applyFill="1" applyBorder="1" applyAlignment="1">
      <alignment horizontal="center" vertical="center"/>
    </xf>
    <xf numFmtId="0" fontId="2" fillId="0" borderId="18" xfId="0" applyFont="1" applyFill="1" applyBorder="1" applyAlignment="1">
      <alignment horizontal="center" vertical="center"/>
    </xf>
    <xf numFmtId="0" fontId="2" fillId="0" borderId="23" xfId="0" applyFont="1" applyBorder="1" applyAlignment="1">
      <alignment horizontal="center" vertical="center"/>
    </xf>
    <xf numFmtId="0" fontId="2" fillId="0" borderId="4" xfId="0" applyFont="1" applyBorder="1" applyAlignment="1">
      <alignment horizontal="center" vertical="center"/>
    </xf>
    <xf numFmtId="0" fontId="2" fillId="0" borderId="27" xfId="0" applyFont="1" applyBorder="1" applyAlignment="1">
      <alignment horizontal="center" vertical="center"/>
    </xf>
    <xf numFmtId="0" fontId="2" fillId="0" borderId="6" xfId="0" applyFont="1" applyBorder="1" applyAlignment="1">
      <alignment horizontal="center" vertical="center"/>
    </xf>
    <xf numFmtId="0" fontId="2" fillId="0" borderId="19" xfId="0" applyFont="1" applyBorder="1" applyAlignment="1">
      <alignment horizontal="center" vertical="center"/>
    </xf>
    <xf numFmtId="0" fontId="2" fillId="0" borderId="14" xfId="0" applyFont="1" applyBorder="1" applyAlignment="1">
      <alignment horizontal="center" vertical="center"/>
    </xf>
    <xf numFmtId="0" fontId="2" fillId="0" borderId="9" xfId="0" applyFont="1" applyBorder="1" applyAlignment="1">
      <alignment horizontal="center" vertical="center"/>
    </xf>
    <xf numFmtId="0" fontId="2" fillId="0" borderId="16" xfId="0" applyFont="1" applyFill="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3" fillId="0" borderId="25" xfId="0" applyFont="1" applyFill="1" applyBorder="1" applyAlignment="1">
      <alignment horizontal="center" vertical="center" wrapText="1"/>
    </xf>
    <xf numFmtId="0" fontId="3" fillId="0" borderId="26" xfId="0" applyFont="1" applyFill="1" applyBorder="1" applyAlignment="1">
      <alignment horizontal="center" vertical="center" wrapText="1"/>
    </xf>
    <xf numFmtId="0" fontId="2" fillId="0" borderId="13" xfId="0" applyFont="1" applyBorder="1" applyAlignment="1">
      <alignment horizontal="center" vertical="center"/>
    </xf>
    <xf numFmtId="0" fontId="2" fillId="0" borderId="3" xfId="0" applyFont="1" applyBorder="1" applyAlignment="1">
      <alignment horizontal="center" vertical="center"/>
    </xf>
    <xf numFmtId="0" fontId="2" fillId="0" borderId="32" xfId="0" applyFont="1" applyBorder="1" applyAlignment="1">
      <alignment horizontal="center" vertical="center"/>
    </xf>
    <xf numFmtId="0" fontId="2" fillId="0" borderId="5" xfId="0" applyFont="1" applyBorder="1" applyAlignment="1">
      <alignment horizontal="center" vertical="center"/>
    </xf>
    <xf numFmtId="0" fontId="2" fillId="0" borderId="22" xfId="0" applyFont="1" applyBorder="1" applyAlignment="1">
      <alignment horizontal="center" vertical="center"/>
    </xf>
    <xf numFmtId="0" fontId="2" fillId="0" borderId="29" xfId="0" applyFont="1" applyBorder="1" applyAlignment="1">
      <alignment horizontal="center" vertical="center"/>
    </xf>
    <xf numFmtId="0" fontId="3" fillId="2" borderId="32" xfId="0" applyFont="1" applyFill="1" applyBorder="1" applyAlignment="1">
      <alignment horizontal="center" vertical="center"/>
    </xf>
    <xf numFmtId="0" fontId="3" fillId="2" borderId="4" xfId="0" applyFont="1" applyFill="1" applyBorder="1" applyAlignment="1">
      <alignment horizontal="center" vertical="center"/>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12" fillId="0" borderId="29" xfId="0" applyFont="1" applyBorder="1" applyAlignment="1">
      <alignment horizontal="center" vertical="center"/>
    </xf>
    <xf numFmtId="0" fontId="2" fillId="0" borderId="8" xfId="0" applyFont="1" applyBorder="1" applyAlignment="1">
      <alignment horizontal="center" vertical="center"/>
    </xf>
    <xf numFmtId="0" fontId="2" fillId="0" borderId="37" xfId="0" applyFont="1" applyFill="1" applyBorder="1" applyAlignment="1">
      <alignment horizontal="center" vertical="center"/>
    </xf>
    <xf numFmtId="0" fontId="2" fillId="0" borderId="11" xfId="0" applyFont="1" applyBorder="1" applyAlignment="1">
      <alignment horizontal="center" vertical="center"/>
    </xf>
    <xf numFmtId="0" fontId="2" fillId="0" borderId="38" xfId="0" applyFont="1" applyBorder="1" applyAlignment="1">
      <alignment horizontal="center" vertical="center"/>
    </xf>
    <xf numFmtId="0" fontId="2" fillId="0" borderId="15" xfId="0" applyFont="1" applyBorder="1" applyAlignment="1">
      <alignment horizontal="center" vertical="center"/>
    </xf>
    <xf numFmtId="0" fontId="3" fillId="2" borderId="3" xfId="0" applyFont="1" applyFill="1" applyBorder="1" applyAlignment="1">
      <alignment horizontal="center" vertical="center"/>
    </xf>
    <xf numFmtId="0" fontId="2" fillId="0" borderId="21" xfId="0" applyFont="1" applyBorder="1" applyAlignment="1">
      <alignment horizontal="center" vertical="center"/>
    </xf>
    <xf numFmtId="0" fontId="3" fillId="0" borderId="3" xfId="0" applyFont="1" applyFill="1" applyBorder="1" applyAlignment="1">
      <alignment horizontal="center" vertical="center"/>
    </xf>
    <xf numFmtId="0" fontId="3" fillId="0" borderId="5" xfId="0" applyFont="1" applyFill="1" applyBorder="1" applyAlignment="1">
      <alignment horizontal="center" vertical="center"/>
    </xf>
    <xf numFmtId="0" fontId="2" fillId="0" borderId="19" xfId="0" applyFont="1" applyFill="1" applyBorder="1" applyAlignment="1">
      <alignment horizontal="center" vertical="center"/>
    </xf>
    <xf numFmtId="0" fontId="2" fillId="0" borderId="15" xfId="0" applyFont="1" applyFill="1" applyBorder="1" applyAlignment="1">
      <alignment horizontal="center" vertical="center"/>
    </xf>
    <xf numFmtId="0" fontId="12" fillId="0" borderId="23" xfId="0" applyFont="1" applyBorder="1" applyAlignment="1">
      <alignment horizontal="center" vertical="center"/>
    </xf>
    <xf numFmtId="0" fontId="12" fillId="0" borderId="4" xfId="0" applyFont="1" applyBorder="1" applyAlignment="1">
      <alignment horizontal="center" vertical="center"/>
    </xf>
    <xf numFmtId="0" fontId="2" fillId="0" borderId="31" xfId="0" applyFont="1" applyFill="1" applyBorder="1" applyAlignment="1">
      <alignment horizontal="center" vertical="center"/>
    </xf>
    <xf numFmtId="0" fontId="2" fillId="0" borderId="10" xfId="0" applyFont="1" applyFill="1" applyBorder="1" applyAlignment="1">
      <alignment horizontal="center" vertical="center"/>
    </xf>
    <xf numFmtId="0" fontId="2" fillId="0" borderId="23" xfId="0" applyFont="1" applyFill="1" applyBorder="1" applyAlignment="1">
      <alignment horizontal="center" vertical="center"/>
    </xf>
    <xf numFmtId="0" fontId="18" fillId="0" borderId="2" xfId="0" applyFont="1" applyFill="1" applyBorder="1" applyAlignment="1">
      <alignment horizontal="center" vertical="center"/>
    </xf>
    <xf numFmtId="0" fontId="21" fillId="0" borderId="25" xfId="0" applyFont="1" applyFill="1" applyBorder="1" applyAlignment="1">
      <alignment horizontal="center" vertical="center"/>
    </xf>
    <xf numFmtId="0" fontId="21" fillId="0" borderId="30" xfId="0" applyFont="1" applyFill="1" applyBorder="1" applyAlignment="1">
      <alignment horizontal="center" vertical="center"/>
    </xf>
    <xf numFmtId="0" fontId="21" fillId="0" borderId="36" xfId="0" applyFont="1" applyFill="1" applyBorder="1" applyAlignment="1">
      <alignment horizontal="center" vertical="center"/>
    </xf>
    <xf numFmtId="0" fontId="21" fillId="0" borderId="39" xfId="0" applyFont="1" applyFill="1" applyBorder="1" applyAlignment="1">
      <alignment horizontal="center" vertical="center"/>
    </xf>
    <xf numFmtId="0" fontId="21" fillId="0" borderId="0" xfId="0" applyFont="1" applyFill="1" applyBorder="1" applyAlignment="1">
      <alignment horizontal="center" vertical="center"/>
    </xf>
    <xf numFmtId="0" fontId="21" fillId="0" borderId="40" xfId="0" applyFont="1" applyFill="1" applyBorder="1" applyAlignment="1">
      <alignment horizontal="center" vertical="center"/>
    </xf>
    <xf numFmtId="0" fontId="22" fillId="0" borderId="28" xfId="0" applyFont="1" applyFill="1" applyBorder="1" applyAlignment="1">
      <alignment horizontal="center" vertical="center"/>
    </xf>
    <xf numFmtId="0" fontId="22" fillId="0" borderId="24" xfId="0" applyFont="1" applyFill="1" applyBorder="1" applyAlignment="1">
      <alignment horizontal="center" vertical="center"/>
    </xf>
    <xf numFmtId="0" fontId="22" fillId="0" borderId="33" xfId="0" applyFont="1" applyFill="1" applyBorder="1" applyAlignment="1">
      <alignment horizontal="center" vertical="center"/>
    </xf>
    <xf numFmtId="0" fontId="12" fillId="0" borderId="19" xfId="0" applyFont="1" applyBorder="1" applyAlignment="1">
      <alignment horizontal="center" vertical="center"/>
    </xf>
    <xf numFmtId="0" fontId="12" fillId="0" borderId="14" xfId="0" applyFont="1" applyBorder="1" applyAlignment="1">
      <alignment horizontal="center" vertical="center"/>
    </xf>
    <xf numFmtId="0" fontId="12" fillId="0" borderId="9" xfId="0" applyFont="1" applyBorder="1" applyAlignment="1">
      <alignment horizontal="center" vertical="center"/>
    </xf>
    <xf numFmtId="0" fontId="12" fillId="0" borderId="3" xfId="0" applyFont="1" applyBorder="1" applyAlignment="1">
      <alignment horizontal="center" vertical="center"/>
    </xf>
    <xf numFmtId="0" fontId="12" fillId="0" borderId="32" xfId="0" applyFont="1" applyBorder="1" applyAlignment="1">
      <alignment horizontal="center" vertical="center"/>
    </xf>
    <xf numFmtId="0" fontId="12" fillId="0" borderId="5" xfId="0" applyFont="1" applyBorder="1" applyAlignment="1">
      <alignment horizontal="center" vertical="center"/>
    </xf>
    <xf numFmtId="0" fontId="10" fillId="8" borderId="2" xfId="0" applyFont="1" applyFill="1" applyBorder="1" applyAlignment="1">
      <alignment horizontal="left" vertical="center"/>
    </xf>
    <xf numFmtId="0" fontId="10" fillId="0" borderId="35" xfId="0" applyFont="1" applyFill="1" applyBorder="1" applyAlignment="1">
      <alignment horizontal="left" vertical="center"/>
    </xf>
    <xf numFmtId="176" fontId="0" fillId="0" borderId="0" xfId="0" applyNumberFormat="1" applyBorder="1">
      <alignment vertical="center"/>
    </xf>
    <xf numFmtId="0" fontId="14" fillId="0" borderId="0" xfId="0" applyFont="1" applyBorder="1">
      <alignment vertical="center"/>
    </xf>
    <xf numFmtId="0" fontId="0" fillId="0" borderId="0" xfId="0" applyNumberFormat="1" applyBorder="1">
      <alignment vertical="center"/>
    </xf>
    <xf numFmtId="0" fontId="10" fillId="9" borderId="2" xfId="0" applyFont="1" applyFill="1" applyBorder="1" applyAlignment="1">
      <alignment horizontal="left" vertical="center"/>
    </xf>
    <xf numFmtId="0" fontId="10" fillId="0" borderId="2" xfId="0" applyFont="1" applyFill="1" applyBorder="1" applyAlignment="1">
      <alignment horizontal="right" vertical="center"/>
    </xf>
    <xf numFmtId="0" fontId="0" fillId="0" borderId="0" xfId="0" applyFill="1" applyAlignment="1">
      <alignment horizontal="left" vertical="center"/>
    </xf>
  </cellXfs>
  <cellStyles count="2">
    <cellStyle name="표준" xfId="0" builtinId="0"/>
    <cellStyle name="표준_인원선정 종합" xfId="1"/>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설문지 응답 시트1-style" pivot="0" count="4">
      <tableStyleElement type="wholeTable" size="0" dxfId="3"/>
      <tableStyleElement type="headerRow" dxfId="2"/>
      <tableStyleElement type="firstRowStripe" dxfId="1"/>
      <tableStyleElement type="secondRowStripe" dxfId="0"/>
    </tableStyle>
  </tableStyles>
  <colors>
    <mruColors>
      <color rgb="FFFF99FF"/>
      <color rgb="FFF68A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01"/>
  <sheetViews>
    <sheetView topLeftCell="A278" zoomScaleNormal="100" workbookViewId="0">
      <selection activeCell="C292" sqref="C292"/>
    </sheetView>
  </sheetViews>
  <sheetFormatPr defaultRowHeight="16.5"/>
  <cols>
    <col min="1" max="1" width="4.125" style="38" bestFit="1" customWidth="1"/>
    <col min="2" max="2" width="4.75" bestFit="1" customWidth="1"/>
    <col min="3" max="3" width="10.625" customWidth="1"/>
    <col min="4" max="4" width="14.375" style="32" bestFit="1" customWidth="1"/>
    <col min="5" max="5" width="37.875" customWidth="1"/>
    <col min="6" max="6" width="10.5" customWidth="1"/>
    <col min="7" max="7" width="10.25" customWidth="1"/>
    <col min="9" max="9" width="9.75" customWidth="1"/>
    <col min="14" max="14" width="12.875" customWidth="1"/>
    <col min="15" max="15" width="14.75" customWidth="1"/>
    <col min="16" max="18" width="9" style="41"/>
  </cols>
  <sheetData>
    <row r="1" spans="1:18" ht="18.75" customHeight="1"/>
    <row r="2" spans="1:18" ht="16.5" customHeight="1">
      <c r="A2" s="39"/>
      <c r="B2" s="21" t="s">
        <v>1</v>
      </c>
      <c r="C2" s="21" t="s">
        <v>0</v>
      </c>
      <c r="D2" s="24" t="s">
        <v>431</v>
      </c>
      <c r="E2" s="21" t="s">
        <v>5</v>
      </c>
      <c r="F2" s="21" t="s">
        <v>2</v>
      </c>
      <c r="G2" s="21" t="s">
        <v>432</v>
      </c>
      <c r="H2" s="21" t="s">
        <v>4</v>
      </c>
      <c r="I2" s="21" t="s">
        <v>433</v>
      </c>
      <c r="J2" s="21" t="s">
        <v>6</v>
      </c>
      <c r="K2" s="21" t="s">
        <v>434</v>
      </c>
      <c r="L2" s="21" t="s">
        <v>3</v>
      </c>
      <c r="M2" s="21" t="s">
        <v>54</v>
      </c>
      <c r="N2" s="17" t="s">
        <v>435</v>
      </c>
      <c r="O2" s="21" t="s">
        <v>47</v>
      </c>
      <c r="P2" s="33" t="s">
        <v>436</v>
      </c>
      <c r="Q2" s="42" t="s">
        <v>437</v>
      </c>
      <c r="R2" s="42"/>
    </row>
    <row r="3" spans="1:18" ht="18" customHeight="1">
      <c r="A3" s="40">
        <v>1</v>
      </c>
      <c r="B3" s="26" t="s">
        <v>8</v>
      </c>
      <c r="C3" s="26" t="s">
        <v>953</v>
      </c>
      <c r="D3" s="24" t="s">
        <v>954</v>
      </c>
      <c r="E3" s="26" t="s">
        <v>955</v>
      </c>
      <c r="F3" s="23">
        <v>34</v>
      </c>
      <c r="G3" s="26" t="s">
        <v>2364</v>
      </c>
      <c r="H3" s="26">
        <v>178</v>
      </c>
      <c r="I3" s="26" t="s">
        <v>456</v>
      </c>
      <c r="J3" s="26" t="s">
        <v>37</v>
      </c>
      <c r="K3" s="26" t="s">
        <v>956</v>
      </c>
      <c r="L3" s="25" t="s">
        <v>9</v>
      </c>
      <c r="M3" s="26" t="s">
        <v>29</v>
      </c>
      <c r="N3" s="26" t="s">
        <v>957</v>
      </c>
      <c r="O3" s="26" t="s">
        <v>958</v>
      </c>
      <c r="P3" s="43" t="s">
        <v>10</v>
      </c>
      <c r="Q3" s="42"/>
      <c r="R3" s="26" t="s">
        <v>820</v>
      </c>
    </row>
    <row r="4" spans="1:18" ht="18" customHeight="1">
      <c r="A4" s="40">
        <v>2</v>
      </c>
      <c r="B4" s="26" t="s">
        <v>14</v>
      </c>
      <c r="C4" s="26" t="s">
        <v>555</v>
      </c>
      <c r="D4" s="24">
        <v>1047890745</v>
      </c>
      <c r="E4" s="26" t="s">
        <v>556</v>
      </c>
      <c r="F4" s="23">
        <v>31</v>
      </c>
      <c r="G4" s="26" t="s">
        <v>441</v>
      </c>
      <c r="H4" s="26">
        <v>169</v>
      </c>
      <c r="I4" s="26" t="s">
        <v>763</v>
      </c>
      <c r="J4" s="26" t="s">
        <v>68</v>
      </c>
      <c r="K4" s="26" t="s">
        <v>10</v>
      </c>
      <c r="L4" s="25" t="s">
        <v>9</v>
      </c>
      <c r="M4" s="26" t="s">
        <v>29</v>
      </c>
      <c r="N4" s="26" t="s">
        <v>558</v>
      </c>
      <c r="O4" s="26" t="s">
        <v>559</v>
      </c>
      <c r="P4" s="43" t="s">
        <v>10</v>
      </c>
      <c r="Q4" s="42"/>
      <c r="R4" s="26" t="s">
        <v>820</v>
      </c>
    </row>
    <row r="5" spans="1:18" ht="18" customHeight="1">
      <c r="A5" s="40">
        <v>3</v>
      </c>
      <c r="B5" s="26" t="s">
        <v>8</v>
      </c>
      <c r="C5" s="26" t="s">
        <v>781</v>
      </c>
      <c r="D5" s="24">
        <v>1052521809</v>
      </c>
      <c r="E5" s="26" t="s">
        <v>782</v>
      </c>
      <c r="F5" s="23">
        <v>27</v>
      </c>
      <c r="G5" s="26" t="s">
        <v>2366</v>
      </c>
      <c r="H5" s="26">
        <v>172</v>
      </c>
      <c r="I5" s="26" t="s">
        <v>2367</v>
      </c>
      <c r="J5" s="26" t="s">
        <v>252</v>
      </c>
      <c r="K5" s="26" t="s">
        <v>10</v>
      </c>
      <c r="L5" s="25" t="s">
        <v>31</v>
      </c>
      <c r="M5" s="26" t="s">
        <v>57</v>
      </c>
      <c r="N5" s="26" t="s">
        <v>783</v>
      </c>
      <c r="O5" s="26" t="s">
        <v>784</v>
      </c>
      <c r="P5" s="43" t="s">
        <v>10</v>
      </c>
      <c r="Q5" s="42"/>
      <c r="R5" s="26" t="s">
        <v>820</v>
      </c>
    </row>
    <row r="6" spans="1:18" ht="18" customHeight="1">
      <c r="A6" s="40">
        <v>4</v>
      </c>
      <c r="B6" s="26" t="s">
        <v>14</v>
      </c>
      <c r="C6" s="26" t="s">
        <v>843</v>
      </c>
      <c r="D6" s="24">
        <v>1098258435</v>
      </c>
      <c r="E6" s="26" t="s">
        <v>196</v>
      </c>
      <c r="F6" s="23">
        <v>45</v>
      </c>
      <c r="G6" s="26" t="s">
        <v>871</v>
      </c>
      <c r="H6" s="26">
        <v>170</v>
      </c>
      <c r="I6" s="26" t="s">
        <v>453</v>
      </c>
      <c r="J6" s="26" t="s">
        <v>12</v>
      </c>
      <c r="K6" s="26" t="s">
        <v>10</v>
      </c>
      <c r="L6" s="25" t="s">
        <v>20</v>
      </c>
      <c r="M6" s="26" t="s">
        <v>10</v>
      </c>
      <c r="N6" s="26" t="s">
        <v>845</v>
      </c>
      <c r="O6" s="26" t="s">
        <v>846</v>
      </c>
      <c r="P6" s="43" t="s">
        <v>10</v>
      </c>
      <c r="Q6" s="42"/>
      <c r="R6" s="26" t="s">
        <v>820</v>
      </c>
    </row>
    <row r="7" spans="1:18" ht="18" customHeight="1">
      <c r="A7" s="40">
        <v>5</v>
      </c>
      <c r="B7" s="26" t="s">
        <v>14</v>
      </c>
      <c r="C7" s="26" t="s">
        <v>357</v>
      </c>
      <c r="D7" s="24">
        <v>1082105352</v>
      </c>
      <c r="E7" s="26" t="s">
        <v>358</v>
      </c>
      <c r="F7" s="23">
        <v>31</v>
      </c>
      <c r="G7" s="26" t="s">
        <v>438</v>
      </c>
      <c r="H7" s="26">
        <v>158</v>
      </c>
      <c r="I7" s="26" t="s">
        <v>452</v>
      </c>
      <c r="J7" s="26" t="s">
        <v>12</v>
      </c>
      <c r="K7" s="26" t="s">
        <v>359</v>
      </c>
      <c r="L7" s="25" t="s">
        <v>9</v>
      </c>
      <c r="M7" s="26" t="s">
        <v>10</v>
      </c>
      <c r="N7" s="26" t="s">
        <v>360</v>
      </c>
      <c r="O7" s="26" t="s">
        <v>361</v>
      </c>
      <c r="P7" s="43" t="s">
        <v>10</v>
      </c>
      <c r="Q7" s="42"/>
      <c r="R7" s="26" t="s">
        <v>820</v>
      </c>
    </row>
    <row r="8" spans="1:18" ht="18" customHeight="1">
      <c r="A8" s="40">
        <v>6</v>
      </c>
      <c r="B8" s="26" t="s">
        <v>14</v>
      </c>
      <c r="C8" s="26" t="s">
        <v>527</v>
      </c>
      <c r="D8" s="24" t="s">
        <v>528</v>
      </c>
      <c r="E8" s="26" t="s">
        <v>529</v>
      </c>
      <c r="F8" s="23">
        <v>31</v>
      </c>
      <c r="G8" s="26" t="s">
        <v>2364</v>
      </c>
      <c r="H8" s="26">
        <v>170</v>
      </c>
      <c r="I8" s="26" t="s">
        <v>2368</v>
      </c>
      <c r="J8" s="26" t="s">
        <v>28</v>
      </c>
      <c r="K8" s="26" t="s">
        <v>531</v>
      </c>
      <c r="L8" s="25" t="s">
        <v>9</v>
      </c>
      <c r="M8" s="26" t="s">
        <v>29</v>
      </c>
      <c r="N8" s="26" t="s">
        <v>532</v>
      </c>
      <c r="O8" s="26" t="s">
        <v>533</v>
      </c>
      <c r="P8" s="43" t="s">
        <v>10</v>
      </c>
      <c r="Q8" s="34" t="s">
        <v>534</v>
      </c>
      <c r="R8" s="26" t="s">
        <v>820</v>
      </c>
    </row>
    <row r="9" spans="1:18" ht="18" customHeight="1">
      <c r="A9" s="40">
        <v>7</v>
      </c>
      <c r="B9" s="26" t="s">
        <v>14</v>
      </c>
      <c r="C9" s="26" t="s">
        <v>77</v>
      </c>
      <c r="D9" s="24">
        <v>1024145998</v>
      </c>
      <c r="E9" s="26" t="s">
        <v>150</v>
      </c>
      <c r="F9" s="23">
        <v>34</v>
      </c>
      <c r="G9" s="26" t="s">
        <v>2369</v>
      </c>
      <c r="H9" s="26">
        <v>160</v>
      </c>
      <c r="I9" s="26" t="s">
        <v>452</v>
      </c>
      <c r="J9" s="26" t="s">
        <v>35</v>
      </c>
      <c r="K9" s="26" t="s">
        <v>10</v>
      </c>
      <c r="L9" s="25" t="s">
        <v>75</v>
      </c>
      <c r="M9" s="26" t="s">
        <v>29</v>
      </c>
      <c r="N9" s="26" t="s">
        <v>78</v>
      </c>
      <c r="O9" s="26" t="s">
        <v>151</v>
      </c>
      <c r="P9" s="43" t="s">
        <v>133</v>
      </c>
      <c r="Q9" s="35" t="s">
        <v>152</v>
      </c>
      <c r="R9" s="26" t="s">
        <v>820</v>
      </c>
    </row>
    <row r="10" spans="1:18" ht="18" customHeight="1">
      <c r="A10" s="40">
        <v>8</v>
      </c>
      <c r="B10" s="26" t="s">
        <v>14</v>
      </c>
      <c r="C10" s="26" t="s">
        <v>698</v>
      </c>
      <c r="D10" s="24">
        <v>1031303829</v>
      </c>
      <c r="E10" s="26" t="s">
        <v>699</v>
      </c>
      <c r="F10" s="23">
        <v>34</v>
      </c>
      <c r="G10" s="26" t="s">
        <v>2370</v>
      </c>
      <c r="H10" s="26">
        <v>15</v>
      </c>
      <c r="I10" s="26" t="s">
        <v>2371</v>
      </c>
      <c r="J10" s="26" t="s">
        <v>30</v>
      </c>
      <c r="K10" s="26" t="s">
        <v>10</v>
      </c>
      <c r="L10" s="25" t="s">
        <v>49</v>
      </c>
      <c r="M10" s="26" t="s">
        <v>10</v>
      </c>
      <c r="N10" s="26" t="s">
        <v>700</v>
      </c>
      <c r="O10" s="26" t="s">
        <v>701</v>
      </c>
      <c r="P10" s="43" t="s">
        <v>702</v>
      </c>
      <c r="Q10" s="42"/>
      <c r="R10" s="26" t="s">
        <v>820</v>
      </c>
    </row>
    <row r="11" spans="1:18" ht="18" customHeight="1">
      <c r="A11" s="40">
        <v>9</v>
      </c>
      <c r="B11" s="26" t="s">
        <v>14</v>
      </c>
      <c r="C11" s="26" t="s">
        <v>305</v>
      </c>
      <c r="D11" s="24">
        <v>1072918842</v>
      </c>
      <c r="E11" s="26" t="s">
        <v>306</v>
      </c>
      <c r="F11" s="23">
        <v>32</v>
      </c>
      <c r="G11" s="26" t="s">
        <v>439</v>
      </c>
      <c r="H11" s="26">
        <v>171</v>
      </c>
      <c r="I11" s="26" t="s">
        <v>453</v>
      </c>
      <c r="J11" s="26" t="s">
        <v>307</v>
      </c>
      <c r="K11" s="26" t="s">
        <v>10</v>
      </c>
      <c r="L11" s="25" t="s">
        <v>9</v>
      </c>
      <c r="M11" s="26" t="s">
        <v>29</v>
      </c>
      <c r="N11" s="26" t="s">
        <v>308</v>
      </c>
      <c r="O11" s="26" t="s">
        <v>309</v>
      </c>
      <c r="P11" s="43" t="s">
        <v>69</v>
      </c>
      <c r="Q11" s="42"/>
      <c r="R11" s="26" t="s">
        <v>820</v>
      </c>
    </row>
    <row r="12" spans="1:18" ht="18" customHeight="1">
      <c r="A12" s="40">
        <v>10</v>
      </c>
      <c r="B12" s="26" t="s">
        <v>8</v>
      </c>
      <c r="C12" s="26" t="s">
        <v>540</v>
      </c>
      <c r="D12" s="24">
        <v>1037786910</v>
      </c>
      <c r="E12" s="26" t="s">
        <v>541</v>
      </c>
      <c r="F12" s="23">
        <v>49</v>
      </c>
      <c r="G12" s="26" t="s">
        <v>2372</v>
      </c>
      <c r="H12" s="26">
        <v>175</v>
      </c>
      <c r="I12" s="26" t="s">
        <v>2367</v>
      </c>
      <c r="J12" s="26" t="s">
        <v>30</v>
      </c>
      <c r="K12" s="26" t="s">
        <v>10</v>
      </c>
      <c r="L12" s="25" t="s">
        <v>9</v>
      </c>
      <c r="M12" s="26" t="s">
        <v>10</v>
      </c>
      <c r="N12" s="26" t="s">
        <v>542</v>
      </c>
      <c r="O12" s="26" t="s">
        <v>543</v>
      </c>
      <c r="P12" s="43" t="s">
        <v>10</v>
      </c>
      <c r="Q12" s="34" t="s">
        <v>132</v>
      </c>
      <c r="R12" s="26" t="s">
        <v>820</v>
      </c>
    </row>
    <row r="13" spans="1:18" ht="18" customHeight="1">
      <c r="A13" s="40">
        <v>11</v>
      </c>
      <c r="B13" s="26" t="s">
        <v>14</v>
      </c>
      <c r="C13" s="26" t="s">
        <v>334</v>
      </c>
      <c r="D13" s="24">
        <v>1050546323</v>
      </c>
      <c r="E13" s="26" t="s">
        <v>335</v>
      </c>
      <c r="F13" s="23">
        <v>37</v>
      </c>
      <c r="G13" s="26" t="s">
        <v>456</v>
      </c>
      <c r="H13" s="26">
        <v>158</v>
      </c>
      <c r="I13" s="26" t="s">
        <v>453</v>
      </c>
      <c r="J13" s="26" t="s">
        <v>18</v>
      </c>
      <c r="K13" s="26" t="s">
        <v>10</v>
      </c>
      <c r="L13" s="25" t="s">
        <v>9</v>
      </c>
      <c r="M13" s="26" t="s">
        <v>10</v>
      </c>
      <c r="N13" s="26" t="s">
        <v>336</v>
      </c>
      <c r="O13" s="26" t="s">
        <v>337</v>
      </c>
      <c r="P13" s="43" t="s">
        <v>10</v>
      </c>
      <c r="Q13" s="42"/>
      <c r="R13" s="26" t="s">
        <v>820</v>
      </c>
    </row>
    <row r="14" spans="1:18" ht="18" customHeight="1">
      <c r="A14" s="40">
        <v>13</v>
      </c>
      <c r="B14" s="26" t="s">
        <v>8</v>
      </c>
      <c r="C14" s="26" t="s">
        <v>401</v>
      </c>
      <c r="D14" s="24">
        <v>1085686931</v>
      </c>
      <c r="E14" s="26" t="s">
        <v>2373</v>
      </c>
      <c r="F14" s="23">
        <v>34</v>
      </c>
      <c r="G14" s="26" t="s">
        <v>2364</v>
      </c>
      <c r="H14" s="26">
        <v>168</v>
      </c>
      <c r="I14" s="26" t="s">
        <v>771</v>
      </c>
      <c r="J14" s="26" t="s">
        <v>252</v>
      </c>
      <c r="K14" s="26" t="s">
        <v>10</v>
      </c>
      <c r="L14" s="25" t="s">
        <v>9</v>
      </c>
      <c r="M14" s="26" t="s">
        <v>10</v>
      </c>
      <c r="N14" s="26" t="s">
        <v>402</v>
      </c>
      <c r="O14" s="26" t="s">
        <v>403</v>
      </c>
      <c r="P14" s="43" t="s">
        <v>10</v>
      </c>
      <c r="Q14" s="35" t="s">
        <v>404</v>
      </c>
      <c r="R14" s="26" t="s">
        <v>820</v>
      </c>
    </row>
    <row r="15" spans="1:18" ht="18" customHeight="1">
      <c r="A15" s="40">
        <v>14</v>
      </c>
      <c r="B15" s="26" t="s">
        <v>8</v>
      </c>
      <c r="C15" s="26" t="s">
        <v>942</v>
      </c>
      <c r="D15" s="24" t="s">
        <v>943</v>
      </c>
      <c r="E15" s="26" t="s">
        <v>944</v>
      </c>
      <c r="F15" s="23">
        <v>43</v>
      </c>
      <c r="G15" s="26" t="s">
        <v>2374</v>
      </c>
      <c r="H15" s="26">
        <v>175</v>
      </c>
      <c r="I15" s="26" t="s">
        <v>2375</v>
      </c>
      <c r="J15" s="26" t="s">
        <v>19</v>
      </c>
      <c r="K15" s="26" t="s">
        <v>945</v>
      </c>
      <c r="L15" s="25" t="s">
        <v>9</v>
      </c>
      <c r="M15" s="26" t="s">
        <v>10</v>
      </c>
      <c r="N15" s="26" t="s">
        <v>946</v>
      </c>
      <c r="O15" s="26" t="s">
        <v>947</v>
      </c>
      <c r="P15" s="43" t="s">
        <v>646</v>
      </c>
      <c r="Q15" s="42" t="s">
        <v>948</v>
      </c>
      <c r="R15" s="26" t="s">
        <v>820</v>
      </c>
    </row>
    <row r="16" spans="1:18" ht="18" customHeight="1">
      <c r="A16" s="40">
        <v>15</v>
      </c>
      <c r="B16" s="26" t="s">
        <v>14</v>
      </c>
      <c r="C16" s="26" t="s">
        <v>414</v>
      </c>
      <c r="D16" s="24">
        <v>1022558313</v>
      </c>
      <c r="E16" s="26" t="s">
        <v>415</v>
      </c>
      <c r="F16" s="23">
        <v>35</v>
      </c>
      <c r="G16" s="26" t="s">
        <v>438</v>
      </c>
      <c r="H16" s="26">
        <v>152</v>
      </c>
      <c r="I16" s="26" t="s">
        <v>2376</v>
      </c>
      <c r="J16" s="26" t="s">
        <v>19</v>
      </c>
      <c r="K16" s="26" t="s">
        <v>10</v>
      </c>
      <c r="L16" s="25" t="s">
        <v>9</v>
      </c>
      <c r="M16" s="26" t="s">
        <v>57</v>
      </c>
      <c r="N16" s="26" t="s">
        <v>416</v>
      </c>
      <c r="O16" s="26" t="s">
        <v>417</v>
      </c>
      <c r="P16" s="43" t="s">
        <v>10</v>
      </c>
      <c r="Q16" s="34" t="s">
        <v>418</v>
      </c>
      <c r="R16" s="26" t="s">
        <v>820</v>
      </c>
    </row>
    <row r="17" spans="1:18" ht="18" customHeight="1">
      <c r="A17" s="40">
        <v>16</v>
      </c>
      <c r="B17" s="26" t="s">
        <v>14</v>
      </c>
      <c r="C17" s="26" t="s">
        <v>67</v>
      </c>
      <c r="D17" s="24">
        <v>1024650470</v>
      </c>
      <c r="E17" s="26" t="s">
        <v>273</v>
      </c>
      <c r="F17" s="23">
        <v>29</v>
      </c>
      <c r="G17" s="26" t="s">
        <v>440</v>
      </c>
      <c r="H17" s="26">
        <v>160</v>
      </c>
      <c r="I17" s="26" t="s">
        <v>2376</v>
      </c>
      <c r="J17" s="26" t="s">
        <v>13</v>
      </c>
      <c r="K17" s="26" t="s">
        <v>10</v>
      </c>
      <c r="L17" s="25" t="s">
        <v>9</v>
      </c>
      <c r="M17" s="26" t="s">
        <v>29</v>
      </c>
      <c r="N17" s="26" t="s">
        <v>274</v>
      </c>
      <c r="O17" s="26" t="s">
        <v>275</v>
      </c>
      <c r="P17" s="43" t="s">
        <v>10</v>
      </c>
      <c r="Q17" s="42"/>
      <c r="R17" s="26" t="s">
        <v>820</v>
      </c>
    </row>
    <row r="18" spans="1:18" ht="18" customHeight="1">
      <c r="A18" s="40">
        <v>17</v>
      </c>
      <c r="B18" s="26" t="s">
        <v>14</v>
      </c>
      <c r="C18" s="26" t="s">
        <v>789</v>
      </c>
      <c r="D18" s="24">
        <v>1073380874</v>
      </c>
      <c r="E18" s="26" t="s">
        <v>790</v>
      </c>
      <c r="F18" s="23">
        <v>41</v>
      </c>
      <c r="G18" s="26" t="s">
        <v>2377</v>
      </c>
      <c r="H18" s="26">
        <v>164</v>
      </c>
      <c r="I18" s="26" t="s">
        <v>454</v>
      </c>
      <c r="J18" s="26" t="s">
        <v>1965</v>
      </c>
      <c r="K18" s="26" t="s">
        <v>10</v>
      </c>
      <c r="L18" s="25" t="s">
        <v>9</v>
      </c>
      <c r="M18" s="26" t="s">
        <v>10</v>
      </c>
      <c r="N18" s="26" t="s">
        <v>792</v>
      </c>
      <c r="O18" s="26" t="s">
        <v>793</v>
      </c>
      <c r="P18" s="43" t="s">
        <v>11</v>
      </c>
      <c r="Q18" s="42"/>
      <c r="R18" s="26" t="s">
        <v>820</v>
      </c>
    </row>
    <row r="19" spans="1:18" ht="18" customHeight="1">
      <c r="A19" s="40">
        <v>18</v>
      </c>
      <c r="B19" s="26" t="s">
        <v>14</v>
      </c>
      <c r="C19" s="26" t="s">
        <v>142</v>
      </c>
      <c r="D19" s="24">
        <v>1047334785</v>
      </c>
      <c r="E19" s="26" t="s">
        <v>143</v>
      </c>
      <c r="F19" s="23">
        <v>38</v>
      </c>
      <c r="G19" s="26" t="s">
        <v>442</v>
      </c>
      <c r="H19" s="26">
        <v>161</v>
      </c>
      <c r="I19" s="26" t="s">
        <v>452</v>
      </c>
      <c r="J19" s="26" t="s">
        <v>35</v>
      </c>
      <c r="K19" s="26" t="s">
        <v>10</v>
      </c>
      <c r="L19" s="25" t="s">
        <v>9</v>
      </c>
      <c r="M19" s="26" t="s">
        <v>29</v>
      </c>
      <c r="N19" s="26" t="s">
        <v>144</v>
      </c>
      <c r="O19" s="26" t="s">
        <v>145</v>
      </c>
      <c r="P19" s="43" t="s">
        <v>11</v>
      </c>
      <c r="Q19" s="42"/>
      <c r="R19" s="26" t="s">
        <v>820</v>
      </c>
    </row>
    <row r="20" spans="1:18" ht="18" customHeight="1">
      <c r="A20" s="40">
        <v>19</v>
      </c>
      <c r="B20" s="26" t="s">
        <v>8</v>
      </c>
      <c r="C20" s="26" t="s">
        <v>134</v>
      </c>
      <c r="D20" s="24">
        <v>1077660615</v>
      </c>
      <c r="E20" s="26" t="s">
        <v>135</v>
      </c>
      <c r="F20" s="23">
        <v>28</v>
      </c>
      <c r="G20" s="26" t="s">
        <v>457</v>
      </c>
      <c r="H20" s="26">
        <v>181</v>
      </c>
      <c r="I20" s="26" t="s">
        <v>447</v>
      </c>
      <c r="J20" s="26" t="s">
        <v>12</v>
      </c>
      <c r="K20" s="26" t="s">
        <v>10</v>
      </c>
      <c r="L20" s="25" t="s">
        <v>9</v>
      </c>
      <c r="M20" s="26" t="s">
        <v>10</v>
      </c>
      <c r="N20" s="26" t="s">
        <v>136</v>
      </c>
      <c r="O20" s="26" t="s">
        <v>137</v>
      </c>
      <c r="P20" s="43" t="s">
        <v>10</v>
      </c>
      <c r="Q20" s="42"/>
      <c r="R20" s="26" t="s">
        <v>820</v>
      </c>
    </row>
    <row r="21" spans="1:18" ht="18" customHeight="1">
      <c r="A21" s="40">
        <v>20</v>
      </c>
      <c r="B21" s="26" t="s">
        <v>14</v>
      </c>
      <c r="C21" s="26" t="s">
        <v>959</v>
      </c>
      <c r="D21" s="24">
        <v>1036959322</v>
      </c>
      <c r="E21" s="26" t="s">
        <v>960</v>
      </c>
      <c r="F21" s="23">
        <v>26</v>
      </c>
      <c r="G21" s="26" t="s">
        <v>997</v>
      </c>
      <c r="H21" s="26">
        <v>161</v>
      </c>
      <c r="I21" s="26" t="s">
        <v>452</v>
      </c>
      <c r="J21" s="26" t="s">
        <v>12</v>
      </c>
      <c r="K21" s="26" t="s">
        <v>961</v>
      </c>
      <c r="L21" s="25" t="s">
        <v>31</v>
      </c>
      <c r="M21" s="26" t="s">
        <v>57</v>
      </c>
      <c r="N21" s="26" t="s">
        <v>962</v>
      </c>
      <c r="O21" s="26" t="s">
        <v>963</v>
      </c>
      <c r="P21" s="43" t="s">
        <v>10</v>
      </c>
      <c r="Q21" s="42"/>
      <c r="R21" s="26" t="s">
        <v>820</v>
      </c>
    </row>
    <row r="22" spans="1:18" ht="18" customHeight="1">
      <c r="A22" s="40">
        <v>21</v>
      </c>
      <c r="B22" s="26" t="s">
        <v>14</v>
      </c>
      <c r="C22" s="26" t="s">
        <v>491</v>
      </c>
      <c r="D22" s="24">
        <v>1051089080</v>
      </c>
      <c r="E22" s="26" t="s">
        <v>492</v>
      </c>
      <c r="F22" s="23">
        <v>29</v>
      </c>
      <c r="G22" s="26" t="s">
        <v>759</v>
      </c>
      <c r="H22" s="26">
        <v>164</v>
      </c>
      <c r="I22" s="26" t="s">
        <v>2378</v>
      </c>
      <c r="J22" s="26" t="s">
        <v>1966</v>
      </c>
      <c r="K22" s="26" t="s">
        <v>494</v>
      </c>
      <c r="L22" s="25" t="s">
        <v>9</v>
      </c>
      <c r="M22" s="26" t="s">
        <v>57</v>
      </c>
      <c r="N22" s="26" t="s">
        <v>495</v>
      </c>
      <c r="O22" s="26" t="s">
        <v>496</v>
      </c>
      <c r="P22" s="43" t="s">
        <v>497</v>
      </c>
      <c r="Q22" s="42"/>
      <c r="R22" s="26" t="s">
        <v>820</v>
      </c>
    </row>
    <row r="23" spans="1:18" ht="18" customHeight="1">
      <c r="A23" s="40">
        <v>22</v>
      </c>
      <c r="B23" s="26" t="s">
        <v>8</v>
      </c>
      <c r="C23" s="26" t="s">
        <v>1105</v>
      </c>
      <c r="D23" s="24">
        <v>1091113105</v>
      </c>
      <c r="E23" s="26" t="s">
        <v>1106</v>
      </c>
      <c r="F23" s="23">
        <v>37</v>
      </c>
      <c r="G23" s="26" t="s">
        <v>2379</v>
      </c>
      <c r="H23" s="26">
        <v>174</v>
      </c>
      <c r="I23" s="26" t="s">
        <v>2380</v>
      </c>
      <c r="J23" s="26" t="s">
        <v>19</v>
      </c>
      <c r="K23" s="26" t="s">
        <v>10</v>
      </c>
      <c r="L23" s="25" t="s">
        <v>20</v>
      </c>
      <c r="M23" s="26" t="s">
        <v>10</v>
      </c>
      <c r="N23" s="26" t="s">
        <v>1107</v>
      </c>
      <c r="O23" s="26" t="s">
        <v>1108</v>
      </c>
      <c r="P23" s="43" t="s">
        <v>10</v>
      </c>
      <c r="Q23" s="42"/>
      <c r="R23" s="26" t="s">
        <v>820</v>
      </c>
    </row>
    <row r="24" spans="1:18" ht="18" customHeight="1">
      <c r="A24" s="40">
        <v>23</v>
      </c>
      <c r="B24" s="26" t="s">
        <v>8</v>
      </c>
      <c r="C24" s="26" t="s">
        <v>1007</v>
      </c>
      <c r="D24" s="24">
        <v>1085750129</v>
      </c>
      <c r="E24" s="26" t="s">
        <v>1008</v>
      </c>
      <c r="F24" s="23">
        <v>40</v>
      </c>
      <c r="G24" s="26" t="s">
        <v>443</v>
      </c>
      <c r="H24" s="26">
        <v>176</v>
      </c>
      <c r="I24" s="26" t="s">
        <v>2380</v>
      </c>
      <c r="J24" s="26" t="s">
        <v>23</v>
      </c>
      <c r="K24" s="26" t="s">
        <v>10</v>
      </c>
      <c r="L24" s="25" t="s">
        <v>9</v>
      </c>
      <c r="M24" s="26" t="s">
        <v>10</v>
      </c>
      <c r="N24" s="26" t="s">
        <v>1009</v>
      </c>
      <c r="O24" s="26"/>
      <c r="P24" s="43" t="s">
        <v>10</v>
      </c>
      <c r="Q24" s="42"/>
      <c r="R24" s="26" t="s">
        <v>820</v>
      </c>
    </row>
    <row r="25" spans="1:18" ht="18" customHeight="1">
      <c r="A25" s="40">
        <v>24</v>
      </c>
      <c r="B25" s="26" t="s">
        <v>14</v>
      </c>
      <c r="C25" s="26" t="s">
        <v>989</v>
      </c>
      <c r="D25" s="24">
        <v>1094131786</v>
      </c>
      <c r="E25" s="26" t="s">
        <v>990</v>
      </c>
      <c r="F25" s="23">
        <v>32</v>
      </c>
      <c r="G25" s="26" t="s">
        <v>2381</v>
      </c>
      <c r="H25" s="26">
        <v>171</v>
      </c>
      <c r="I25" s="26" t="s">
        <v>454</v>
      </c>
      <c r="J25" s="26" t="s">
        <v>37</v>
      </c>
      <c r="K25" s="26" t="s">
        <v>10</v>
      </c>
      <c r="L25" s="25" t="s">
        <v>49</v>
      </c>
      <c r="M25" s="26" t="s">
        <v>10</v>
      </c>
      <c r="N25" s="26" t="s">
        <v>991</v>
      </c>
      <c r="O25" s="26" t="s">
        <v>992</v>
      </c>
      <c r="P25" s="43" t="s">
        <v>11</v>
      </c>
      <c r="Q25" s="42"/>
      <c r="R25" s="26" t="s">
        <v>820</v>
      </c>
    </row>
    <row r="26" spans="1:18" ht="18" customHeight="1">
      <c r="A26" s="40">
        <v>25</v>
      </c>
      <c r="B26" s="26" t="s">
        <v>14</v>
      </c>
      <c r="C26" s="26" t="s">
        <v>276</v>
      </c>
      <c r="D26" s="24">
        <v>1085700389</v>
      </c>
      <c r="E26" s="26" t="s">
        <v>277</v>
      </c>
      <c r="F26" s="23">
        <v>35</v>
      </c>
      <c r="G26" s="26" t="s">
        <v>438</v>
      </c>
      <c r="H26" s="26">
        <v>156</v>
      </c>
      <c r="I26" s="26" t="s">
        <v>1120</v>
      </c>
      <c r="J26" s="26" t="s">
        <v>30</v>
      </c>
      <c r="K26" s="26" t="s">
        <v>10</v>
      </c>
      <c r="L26" s="25" t="s">
        <v>20</v>
      </c>
      <c r="M26" s="26" t="s">
        <v>57</v>
      </c>
      <c r="N26" s="26" t="s">
        <v>278</v>
      </c>
      <c r="O26" s="26" t="s">
        <v>279</v>
      </c>
      <c r="P26" s="43" t="s">
        <v>10</v>
      </c>
      <c r="Q26" s="42"/>
      <c r="R26" s="26" t="s">
        <v>820</v>
      </c>
    </row>
    <row r="27" spans="1:18" ht="18" customHeight="1">
      <c r="A27" s="40">
        <v>26</v>
      </c>
      <c r="B27" s="26" t="s">
        <v>14</v>
      </c>
      <c r="C27" s="26" t="s">
        <v>246</v>
      </c>
      <c r="D27" s="24">
        <v>1058380435</v>
      </c>
      <c r="E27" s="26" t="s">
        <v>247</v>
      </c>
      <c r="F27" s="23">
        <v>30</v>
      </c>
      <c r="G27" s="26" t="s">
        <v>2364</v>
      </c>
      <c r="H27" s="26">
        <v>155</v>
      </c>
      <c r="I27" s="26" t="s">
        <v>2376</v>
      </c>
      <c r="J27" s="26" t="s">
        <v>66</v>
      </c>
      <c r="K27" s="26" t="s">
        <v>10</v>
      </c>
      <c r="L27" s="25" t="s">
        <v>9</v>
      </c>
      <c r="M27" s="26" t="s">
        <v>29</v>
      </c>
      <c r="N27" s="26" t="s">
        <v>248</v>
      </c>
      <c r="O27" s="26" t="s">
        <v>249</v>
      </c>
      <c r="P27" s="43" t="s">
        <v>11</v>
      </c>
      <c r="Q27" s="42"/>
      <c r="R27" s="26" t="s">
        <v>820</v>
      </c>
    </row>
    <row r="28" spans="1:18" ht="18" customHeight="1">
      <c r="A28" s="40">
        <v>27</v>
      </c>
      <c r="B28" s="26" t="s">
        <v>14</v>
      </c>
      <c r="C28" s="26" t="s">
        <v>246</v>
      </c>
      <c r="D28" s="24">
        <v>1064833091</v>
      </c>
      <c r="E28" s="26" t="s">
        <v>1025</v>
      </c>
      <c r="F28" s="23">
        <v>32</v>
      </c>
      <c r="G28" s="26" t="s">
        <v>439</v>
      </c>
      <c r="H28" s="26">
        <v>172</v>
      </c>
      <c r="I28" s="26" t="s">
        <v>763</v>
      </c>
      <c r="J28" s="26" t="s">
        <v>30</v>
      </c>
      <c r="K28" s="26" t="s">
        <v>10</v>
      </c>
      <c r="L28" s="25" t="s">
        <v>9</v>
      </c>
      <c r="M28" s="26" t="s">
        <v>10</v>
      </c>
      <c r="N28" s="26" t="s">
        <v>249</v>
      </c>
      <c r="O28" s="26" t="s">
        <v>1026</v>
      </c>
      <c r="P28" s="43" t="s">
        <v>73</v>
      </c>
      <c r="Q28" s="42"/>
      <c r="R28" s="26" t="s">
        <v>820</v>
      </c>
    </row>
    <row r="29" spans="1:18" ht="18" customHeight="1">
      <c r="A29" s="40">
        <v>28</v>
      </c>
      <c r="B29" s="26" t="s">
        <v>14</v>
      </c>
      <c r="C29" s="26" t="s">
        <v>246</v>
      </c>
      <c r="D29" s="24">
        <v>1046643991</v>
      </c>
      <c r="E29" s="26" t="s">
        <v>1044</v>
      </c>
      <c r="F29" s="23">
        <v>39</v>
      </c>
      <c r="G29" s="26" t="s">
        <v>2374</v>
      </c>
      <c r="H29" s="26">
        <v>153</v>
      </c>
      <c r="I29" s="26" t="s">
        <v>1120</v>
      </c>
      <c r="J29" s="26" t="s">
        <v>35</v>
      </c>
      <c r="K29" s="26" t="s">
        <v>10</v>
      </c>
      <c r="L29" s="25" t="s">
        <v>9</v>
      </c>
      <c r="M29" s="26" t="s">
        <v>29</v>
      </c>
      <c r="N29" s="26" t="s">
        <v>1045</v>
      </c>
      <c r="O29" s="26" t="s">
        <v>1046</v>
      </c>
      <c r="P29" s="43" t="s">
        <v>11</v>
      </c>
      <c r="Q29" s="42"/>
      <c r="R29" s="26" t="s">
        <v>820</v>
      </c>
    </row>
    <row r="30" spans="1:18" ht="18" customHeight="1">
      <c r="A30" s="40">
        <v>29</v>
      </c>
      <c r="B30" s="26" t="s">
        <v>8</v>
      </c>
      <c r="C30" s="26" t="s">
        <v>589</v>
      </c>
      <c r="D30" s="24">
        <v>1049764250</v>
      </c>
      <c r="E30" s="26" t="s">
        <v>590</v>
      </c>
      <c r="F30" s="23">
        <v>31</v>
      </c>
      <c r="G30" s="26" t="s">
        <v>2382</v>
      </c>
      <c r="H30" s="26">
        <v>171</v>
      </c>
      <c r="I30" s="26" t="s">
        <v>760</v>
      </c>
      <c r="J30" s="26" t="s">
        <v>59</v>
      </c>
      <c r="K30" s="26" t="s">
        <v>592</v>
      </c>
      <c r="L30" s="25" t="s">
        <v>9</v>
      </c>
      <c r="M30" s="26" t="s">
        <v>29</v>
      </c>
      <c r="N30" s="26" t="s">
        <v>593</v>
      </c>
      <c r="O30" s="26" t="s">
        <v>594</v>
      </c>
      <c r="P30" s="43" t="s">
        <v>10</v>
      </c>
      <c r="Q30" s="42"/>
      <c r="R30" s="26" t="s">
        <v>820</v>
      </c>
    </row>
    <row r="31" spans="1:18" ht="18" customHeight="1">
      <c r="A31" s="40">
        <v>30</v>
      </c>
      <c r="B31" s="26" t="s">
        <v>14</v>
      </c>
      <c r="C31" s="26" t="s">
        <v>1079</v>
      </c>
      <c r="D31" s="24">
        <v>1041154565</v>
      </c>
      <c r="E31" s="26" t="s">
        <v>1080</v>
      </c>
      <c r="F31" s="23">
        <v>31</v>
      </c>
      <c r="G31" s="26" t="s">
        <v>457</v>
      </c>
      <c r="H31" s="26">
        <v>175</v>
      </c>
      <c r="I31" s="26" t="s">
        <v>2383</v>
      </c>
      <c r="J31" s="26" t="s">
        <v>35</v>
      </c>
      <c r="K31" s="26" t="s">
        <v>1081</v>
      </c>
      <c r="L31" s="25"/>
      <c r="M31" s="26"/>
      <c r="N31" s="26" t="s">
        <v>1082</v>
      </c>
      <c r="O31" s="26" t="s">
        <v>1083</v>
      </c>
      <c r="P31" s="43" t="s">
        <v>1084</v>
      </c>
      <c r="Q31" s="42" t="s">
        <v>1085</v>
      </c>
      <c r="R31" s="26" t="s">
        <v>820</v>
      </c>
    </row>
    <row r="32" spans="1:18" ht="18" customHeight="1">
      <c r="A32" s="40">
        <v>31</v>
      </c>
      <c r="B32" s="26" t="s">
        <v>8</v>
      </c>
      <c r="C32" s="26" t="s">
        <v>1027</v>
      </c>
      <c r="D32" s="24">
        <v>1055033404</v>
      </c>
      <c r="E32" s="26" t="s">
        <v>1028</v>
      </c>
      <c r="F32" s="23">
        <v>31</v>
      </c>
      <c r="G32" s="26" t="s">
        <v>457</v>
      </c>
      <c r="H32" s="26">
        <v>176</v>
      </c>
      <c r="I32" s="26" t="s">
        <v>2380</v>
      </c>
      <c r="J32" s="26" t="s">
        <v>59</v>
      </c>
      <c r="K32" s="26" t="s">
        <v>10</v>
      </c>
      <c r="L32" s="25" t="s">
        <v>31</v>
      </c>
      <c r="M32" s="26" t="s">
        <v>10</v>
      </c>
      <c r="N32" s="26" t="s">
        <v>1029</v>
      </c>
      <c r="O32" s="26" t="s">
        <v>1030</v>
      </c>
      <c r="P32" s="43" t="s">
        <v>10</v>
      </c>
      <c r="Q32" s="42"/>
      <c r="R32" s="26" t="s">
        <v>820</v>
      </c>
    </row>
    <row r="33" spans="1:18" ht="18" customHeight="1">
      <c r="A33" s="40">
        <v>32</v>
      </c>
      <c r="B33" s="26" t="s">
        <v>8</v>
      </c>
      <c r="C33" s="26" t="s">
        <v>936</v>
      </c>
      <c r="D33" s="24" t="s">
        <v>937</v>
      </c>
      <c r="E33" s="26" t="s">
        <v>938</v>
      </c>
      <c r="F33" s="23">
        <v>38</v>
      </c>
      <c r="G33" s="26" t="s">
        <v>2379</v>
      </c>
      <c r="H33" s="26">
        <v>168</v>
      </c>
      <c r="I33" s="26" t="s">
        <v>2367</v>
      </c>
      <c r="J33" s="26" t="s">
        <v>24</v>
      </c>
      <c r="K33" s="26" t="s">
        <v>939</v>
      </c>
      <c r="L33" s="25" t="s">
        <v>224</v>
      </c>
      <c r="M33" s="26" t="s">
        <v>29</v>
      </c>
      <c r="N33" s="26" t="s">
        <v>940</v>
      </c>
      <c r="O33" s="26"/>
      <c r="P33" s="43" t="s">
        <v>941</v>
      </c>
      <c r="Q33" s="42"/>
      <c r="R33" s="26" t="s">
        <v>820</v>
      </c>
    </row>
    <row r="34" spans="1:18" ht="18" customHeight="1">
      <c r="A34" s="40">
        <v>33</v>
      </c>
      <c r="B34" s="26" t="s">
        <v>14</v>
      </c>
      <c r="C34" s="26" t="s">
        <v>631</v>
      </c>
      <c r="D34" s="24">
        <v>1041574806</v>
      </c>
      <c r="E34" s="26" t="s">
        <v>632</v>
      </c>
      <c r="F34" s="23">
        <v>30</v>
      </c>
      <c r="G34" s="26" t="s">
        <v>2370</v>
      </c>
      <c r="H34" s="26">
        <v>158</v>
      </c>
      <c r="I34" s="26" t="s">
        <v>2378</v>
      </c>
      <c r="J34" s="26" t="s">
        <v>76</v>
      </c>
      <c r="K34" s="26" t="s">
        <v>634</v>
      </c>
      <c r="L34" s="25" t="s">
        <v>31</v>
      </c>
      <c r="M34" s="26" t="s">
        <v>10</v>
      </c>
      <c r="N34" s="26" t="s">
        <v>635</v>
      </c>
      <c r="O34" s="26" t="s">
        <v>636</v>
      </c>
      <c r="P34" s="43" t="s">
        <v>10</v>
      </c>
      <c r="Q34" s="42"/>
      <c r="R34" s="26" t="s">
        <v>820</v>
      </c>
    </row>
    <row r="35" spans="1:18" ht="18" customHeight="1">
      <c r="A35" s="40">
        <v>34</v>
      </c>
      <c r="B35" s="26" t="s">
        <v>14</v>
      </c>
      <c r="C35" s="26" t="s">
        <v>419</v>
      </c>
      <c r="D35" s="24">
        <v>1032462090</v>
      </c>
      <c r="E35" s="26" t="s">
        <v>420</v>
      </c>
      <c r="F35" s="23">
        <v>27</v>
      </c>
      <c r="G35" s="26" t="s">
        <v>439</v>
      </c>
      <c r="H35" s="26">
        <v>169</v>
      </c>
      <c r="I35" s="26" t="s">
        <v>2368</v>
      </c>
      <c r="J35" s="26" t="s">
        <v>76</v>
      </c>
      <c r="K35" s="26" t="s">
        <v>10</v>
      </c>
      <c r="L35" s="25" t="s">
        <v>9</v>
      </c>
      <c r="M35" s="26" t="s">
        <v>10</v>
      </c>
      <c r="N35" s="26" t="s">
        <v>421</v>
      </c>
      <c r="O35" s="26" t="s">
        <v>422</v>
      </c>
      <c r="P35" s="43" t="s">
        <v>10</v>
      </c>
      <c r="Q35" s="42"/>
      <c r="R35" s="26" t="s">
        <v>820</v>
      </c>
    </row>
    <row r="36" spans="1:18" ht="18" customHeight="1">
      <c r="A36" s="40">
        <v>35</v>
      </c>
      <c r="B36" s="26" t="s">
        <v>8</v>
      </c>
      <c r="C36" s="26" t="s">
        <v>1061</v>
      </c>
      <c r="D36" s="24">
        <v>1073391290</v>
      </c>
      <c r="E36" s="26" t="s">
        <v>1062</v>
      </c>
      <c r="F36" s="23">
        <v>28</v>
      </c>
      <c r="G36" s="26" t="s">
        <v>2382</v>
      </c>
      <c r="H36" s="26">
        <v>180</v>
      </c>
      <c r="I36" s="26" t="s">
        <v>449</v>
      </c>
      <c r="J36" s="26" t="s">
        <v>13</v>
      </c>
      <c r="K36" s="26" t="s">
        <v>10</v>
      </c>
      <c r="L36" s="25" t="s">
        <v>9</v>
      </c>
      <c r="M36" s="26" t="s">
        <v>29</v>
      </c>
      <c r="N36" s="26" t="s">
        <v>1063</v>
      </c>
      <c r="O36" s="26" t="s">
        <v>1064</v>
      </c>
      <c r="P36" s="43" t="s">
        <v>11</v>
      </c>
      <c r="Q36" s="42"/>
      <c r="R36" s="26" t="s">
        <v>820</v>
      </c>
    </row>
    <row r="37" spans="1:18" ht="18" customHeight="1">
      <c r="A37" s="40">
        <v>36</v>
      </c>
      <c r="B37" s="26" t="s">
        <v>14</v>
      </c>
      <c r="C37" s="26" t="s">
        <v>478</v>
      </c>
      <c r="D37" s="24">
        <v>1088248684</v>
      </c>
      <c r="E37" s="26" t="s">
        <v>479</v>
      </c>
      <c r="F37" s="23">
        <v>38</v>
      </c>
      <c r="G37" s="26" t="s">
        <v>442</v>
      </c>
      <c r="H37" s="26">
        <v>167</v>
      </c>
      <c r="I37" s="26" t="s">
        <v>453</v>
      </c>
      <c r="J37" s="26" t="s">
        <v>12</v>
      </c>
      <c r="K37" s="26" t="s">
        <v>10</v>
      </c>
      <c r="L37" s="25" t="s">
        <v>9</v>
      </c>
      <c r="M37" s="26" t="s">
        <v>10</v>
      </c>
      <c r="N37" s="26" t="s">
        <v>481</v>
      </c>
      <c r="O37" s="26" t="s">
        <v>482</v>
      </c>
      <c r="P37" s="43" t="s">
        <v>10</v>
      </c>
      <c r="Q37" s="42"/>
      <c r="R37" s="26" t="s">
        <v>820</v>
      </c>
    </row>
    <row r="38" spans="1:18" ht="18" customHeight="1">
      <c r="A38" s="40">
        <v>37</v>
      </c>
      <c r="B38" s="26" t="s">
        <v>14</v>
      </c>
      <c r="C38" s="26" t="s">
        <v>165</v>
      </c>
      <c r="D38" s="24">
        <v>1071281563</v>
      </c>
      <c r="E38" s="26" t="s">
        <v>166</v>
      </c>
      <c r="F38" s="23">
        <v>38</v>
      </c>
      <c r="G38" s="26" t="s">
        <v>442</v>
      </c>
      <c r="H38" s="26">
        <v>170</v>
      </c>
      <c r="I38" s="26" t="s">
        <v>453</v>
      </c>
      <c r="J38" s="26" t="s">
        <v>23</v>
      </c>
      <c r="K38" s="26" t="s">
        <v>167</v>
      </c>
      <c r="L38" s="25" t="s">
        <v>9</v>
      </c>
      <c r="M38" s="26" t="s">
        <v>29</v>
      </c>
      <c r="N38" s="26" t="s">
        <v>168</v>
      </c>
      <c r="O38" s="26" t="s">
        <v>169</v>
      </c>
      <c r="P38" s="43" t="s">
        <v>10</v>
      </c>
      <c r="Q38" s="42"/>
      <c r="R38" s="26" t="s">
        <v>820</v>
      </c>
    </row>
    <row r="39" spans="1:18" ht="18" customHeight="1">
      <c r="A39" s="40">
        <v>38</v>
      </c>
      <c r="B39" s="26" t="s">
        <v>14</v>
      </c>
      <c r="C39" s="26" t="s">
        <v>153</v>
      </c>
      <c r="D39" s="24">
        <v>1063877374</v>
      </c>
      <c r="E39" s="26" t="s">
        <v>154</v>
      </c>
      <c r="F39" s="23">
        <v>27</v>
      </c>
      <c r="G39" s="26" t="s">
        <v>2364</v>
      </c>
      <c r="H39" s="26">
        <v>160</v>
      </c>
      <c r="I39" s="26" t="s">
        <v>454</v>
      </c>
      <c r="J39" s="26" t="s">
        <v>12</v>
      </c>
      <c r="K39" s="26" t="s">
        <v>155</v>
      </c>
      <c r="L39" s="25" t="s">
        <v>9</v>
      </c>
      <c r="M39" s="26" t="s">
        <v>29</v>
      </c>
      <c r="N39" s="26" t="s">
        <v>156</v>
      </c>
      <c r="O39" s="26" t="s">
        <v>157</v>
      </c>
      <c r="P39" s="43" t="s">
        <v>10</v>
      </c>
      <c r="Q39" s="42"/>
      <c r="R39" s="26" t="s">
        <v>820</v>
      </c>
    </row>
    <row r="40" spans="1:18" ht="18" customHeight="1">
      <c r="A40" s="40">
        <v>39</v>
      </c>
      <c r="B40" s="26" t="s">
        <v>14</v>
      </c>
      <c r="C40" s="26" t="s">
        <v>800</v>
      </c>
      <c r="D40" s="24">
        <v>1062305288</v>
      </c>
      <c r="E40" s="26" t="s">
        <v>801</v>
      </c>
      <c r="F40" s="23">
        <v>31</v>
      </c>
      <c r="G40" s="26" t="s">
        <v>2370</v>
      </c>
      <c r="H40" s="26">
        <v>164</v>
      </c>
      <c r="I40" s="26" t="s">
        <v>453</v>
      </c>
      <c r="J40" s="26" t="s">
        <v>802</v>
      </c>
      <c r="K40" s="26" t="s">
        <v>10</v>
      </c>
      <c r="L40" s="25" t="s">
        <v>75</v>
      </c>
      <c r="M40" s="26" t="s">
        <v>29</v>
      </c>
      <c r="N40" s="26" t="s">
        <v>803</v>
      </c>
      <c r="O40" s="26" t="s">
        <v>804</v>
      </c>
      <c r="P40" s="43" t="s">
        <v>11</v>
      </c>
      <c r="Q40" s="42"/>
      <c r="R40" s="26" t="s">
        <v>820</v>
      </c>
    </row>
    <row r="41" spans="1:18" ht="18" customHeight="1">
      <c r="A41" s="40">
        <v>40</v>
      </c>
      <c r="B41" s="26" t="s">
        <v>14</v>
      </c>
      <c r="C41" s="26" t="s">
        <v>576</v>
      </c>
      <c r="D41" s="24">
        <v>1021089193</v>
      </c>
      <c r="E41" s="26" t="s">
        <v>577</v>
      </c>
      <c r="F41" s="23">
        <v>35</v>
      </c>
      <c r="G41" s="26" t="s">
        <v>2370</v>
      </c>
      <c r="H41" s="26">
        <v>166</v>
      </c>
      <c r="I41" s="26" t="s">
        <v>453</v>
      </c>
      <c r="J41" s="26" t="s">
        <v>18</v>
      </c>
      <c r="K41" s="26" t="s">
        <v>253</v>
      </c>
      <c r="L41" s="25" t="s">
        <v>9</v>
      </c>
      <c r="M41" s="26" t="s">
        <v>10</v>
      </c>
      <c r="N41" s="26" t="s">
        <v>578</v>
      </c>
      <c r="O41" s="26" t="s">
        <v>579</v>
      </c>
      <c r="P41" s="43" t="s">
        <v>11</v>
      </c>
      <c r="Q41" s="42"/>
      <c r="R41" s="26" t="s">
        <v>820</v>
      </c>
    </row>
    <row r="42" spans="1:18" ht="18" customHeight="1">
      <c r="A42" s="40">
        <v>41</v>
      </c>
      <c r="B42" s="26" t="s">
        <v>14</v>
      </c>
      <c r="C42" s="26" t="s">
        <v>1109</v>
      </c>
      <c r="D42" s="24">
        <v>1059680517</v>
      </c>
      <c r="E42" s="26" t="s">
        <v>1110</v>
      </c>
      <c r="F42" s="23">
        <v>26</v>
      </c>
      <c r="G42" s="26" t="s">
        <v>766</v>
      </c>
      <c r="H42" s="26">
        <v>171</v>
      </c>
      <c r="I42" s="26" t="s">
        <v>763</v>
      </c>
      <c r="J42" s="26" t="s">
        <v>1111</v>
      </c>
      <c r="K42" s="26" t="s">
        <v>1112</v>
      </c>
      <c r="L42" s="25" t="s">
        <v>9</v>
      </c>
      <c r="M42" s="26" t="s">
        <v>29</v>
      </c>
      <c r="N42" s="26" t="s">
        <v>1113</v>
      </c>
      <c r="O42" s="26" t="s">
        <v>1114</v>
      </c>
      <c r="P42" s="43" t="s">
        <v>11</v>
      </c>
      <c r="Q42" s="42"/>
      <c r="R42" s="26" t="s">
        <v>820</v>
      </c>
    </row>
    <row r="43" spans="1:18" ht="18" customHeight="1">
      <c r="A43" s="40">
        <v>42</v>
      </c>
      <c r="B43" s="26" t="s">
        <v>14</v>
      </c>
      <c r="C43" s="26" t="s">
        <v>904</v>
      </c>
      <c r="D43" s="24" t="s">
        <v>905</v>
      </c>
      <c r="E43" s="26" t="s">
        <v>906</v>
      </c>
      <c r="F43" s="23">
        <v>35</v>
      </c>
      <c r="G43" s="26" t="s">
        <v>2370</v>
      </c>
      <c r="H43" s="26">
        <v>170</v>
      </c>
      <c r="I43" s="26" t="s">
        <v>452</v>
      </c>
      <c r="J43" s="26" t="s">
        <v>66</v>
      </c>
      <c r="K43" s="26" t="s">
        <v>908</v>
      </c>
      <c r="L43" s="25" t="s">
        <v>75</v>
      </c>
      <c r="M43" s="26" t="s">
        <v>29</v>
      </c>
      <c r="N43" s="26" t="s">
        <v>909</v>
      </c>
      <c r="O43" s="26" t="s">
        <v>910</v>
      </c>
      <c r="P43" s="43" t="s">
        <v>11</v>
      </c>
      <c r="Q43" s="42"/>
      <c r="R43" s="26" t="s">
        <v>820</v>
      </c>
    </row>
    <row r="44" spans="1:18" ht="18" customHeight="1">
      <c r="A44" s="40">
        <v>43</v>
      </c>
      <c r="B44" s="26" t="s">
        <v>14</v>
      </c>
      <c r="C44" s="26" t="s">
        <v>338</v>
      </c>
      <c r="D44" s="24">
        <v>1074746540</v>
      </c>
      <c r="E44" s="26" t="s">
        <v>339</v>
      </c>
      <c r="F44" s="23">
        <v>33</v>
      </c>
      <c r="G44" s="26" t="s">
        <v>439</v>
      </c>
      <c r="H44" s="26">
        <v>155</v>
      </c>
      <c r="I44" s="26" t="s">
        <v>453</v>
      </c>
      <c r="J44" s="26" t="s">
        <v>59</v>
      </c>
      <c r="K44" s="26" t="s">
        <v>193</v>
      </c>
      <c r="L44" s="25" t="s">
        <v>9</v>
      </c>
      <c r="M44" s="26" t="s">
        <v>10</v>
      </c>
      <c r="N44" s="26" t="s">
        <v>340</v>
      </c>
      <c r="O44" s="26" t="s">
        <v>341</v>
      </c>
      <c r="P44" s="43" t="s">
        <v>11</v>
      </c>
      <c r="Q44" s="34" t="s">
        <v>342</v>
      </c>
      <c r="R44" s="26" t="s">
        <v>820</v>
      </c>
    </row>
    <row r="45" spans="1:18" ht="18" customHeight="1">
      <c r="A45" s="40">
        <v>44</v>
      </c>
      <c r="B45" s="26" t="s">
        <v>14</v>
      </c>
      <c r="C45" s="26" t="s">
        <v>1115</v>
      </c>
      <c r="D45" s="24">
        <v>1023367601</v>
      </c>
      <c r="E45" s="26" t="s">
        <v>1116</v>
      </c>
      <c r="F45" s="23">
        <v>35</v>
      </c>
      <c r="G45" s="26" t="s">
        <v>761</v>
      </c>
      <c r="H45" s="26">
        <v>160</v>
      </c>
      <c r="I45" s="26" t="s">
        <v>453</v>
      </c>
      <c r="J45" s="26" t="s">
        <v>37</v>
      </c>
      <c r="K45" s="26" t="s">
        <v>10</v>
      </c>
      <c r="L45" s="25" t="s">
        <v>31</v>
      </c>
      <c r="M45" s="26" t="s">
        <v>29</v>
      </c>
      <c r="N45" s="26" t="s">
        <v>1117</v>
      </c>
      <c r="O45" s="26" t="s">
        <v>1118</v>
      </c>
      <c r="P45" s="43" t="s">
        <v>10</v>
      </c>
      <c r="Q45" s="42"/>
      <c r="R45" s="26" t="s">
        <v>820</v>
      </c>
    </row>
    <row r="46" spans="1:18" ht="18" customHeight="1">
      <c r="A46" s="40">
        <v>45</v>
      </c>
      <c r="B46" s="26" t="s">
        <v>14</v>
      </c>
      <c r="C46" s="26" t="s">
        <v>487</v>
      </c>
      <c r="D46" s="24">
        <v>1076635844</v>
      </c>
      <c r="E46" s="26" t="s">
        <v>488</v>
      </c>
      <c r="F46" s="23">
        <v>31</v>
      </c>
      <c r="G46" s="26" t="s">
        <v>2381</v>
      </c>
      <c r="H46" s="26">
        <v>165</v>
      </c>
      <c r="I46" s="26" t="s">
        <v>454</v>
      </c>
      <c r="J46" s="26" t="s">
        <v>19</v>
      </c>
      <c r="K46" s="26" t="s">
        <v>10</v>
      </c>
      <c r="L46" s="25" t="s">
        <v>31</v>
      </c>
      <c r="M46" s="26" t="s">
        <v>10</v>
      </c>
      <c r="N46" s="26" t="s">
        <v>489</v>
      </c>
      <c r="O46" s="26" t="s">
        <v>490</v>
      </c>
      <c r="P46" s="43" t="s">
        <v>10</v>
      </c>
      <c r="Q46" s="42"/>
      <c r="R46" s="26" t="s">
        <v>820</v>
      </c>
    </row>
    <row r="47" spans="1:18" ht="18" customHeight="1">
      <c r="A47" s="40">
        <v>46</v>
      </c>
      <c r="B47" s="26" t="s">
        <v>14</v>
      </c>
      <c r="C47" s="26" t="s">
        <v>722</v>
      </c>
      <c r="D47" s="24">
        <v>1020371287</v>
      </c>
      <c r="E47" s="26" t="s">
        <v>723</v>
      </c>
      <c r="F47" s="23">
        <v>31</v>
      </c>
      <c r="G47" s="26" t="s">
        <v>2364</v>
      </c>
      <c r="H47" s="26">
        <v>160</v>
      </c>
      <c r="I47" s="26" t="s">
        <v>770</v>
      </c>
      <c r="J47" s="26" t="s">
        <v>35</v>
      </c>
      <c r="K47" s="26" t="s">
        <v>10</v>
      </c>
      <c r="L47" s="25" t="s">
        <v>9</v>
      </c>
      <c r="M47" s="26" t="s">
        <v>29</v>
      </c>
      <c r="N47" s="26" t="s">
        <v>724</v>
      </c>
      <c r="O47" s="26" t="s">
        <v>725</v>
      </c>
      <c r="P47" s="43" t="s">
        <v>69</v>
      </c>
      <c r="Q47" s="42"/>
      <c r="R47" s="26" t="s">
        <v>820</v>
      </c>
    </row>
    <row r="48" spans="1:18" ht="18" customHeight="1">
      <c r="A48" s="40">
        <v>47</v>
      </c>
      <c r="B48" s="26" t="s">
        <v>14</v>
      </c>
      <c r="C48" s="26" t="s">
        <v>998</v>
      </c>
      <c r="D48" s="24">
        <v>1065664577</v>
      </c>
      <c r="E48" s="26" t="s">
        <v>273</v>
      </c>
      <c r="F48" s="23">
        <v>31</v>
      </c>
      <c r="G48" s="26" t="s">
        <v>439</v>
      </c>
      <c r="H48" s="26">
        <v>167</v>
      </c>
      <c r="I48" s="26" t="s">
        <v>2378</v>
      </c>
      <c r="J48" s="26" t="s">
        <v>35</v>
      </c>
      <c r="K48" s="26" t="s">
        <v>10</v>
      </c>
      <c r="L48" s="25" t="s">
        <v>20</v>
      </c>
      <c r="M48" s="26" t="s">
        <v>10</v>
      </c>
      <c r="N48" s="26" t="s">
        <v>999</v>
      </c>
      <c r="O48" s="26" t="s">
        <v>1000</v>
      </c>
      <c r="P48" s="43" t="s">
        <v>11</v>
      </c>
      <c r="Q48" s="42"/>
      <c r="R48" s="26" t="s">
        <v>820</v>
      </c>
    </row>
    <row r="49" spans="1:18" ht="18" customHeight="1">
      <c r="A49" s="40">
        <v>48</v>
      </c>
      <c r="B49" s="26" t="s">
        <v>8</v>
      </c>
      <c r="C49" s="26" t="s">
        <v>378</v>
      </c>
      <c r="D49" s="24">
        <v>1082866348</v>
      </c>
      <c r="E49" s="26" t="s">
        <v>379</v>
      </c>
      <c r="F49" s="23">
        <v>34</v>
      </c>
      <c r="G49" s="26" t="s">
        <v>2384</v>
      </c>
      <c r="H49" s="26">
        <v>174</v>
      </c>
      <c r="I49" s="26" t="s">
        <v>451</v>
      </c>
      <c r="J49" s="26" t="s">
        <v>35</v>
      </c>
      <c r="K49" s="26" t="s">
        <v>10</v>
      </c>
      <c r="L49" s="25" t="s">
        <v>9</v>
      </c>
      <c r="M49" s="26" t="s">
        <v>10</v>
      </c>
      <c r="N49" s="26" t="s">
        <v>381</v>
      </c>
      <c r="O49" s="26" t="s">
        <v>382</v>
      </c>
      <c r="P49" s="43" t="s">
        <v>10</v>
      </c>
      <c r="Q49" s="42"/>
      <c r="R49" s="26" t="s">
        <v>820</v>
      </c>
    </row>
    <row r="50" spans="1:18" ht="18" customHeight="1">
      <c r="A50" s="40">
        <v>49</v>
      </c>
      <c r="B50" s="26" t="s">
        <v>14</v>
      </c>
      <c r="C50" s="26" t="s">
        <v>498</v>
      </c>
      <c r="D50" s="24">
        <v>1027091998</v>
      </c>
      <c r="E50" s="26" t="s">
        <v>499</v>
      </c>
      <c r="F50" s="23">
        <v>36</v>
      </c>
      <c r="G50" s="26" t="s">
        <v>441</v>
      </c>
      <c r="H50" s="26">
        <v>168</v>
      </c>
      <c r="I50" s="26" t="s">
        <v>452</v>
      </c>
      <c r="J50" s="26" t="s">
        <v>23</v>
      </c>
      <c r="K50" s="26" t="s">
        <v>500</v>
      </c>
      <c r="L50" s="25" t="s">
        <v>9</v>
      </c>
      <c r="M50" s="26" t="s">
        <v>10</v>
      </c>
      <c r="N50" s="26" t="s">
        <v>501</v>
      </c>
      <c r="O50" s="26" t="s">
        <v>502</v>
      </c>
      <c r="P50" s="43" t="s">
        <v>10</v>
      </c>
      <c r="Q50" s="42"/>
      <c r="R50" s="26" t="s">
        <v>820</v>
      </c>
    </row>
    <row r="51" spans="1:18" ht="18" customHeight="1">
      <c r="A51" s="40">
        <v>50</v>
      </c>
      <c r="B51" s="26" t="s">
        <v>14</v>
      </c>
      <c r="C51" s="26" t="s">
        <v>1070</v>
      </c>
      <c r="D51" s="24" t="s">
        <v>1071</v>
      </c>
      <c r="E51" s="26" t="s">
        <v>868</v>
      </c>
      <c r="F51" s="23">
        <v>30</v>
      </c>
      <c r="G51" s="26" t="s">
        <v>2381</v>
      </c>
      <c r="H51" s="26">
        <v>165</v>
      </c>
      <c r="I51" s="26" t="s">
        <v>2376</v>
      </c>
      <c r="J51" s="26" t="s">
        <v>28</v>
      </c>
      <c r="K51" s="26" t="s">
        <v>10</v>
      </c>
      <c r="L51" s="25" t="s">
        <v>9</v>
      </c>
      <c r="M51" s="26" t="s">
        <v>29</v>
      </c>
      <c r="N51" s="26" t="s">
        <v>1072</v>
      </c>
      <c r="O51" s="26" t="s">
        <v>1073</v>
      </c>
      <c r="P51" s="43" t="s">
        <v>133</v>
      </c>
      <c r="Q51" s="42"/>
      <c r="R51" s="26" t="s">
        <v>820</v>
      </c>
    </row>
    <row r="52" spans="1:18" ht="18" customHeight="1">
      <c r="A52" s="40">
        <v>51</v>
      </c>
      <c r="B52" s="26" t="s">
        <v>14</v>
      </c>
      <c r="C52" s="26" t="s">
        <v>58</v>
      </c>
      <c r="D52" s="24">
        <v>1071411955</v>
      </c>
      <c r="E52" s="26" t="s">
        <v>964</v>
      </c>
      <c r="F52" s="23">
        <v>32</v>
      </c>
      <c r="G52" s="26" t="s">
        <v>438</v>
      </c>
      <c r="H52" s="26">
        <v>163</v>
      </c>
      <c r="I52" s="26" t="s">
        <v>2378</v>
      </c>
      <c r="J52" s="26" t="s">
        <v>1967</v>
      </c>
      <c r="K52" s="26" t="s">
        <v>966</v>
      </c>
      <c r="L52" s="25" t="s">
        <v>75</v>
      </c>
      <c r="M52" s="26" t="s">
        <v>29</v>
      </c>
      <c r="N52" s="26" t="s">
        <v>967</v>
      </c>
      <c r="O52" s="26" t="s">
        <v>968</v>
      </c>
      <c r="P52" s="43" t="s">
        <v>10</v>
      </c>
      <c r="Q52" s="42"/>
      <c r="R52" s="26" t="s">
        <v>820</v>
      </c>
    </row>
    <row r="53" spans="1:18" ht="18" customHeight="1">
      <c r="A53" s="40">
        <v>52</v>
      </c>
      <c r="B53" s="26" t="s">
        <v>14</v>
      </c>
      <c r="C53" s="26" t="s">
        <v>58</v>
      </c>
      <c r="D53" s="24">
        <v>1045321753</v>
      </c>
      <c r="E53" s="26" t="s">
        <v>672</v>
      </c>
      <c r="F53" s="23">
        <v>38</v>
      </c>
      <c r="G53" s="26" t="s">
        <v>442</v>
      </c>
      <c r="H53" s="26">
        <v>162</v>
      </c>
      <c r="I53" s="26" t="s">
        <v>2371</v>
      </c>
      <c r="J53" s="26" t="s">
        <v>252</v>
      </c>
      <c r="K53" s="26" t="s">
        <v>10</v>
      </c>
      <c r="L53" s="25" t="s">
        <v>9</v>
      </c>
      <c r="M53" s="26" t="s">
        <v>29</v>
      </c>
      <c r="N53" s="26" t="s">
        <v>673</v>
      </c>
      <c r="O53" s="26" t="s">
        <v>674</v>
      </c>
      <c r="P53" s="43" t="s">
        <v>73</v>
      </c>
      <c r="Q53" s="42"/>
      <c r="R53" s="26" t="s">
        <v>820</v>
      </c>
    </row>
    <row r="54" spans="1:18" ht="18" customHeight="1">
      <c r="A54" s="40">
        <v>53</v>
      </c>
      <c r="B54" s="26" t="s">
        <v>14</v>
      </c>
      <c r="C54" s="26" t="s">
        <v>94</v>
      </c>
      <c r="D54" s="24" t="s">
        <v>2385</v>
      </c>
      <c r="E54" s="26" t="s">
        <v>95</v>
      </c>
      <c r="F54" s="23">
        <v>35</v>
      </c>
      <c r="G54" s="26" t="s">
        <v>2370</v>
      </c>
      <c r="H54" s="26">
        <v>160</v>
      </c>
      <c r="I54" s="26" t="s">
        <v>2371</v>
      </c>
      <c r="J54" s="26" t="s">
        <v>18</v>
      </c>
      <c r="K54" s="26" t="s">
        <v>96</v>
      </c>
      <c r="L54" s="25" t="s">
        <v>9</v>
      </c>
      <c r="M54" s="26" t="s">
        <v>29</v>
      </c>
      <c r="N54" s="26" t="s">
        <v>97</v>
      </c>
      <c r="O54" s="26" t="s">
        <v>98</v>
      </c>
      <c r="P54" s="43" t="s">
        <v>10</v>
      </c>
      <c r="Q54" s="42"/>
      <c r="R54" s="26" t="s">
        <v>820</v>
      </c>
    </row>
    <row r="55" spans="1:18" ht="18" customHeight="1">
      <c r="A55" s="40">
        <v>54</v>
      </c>
      <c r="B55" s="26" t="s">
        <v>8</v>
      </c>
      <c r="C55" s="26" t="s">
        <v>652</v>
      </c>
      <c r="D55" s="24">
        <v>1041863897</v>
      </c>
      <c r="E55" s="26" t="s">
        <v>653</v>
      </c>
      <c r="F55" s="23">
        <v>26</v>
      </c>
      <c r="G55" s="26" t="s">
        <v>2382</v>
      </c>
      <c r="H55" s="26">
        <v>175</v>
      </c>
      <c r="I55" s="26" t="s">
        <v>2367</v>
      </c>
      <c r="J55" s="26" t="s">
        <v>66</v>
      </c>
      <c r="K55" s="26" t="s">
        <v>10</v>
      </c>
      <c r="L55" s="25" t="s">
        <v>9</v>
      </c>
      <c r="M55" s="26" t="s">
        <v>10</v>
      </c>
      <c r="N55" s="26" t="s">
        <v>654</v>
      </c>
      <c r="O55" s="26" t="s">
        <v>655</v>
      </c>
      <c r="P55" s="43" t="s">
        <v>646</v>
      </c>
      <c r="Q55" s="34" t="s">
        <v>656</v>
      </c>
      <c r="R55" s="26" t="s">
        <v>820</v>
      </c>
    </row>
    <row r="56" spans="1:18" ht="18" customHeight="1">
      <c r="A56" s="40">
        <v>55</v>
      </c>
      <c r="B56" s="26" t="s">
        <v>8</v>
      </c>
      <c r="C56" s="26" t="s">
        <v>978</v>
      </c>
      <c r="D56" s="24" t="s">
        <v>979</v>
      </c>
      <c r="E56" s="26" t="s">
        <v>980</v>
      </c>
      <c r="F56" s="23">
        <v>34</v>
      </c>
      <c r="G56" s="26" t="s">
        <v>439</v>
      </c>
      <c r="H56" s="26">
        <v>170</v>
      </c>
      <c r="I56" s="26" t="s">
        <v>2375</v>
      </c>
      <c r="J56" s="26" t="s">
        <v>37</v>
      </c>
      <c r="K56" s="26" t="s">
        <v>981</v>
      </c>
      <c r="L56" s="25" t="s">
        <v>31</v>
      </c>
      <c r="M56" s="26" t="s">
        <v>10</v>
      </c>
      <c r="N56" s="26" t="s">
        <v>982</v>
      </c>
      <c r="O56" s="26" t="s">
        <v>1042</v>
      </c>
      <c r="P56" s="43"/>
      <c r="Q56" s="42"/>
      <c r="R56" s="26" t="s">
        <v>820</v>
      </c>
    </row>
    <row r="57" spans="1:18" ht="18" customHeight="1">
      <c r="A57" s="40">
        <v>56</v>
      </c>
      <c r="B57" s="26" t="s">
        <v>8</v>
      </c>
      <c r="C57" s="26" t="s">
        <v>383</v>
      </c>
      <c r="D57" s="24">
        <v>1092734711</v>
      </c>
      <c r="E57" s="26" t="s">
        <v>384</v>
      </c>
      <c r="F57" s="23">
        <v>30</v>
      </c>
      <c r="G57" s="26" t="s">
        <v>440</v>
      </c>
      <c r="H57" s="26">
        <v>173</v>
      </c>
      <c r="I57" s="26" t="s">
        <v>451</v>
      </c>
      <c r="J57" s="26" t="s">
        <v>37</v>
      </c>
      <c r="K57" s="26" t="s">
        <v>10</v>
      </c>
      <c r="L57" s="25" t="s">
        <v>9</v>
      </c>
      <c r="M57" s="26" t="s">
        <v>10</v>
      </c>
      <c r="N57" s="26" t="s">
        <v>385</v>
      </c>
      <c r="O57" s="26" t="s">
        <v>386</v>
      </c>
      <c r="P57" s="43" t="s">
        <v>10</v>
      </c>
      <c r="Q57" s="42"/>
      <c r="R57" s="26" t="s">
        <v>820</v>
      </c>
    </row>
    <row r="58" spans="1:18" ht="18" customHeight="1">
      <c r="A58" s="40">
        <v>57</v>
      </c>
      <c r="B58" s="26" t="s">
        <v>14</v>
      </c>
      <c r="C58" s="26" t="s">
        <v>1031</v>
      </c>
      <c r="D58" s="24">
        <v>1073670518</v>
      </c>
      <c r="E58" s="26" t="s">
        <v>1032</v>
      </c>
      <c r="F58" s="23">
        <v>32</v>
      </c>
      <c r="G58" s="26" t="s">
        <v>2364</v>
      </c>
      <c r="H58" s="26">
        <v>158</v>
      </c>
      <c r="I58" s="26" t="s">
        <v>2368</v>
      </c>
      <c r="J58" s="26" t="s">
        <v>18</v>
      </c>
      <c r="K58" s="26" t="s">
        <v>10</v>
      </c>
      <c r="L58" s="25" t="s">
        <v>9</v>
      </c>
      <c r="M58" s="26" t="s">
        <v>10</v>
      </c>
      <c r="N58" s="26" t="s">
        <v>1033</v>
      </c>
      <c r="O58" s="26" t="s">
        <v>1034</v>
      </c>
      <c r="P58" s="43" t="s">
        <v>69</v>
      </c>
      <c r="Q58" s="42"/>
      <c r="R58" s="26" t="s">
        <v>820</v>
      </c>
    </row>
    <row r="59" spans="1:18" ht="18" customHeight="1">
      <c r="A59" s="40">
        <v>58</v>
      </c>
      <c r="B59" s="26" t="s">
        <v>14</v>
      </c>
      <c r="C59" s="26" t="s">
        <v>549</v>
      </c>
      <c r="D59" s="24" t="s">
        <v>550</v>
      </c>
      <c r="E59" s="26" t="s">
        <v>551</v>
      </c>
      <c r="F59" s="23">
        <v>35</v>
      </c>
      <c r="G59" s="26" t="s">
        <v>443</v>
      </c>
      <c r="H59" s="26">
        <v>158</v>
      </c>
      <c r="I59" s="26" t="s">
        <v>2368</v>
      </c>
      <c r="J59" s="26" t="s">
        <v>35</v>
      </c>
      <c r="K59" s="26" t="s">
        <v>552</v>
      </c>
      <c r="L59" s="25" t="s">
        <v>9</v>
      </c>
      <c r="M59" s="26" t="s">
        <v>29</v>
      </c>
      <c r="N59" s="26" t="s">
        <v>553</v>
      </c>
      <c r="O59" s="26" t="s">
        <v>554</v>
      </c>
      <c r="P59" s="43" t="s">
        <v>79</v>
      </c>
      <c r="Q59" s="42"/>
      <c r="R59" s="26" t="s">
        <v>820</v>
      </c>
    </row>
    <row r="60" spans="1:18" ht="18" customHeight="1">
      <c r="A60" s="40">
        <v>59</v>
      </c>
      <c r="B60" s="26" t="s">
        <v>14</v>
      </c>
      <c r="C60" s="26" t="s">
        <v>712</v>
      </c>
      <c r="D60" s="24">
        <v>1062224467</v>
      </c>
      <c r="E60" s="26" t="s">
        <v>713</v>
      </c>
      <c r="F60" s="23">
        <v>40</v>
      </c>
      <c r="G60" s="26" t="s">
        <v>2386</v>
      </c>
      <c r="H60" s="26">
        <v>157</v>
      </c>
      <c r="I60" s="26" t="s">
        <v>454</v>
      </c>
      <c r="J60" s="26" t="s">
        <v>13</v>
      </c>
      <c r="K60" s="26" t="s">
        <v>714</v>
      </c>
      <c r="L60" s="25" t="s">
        <v>9</v>
      </c>
      <c r="M60" s="26" t="s">
        <v>10</v>
      </c>
      <c r="N60" s="26" t="s">
        <v>715</v>
      </c>
      <c r="O60" s="26" t="s">
        <v>716</v>
      </c>
      <c r="P60" s="43" t="s">
        <v>10</v>
      </c>
      <c r="Q60" s="42"/>
      <c r="R60" s="26" t="s">
        <v>820</v>
      </c>
    </row>
    <row r="61" spans="1:18" ht="18" customHeight="1">
      <c r="A61" s="40">
        <v>60</v>
      </c>
      <c r="B61" s="26" t="s">
        <v>14</v>
      </c>
      <c r="C61" s="26" t="s">
        <v>926</v>
      </c>
      <c r="D61" s="24">
        <v>1055753015</v>
      </c>
      <c r="E61" s="26" t="s">
        <v>927</v>
      </c>
      <c r="F61" s="23">
        <v>31</v>
      </c>
      <c r="G61" s="26" t="s">
        <v>439</v>
      </c>
      <c r="H61" s="26">
        <v>170</v>
      </c>
      <c r="I61" s="26" t="s">
        <v>1120</v>
      </c>
      <c r="J61" s="26" t="s">
        <v>928</v>
      </c>
      <c r="K61" s="26" t="s">
        <v>929</v>
      </c>
      <c r="L61" s="25" t="s">
        <v>9</v>
      </c>
      <c r="M61" s="26" t="s">
        <v>10</v>
      </c>
      <c r="N61" s="26" t="s">
        <v>930</v>
      </c>
      <c r="O61" s="26" t="s">
        <v>931</v>
      </c>
      <c r="P61" s="43" t="s">
        <v>10</v>
      </c>
      <c r="Q61" s="42"/>
      <c r="R61" s="26" t="s">
        <v>820</v>
      </c>
    </row>
    <row r="62" spans="1:18" ht="18" customHeight="1">
      <c r="A62" s="40">
        <v>61</v>
      </c>
      <c r="B62" s="26" t="s">
        <v>14</v>
      </c>
      <c r="C62" s="26" t="s">
        <v>853</v>
      </c>
      <c r="D62" s="24">
        <v>1033646613</v>
      </c>
      <c r="E62" s="26" t="s">
        <v>854</v>
      </c>
      <c r="F62" s="23">
        <v>37</v>
      </c>
      <c r="G62" s="26" t="s">
        <v>438</v>
      </c>
      <c r="H62" s="26">
        <v>163</v>
      </c>
      <c r="I62" s="26" t="s">
        <v>453</v>
      </c>
      <c r="J62" s="26" t="s">
        <v>13</v>
      </c>
      <c r="K62" s="26" t="s">
        <v>856</v>
      </c>
      <c r="L62" s="25" t="s">
        <v>9</v>
      </c>
      <c r="M62" s="26" t="s">
        <v>10</v>
      </c>
      <c r="N62" s="26" t="s">
        <v>857</v>
      </c>
      <c r="O62" s="26" t="s">
        <v>858</v>
      </c>
      <c r="P62" s="43" t="s">
        <v>10</v>
      </c>
      <c r="Q62" s="42"/>
      <c r="R62" s="26" t="s">
        <v>820</v>
      </c>
    </row>
    <row r="63" spans="1:18" ht="18" customHeight="1">
      <c r="A63" s="40">
        <v>62</v>
      </c>
      <c r="B63" s="26" t="s">
        <v>8</v>
      </c>
      <c r="C63" s="26" t="s">
        <v>703</v>
      </c>
      <c r="D63" s="24">
        <v>1050217926</v>
      </c>
      <c r="E63" s="26" t="s">
        <v>704</v>
      </c>
      <c r="F63" s="23">
        <v>31</v>
      </c>
      <c r="G63" s="26" t="s">
        <v>440</v>
      </c>
      <c r="H63" s="26">
        <v>173</v>
      </c>
      <c r="I63" s="26" t="s">
        <v>2367</v>
      </c>
      <c r="J63" s="26" t="s">
        <v>19</v>
      </c>
      <c r="K63" s="26" t="s">
        <v>10</v>
      </c>
      <c r="L63" s="25" t="s">
        <v>9</v>
      </c>
      <c r="M63" s="26" t="s">
        <v>29</v>
      </c>
      <c r="N63" s="26" t="s">
        <v>705</v>
      </c>
      <c r="O63" s="26" t="s">
        <v>706</v>
      </c>
      <c r="P63" s="43" t="s">
        <v>707</v>
      </c>
      <c r="Q63" s="42"/>
      <c r="R63" s="26" t="s">
        <v>820</v>
      </c>
    </row>
    <row r="64" spans="1:18" ht="18" customHeight="1">
      <c r="A64" s="40">
        <v>63</v>
      </c>
      <c r="B64" s="26" t="s">
        <v>14</v>
      </c>
      <c r="C64" s="26" t="s">
        <v>397</v>
      </c>
      <c r="D64" s="24">
        <v>1089163584</v>
      </c>
      <c r="E64" s="26" t="s">
        <v>398</v>
      </c>
      <c r="F64" s="23">
        <v>38</v>
      </c>
      <c r="G64" s="26" t="s">
        <v>2374</v>
      </c>
      <c r="H64" s="26">
        <v>170</v>
      </c>
      <c r="I64" s="26" t="s">
        <v>2371</v>
      </c>
      <c r="J64" s="26" t="s">
        <v>30</v>
      </c>
      <c r="K64" s="26" t="s">
        <v>10</v>
      </c>
      <c r="L64" s="25" t="s">
        <v>9</v>
      </c>
      <c r="M64" s="26" t="s">
        <v>29</v>
      </c>
      <c r="N64" s="26" t="s">
        <v>399</v>
      </c>
      <c r="O64" s="26" t="s">
        <v>400</v>
      </c>
      <c r="P64" s="43" t="s">
        <v>11</v>
      </c>
      <c r="Q64" s="42"/>
      <c r="R64" s="26" t="s">
        <v>820</v>
      </c>
    </row>
    <row r="65" spans="1:18" ht="18" customHeight="1">
      <c r="A65" s="40">
        <v>64</v>
      </c>
      <c r="B65" s="26" t="s">
        <v>8</v>
      </c>
      <c r="C65" s="26" t="s">
        <v>685</v>
      </c>
      <c r="D65" s="24">
        <v>1099781257</v>
      </c>
      <c r="E65" s="26" t="s">
        <v>686</v>
      </c>
      <c r="F65" s="23">
        <v>35</v>
      </c>
      <c r="G65" s="26" t="s">
        <v>438</v>
      </c>
      <c r="H65" s="26">
        <v>175</v>
      </c>
      <c r="I65" s="26" t="s">
        <v>760</v>
      </c>
      <c r="J65" s="26" t="s">
        <v>12</v>
      </c>
      <c r="K65" s="26" t="s">
        <v>10</v>
      </c>
      <c r="L65" s="25" t="s">
        <v>49</v>
      </c>
      <c r="M65" s="26" t="s">
        <v>10</v>
      </c>
      <c r="N65" s="26" t="s">
        <v>687</v>
      </c>
      <c r="O65" s="26" t="s">
        <v>688</v>
      </c>
      <c r="P65" s="43"/>
      <c r="Q65" s="42"/>
      <c r="R65" s="26" t="s">
        <v>820</v>
      </c>
    </row>
    <row r="66" spans="1:18" ht="18" customHeight="1">
      <c r="A66" s="40">
        <v>65</v>
      </c>
      <c r="B66" s="26" t="s">
        <v>14</v>
      </c>
      <c r="C66" s="26" t="s">
        <v>265</v>
      </c>
      <c r="D66" s="24">
        <v>1055552153</v>
      </c>
      <c r="E66" s="26" t="s">
        <v>266</v>
      </c>
      <c r="F66" s="23">
        <v>32</v>
      </c>
      <c r="G66" s="26" t="s">
        <v>2370</v>
      </c>
      <c r="H66" s="26">
        <v>155</v>
      </c>
      <c r="I66" s="26" t="s">
        <v>2386</v>
      </c>
      <c r="J66" s="26" t="s">
        <v>1968</v>
      </c>
      <c r="K66" s="26" t="s">
        <v>10</v>
      </c>
      <c r="L66" s="25" t="s">
        <v>9</v>
      </c>
      <c r="M66" s="26" t="s">
        <v>10</v>
      </c>
      <c r="N66" s="26" t="s">
        <v>268</v>
      </c>
      <c r="O66" s="26" t="s">
        <v>269</v>
      </c>
      <c r="P66" s="43" t="s">
        <v>10</v>
      </c>
      <c r="Q66" s="42"/>
      <c r="R66" s="26" t="s">
        <v>820</v>
      </c>
    </row>
    <row r="67" spans="1:18" ht="18" customHeight="1">
      <c r="A67" s="40">
        <v>66</v>
      </c>
      <c r="B67" s="26" t="s">
        <v>14</v>
      </c>
      <c r="C67" s="26" t="s">
        <v>535</v>
      </c>
      <c r="D67" s="24">
        <v>1048667462</v>
      </c>
      <c r="E67" s="26" t="s">
        <v>536</v>
      </c>
      <c r="F67" s="23">
        <v>35</v>
      </c>
      <c r="G67" s="26" t="s">
        <v>2370</v>
      </c>
      <c r="H67" s="26">
        <v>167</v>
      </c>
      <c r="I67" s="26" t="s">
        <v>453</v>
      </c>
      <c r="J67" s="26" t="s">
        <v>28</v>
      </c>
      <c r="K67" s="26" t="s">
        <v>10</v>
      </c>
      <c r="L67" s="25" t="s">
        <v>9</v>
      </c>
      <c r="M67" s="26" t="s">
        <v>10</v>
      </c>
      <c r="N67" s="26" t="s">
        <v>538</v>
      </c>
      <c r="O67" s="26" t="s">
        <v>539</v>
      </c>
      <c r="P67" s="43" t="s">
        <v>79</v>
      </c>
      <c r="Q67" s="42"/>
      <c r="R67" s="26" t="s">
        <v>820</v>
      </c>
    </row>
    <row r="68" spans="1:18" ht="18" customHeight="1">
      <c r="A68" s="40">
        <v>67</v>
      </c>
      <c r="B68" s="26" t="s">
        <v>14</v>
      </c>
      <c r="C68" s="26" t="s">
        <v>256</v>
      </c>
      <c r="D68" s="24">
        <v>1065238584</v>
      </c>
      <c r="E68" s="26" t="s">
        <v>257</v>
      </c>
      <c r="F68" s="23">
        <v>35</v>
      </c>
      <c r="G68" s="26" t="s">
        <v>2379</v>
      </c>
      <c r="H68" s="26">
        <v>160</v>
      </c>
      <c r="I68" s="26" t="s">
        <v>453</v>
      </c>
      <c r="J68" s="26" t="s">
        <v>35</v>
      </c>
      <c r="K68" s="26" t="s">
        <v>10</v>
      </c>
      <c r="L68" s="25" t="s">
        <v>9</v>
      </c>
      <c r="M68" s="26" t="s">
        <v>10</v>
      </c>
      <c r="N68" s="26" t="s">
        <v>258</v>
      </c>
      <c r="O68" s="26" t="s">
        <v>259</v>
      </c>
      <c r="P68" s="43" t="s">
        <v>10</v>
      </c>
      <c r="Q68" s="35" t="s">
        <v>260</v>
      </c>
      <c r="R68" s="26" t="s">
        <v>820</v>
      </c>
    </row>
    <row r="69" spans="1:18" ht="18" customHeight="1">
      <c r="A69" s="40">
        <v>68</v>
      </c>
      <c r="B69" s="26" t="s">
        <v>14</v>
      </c>
      <c r="C69" s="26" t="s">
        <v>689</v>
      </c>
      <c r="D69" s="24">
        <v>1043207998</v>
      </c>
      <c r="E69" s="26" t="s">
        <v>690</v>
      </c>
      <c r="F69" s="23">
        <v>33</v>
      </c>
      <c r="G69" s="26" t="s">
        <v>441</v>
      </c>
      <c r="H69" s="26">
        <v>163</v>
      </c>
      <c r="I69" s="26" t="s">
        <v>2371</v>
      </c>
      <c r="J69" s="26" t="s">
        <v>13</v>
      </c>
      <c r="K69" s="26" t="s">
        <v>204</v>
      </c>
      <c r="L69" s="25" t="s">
        <v>9</v>
      </c>
      <c r="M69" s="26" t="s">
        <v>29</v>
      </c>
      <c r="N69" s="26" t="s">
        <v>691</v>
      </c>
      <c r="O69" s="26" t="s">
        <v>692</v>
      </c>
      <c r="P69" s="43" t="s">
        <v>32</v>
      </c>
      <c r="Q69" s="42"/>
      <c r="R69" s="26" t="s">
        <v>820</v>
      </c>
    </row>
    <row r="70" spans="1:18" ht="18" customHeight="1">
      <c r="A70" s="40">
        <v>69</v>
      </c>
      <c r="B70" s="26" t="s">
        <v>14</v>
      </c>
      <c r="C70" s="26" t="s">
        <v>99</v>
      </c>
      <c r="D70" s="24" t="s">
        <v>100</v>
      </c>
      <c r="E70" s="26" t="s">
        <v>101</v>
      </c>
      <c r="F70" s="23">
        <v>30</v>
      </c>
      <c r="G70" s="26" t="s">
        <v>2364</v>
      </c>
      <c r="H70" s="26">
        <v>165</v>
      </c>
      <c r="I70" s="26" t="s">
        <v>2368</v>
      </c>
      <c r="J70" s="26" t="s">
        <v>35</v>
      </c>
      <c r="K70" s="26" t="s">
        <v>102</v>
      </c>
      <c r="L70" s="25" t="s">
        <v>9</v>
      </c>
      <c r="M70" s="26" t="s">
        <v>10</v>
      </c>
      <c r="N70" s="26" t="s">
        <v>103</v>
      </c>
      <c r="O70" s="26" t="s">
        <v>104</v>
      </c>
      <c r="P70" s="43" t="s">
        <v>10</v>
      </c>
      <c r="Q70" s="42"/>
      <c r="R70" s="26" t="s">
        <v>820</v>
      </c>
    </row>
    <row r="71" spans="1:18" ht="18" customHeight="1">
      <c r="A71" s="40">
        <v>70</v>
      </c>
      <c r="B71" s="26" t="s">
        <v>8</v>
      </c>
      <c r="C71" s="26" t="s">
        <v>642</v>
      </c>
      <c r="D71" s="24">
        <v>1054033433</v>
      </c>
      <c r="E71" s="26" t="s">
        <v>974</v>
      </c>
      <c r="F71" s="23">
        <v>28</v>
      </c>
      <c r="G71" s="26" t="s">
        <v>2365</v>
      </c>
      <c r="H71" s="26">
        <v>179</v>
      </c>
      <c r="I71" s="26" t="s">
        <v>446</v>
      </c>
      <c r="J71" s="26" t="s">
        <v>59</v>
      </c>
      <c r="K71" s="26" t="s">
        <v>10</v>
      </c>
      <c r="L71" s="25" t="s">
        <v>9</v>
      </c>
      <c r="M71" s="26" t="s">
        <v>29</v>
      </c>
      <c r="N71" s="26" t="s">
        <v>975</v>
      </c>
      <c r="O71" s="26" t="s">
        <v>976</v>
      </c>
      <c r="P71" s="43"/>
      <c r="Q71" s="42" t="s">
        <v>977</v>
      </c>
      <c r="R71" s="26" t="s">
        <v>820</v>
      </c>
    </row>
    <row r="72" spans="1:18" ht="18" customHeight="1">
      <c r="A72" s="40">
        <v>71</v>
      </c>
      <c r="B72" s="26" t="s">
        <v>14</v>
      </c>
      <c r="C72" s="26" t="s">
        <v>642</v>
      </c>
      <c r="D72" s="24">
        <v>1089289192</v>
      </c>
      <c r="E72" s="26" t="s">
        <v>643</v>
      </c>
      <c r="F72" s="23">
        <v>28</v>
      </c>
      <c r="G72" s="26" t="s">
        <v>439</v>
      </c>
      <c r="H72" s="26">
        <v>162</v>
      </c>
      <c r="I72" s="26" t="s">
        <v>2368</v>
      </c>
      <c r="J72" s="26" t="s">
        <v>59</v>
      </c>
      <c r="K72" s="26" t="s">
        <v>10</v>
      </c>
      <c r="L72" s="25" t="s">
        <v>20</v>
      </c>
      <c r="M72" s="26" t="s">
        <v>29</v>
      </c>
      <c r="N72" s="26" t="s">
        <v>644</v>
      </c>
      <c r="O72" s="26" t="s">
        <v>645</v>
      </c>
      <c r="P72" s="43" t="s">
        <v>646</v>
      </c>
      <c r="Q72" s="34" t="s">
        <v>647</v>
      </c>
      <c r="R72" s="26" t="s">
        <v>820</v>
      </c>
    </row>
    <row r="73" spans="1:18" ht="18" customHeight="1">
      <c r="A73" s="40">
        <v>72</v>
      </c>
      <c r="B73" s="26" t="s">
        <v>14</v>
      </c>
      <c r="C73" s="26" t="s">
        <v>867</v>
      </c>
      <c r="D73" s="24">
        <v>1030578699</v>
      </c>
      <c r="E73" s="26" t="s">
        <v>868</v>
      </c>
      <c r="F73" s="23">
        <v>32</v>
      </c>
      <c r="G73" s="26" t="s">
        <v>438</v>
      </c>
      <c r="H73" s="26">
        <v>170</v>
      </c>
      <c r="I73" s="26" t="s">
        <v>453</v>
      </c>
      <c r="J73" s="26" t="s">
        <v>76</v>
      </c>
      <c r="K73" s="26" t="s">
        <v>10</v>
      </c>
      <c r="L73" s="25" t="s">
        <v>20</v>
      </c>
      <c r="M73" s="26" t="s">
        <v>29</v>
      </c>
      <c r="N73" s="26" t="s">
        <v>869</v>
      </c>
      <c r="O73" s="26" t="s">
        <v>870</v>
      </c>
      <c r="P73" s="43" t="s">
        <v>11</v>
      </c>
      <c r="Q73" s="42"/>
      <c r="R73" s="26" t="s">
        <v>820</v>
      </c>
    </row>
    <row r="74" spans="1:18" ht="18" customHeight="1">
      <c r="A74" s="40">
        <v>73</v>
      </c>
      <c r="B74" s="26" t="s">
        <v>14</v>
      </c>
      <c r="C74" s="26" t="s">
        <v>560</v>
      </c>
      <c r="D74" s="24" t="s">
        <v>561</v>
      </c>
      <c r="E74" s="26" t="s">
        <v>181</v>
      </c>
      <c r="F74" s="23">
        <v>31</v>
      </c>
      <c r="G74" s="26" t="s">
        <v>2381</v>
      </c>
      <c r="H74" s="26">
        <v>163</v>
      </c>
      <c r="I74" s="26" t="s">
        <v>454</v>
      </c>
      <c r="J74" s="26" t="s">
        <v>23</v>
      </c>
      <c r="K74" s="26" t="s">
        <v>10</v>
      </c>
      <c r="L74" s="25" t="s">
        <v>9</v>
      </c>
      <c r="M74" s="26" t="s">
        <v>10</v>
      </c>
      <c r="N74" s="26" t="s">
        <v>562</v>
      </c>
      <c r="O74" s="26" t="s">
        <v>563</v>
      </c>
      <c r="P74" s="43" t="s">
        <v>10</v>
      </c>
      <c r="Q74" s="42"/>
      <c r="R74" s="26" t="s">
        <v>820</v>
      </c>
    </row>
    <row r="75" spans="1:18" ht="18" customHeight="1">
      <c r="A75" s="40">
        <v>74</v>
      </c>
      <c r="B75" s="26" t="s">
        <v>14</v>
      </c>
      <c r="C75" s="26" t="s">
        <v>969</v>
      </c>
      <c r="D75" s="24">
        <v>1055375197</v>
      </c>
      <c r="E75" s="26" t="s">
        <v>970</v>
      </c>
      <c r="F75" s="23">
        <v>30</v>
      </c>
      <c r="G75" s="26" t="s">
        <v>438</v>
      </c>
      <c r="H75" s="26">
        <v>166</v>
      </c>
      <c r="I75" s="26" t="s">
        <v>453</v>
      </c>
      <c r="J75" s="26" t="s">
        <v>66</v>
      </c>
      <c r="K75" s="26" t="s">
        <v>971</v>
      </c>
      <c r="L75" s="25" t="s">
        <v>9</v>
      </c>
      <c r="M75" s="26" t="s">
        <v>29</v>
      </c>
      <c r="N75" s="26" t="s">
        <v>972</v>
      </c>
      <c r="O75" s="26" t="s">
        <v>973</v>
      </c>
      <c r="P75" s="43" t="s">
        <v>10</v>
      </c>
      <c r="Q75" s="42"/>
      <c r="R75" s="26" t="s">
        <v>820</v>
      </c>
    </row>
    <row r="76" spans="1:18" ht="18" customHeight="1">
      <c r="A76" s="40">
        <v>75</v>
      </c>
      <c r="B76" s="26" t="s">
        <v>8</v>
      </c>
      <c r="C76" s="26" t="s">
        <v>293</v>
      </c>
      <c r="D76" s="24">
        <v>1099283617</v>
      </c>
      <c r="E76" s="26" t="s">
        <v>294</v>
      </c>
      <c r="F76" s="23">
        <v>33</v>
      </c>
      <c r="G76" s="26" t="s">
        <v>2364</v>
      </c>
      <c r="H76" s="26">
        <v>179</v>
      </c>
      <c r="I76" s="26" t="s">
        <v>456</v>
      </c>
      <c r="J76" s="26" t="s">
        <v>28</v>
      </c>
      <c r="K76" s="26" t="s">
        <v>295</v>
      </c>
      <c r="L76" s="25" t="s">
        <v>9</v>
      </c>
      <c r="M76" s="26" t="s">
        <v>10</v>
      </c>
      <c r="N76" s="26" t="s">
        <v>296</v>
      </c>
      <c r="O76" s="26" t="s">
        <v>297</v>
      </c>
      <c r="P76" s="43" t="s">
        <v>10</v>
      </c>
      <c r="Q76" s="42"/>
      <c r="R76" s="26" t="s">
        <v>820</v>
      </c>
    </row>
    <row r="77" spans="1:18" ht="18" customHeight="1">
      <c r="A77" s="40">
        <v>76</v>
      </c>
      <c r="B77" s="26" t="s">
        <v>14</v>
      </c>
      <c r="C77" s="26" t="s">
        <v>621</v>
      </c>
      <c r="D77" s="24">
        <v>1035844314</v>
      </c>
      <c r="E77" s="26" t="s">
        <v>622</v>
      </c>
      <c r="F77" s="23">
        <v>26</v>
      </c>
      <c r="G77" s="26" t="s">
        <v>766</v>
      </c>
      <c r="H77" s="26">
        <v>155</v>
      </c>
      <c r="I77" s="26" t="s">
        <v>2368</v>
      </c>
      <c r="J77" s="26" t="s">
        <v>68</v>
      </c>
      <c r="K77" s="26" t="s">
        <v>623</v>
      </c>
      <c r="L77" s="25" t="s">
        <v>9</v>
      </c>
      <c r="M77" s="26" t="s">
        <v>10</v>
      </c>
      <c r="N77" s="26" t="s">
        <v>624</v>
      </c>
      <c r="O77" s="26" t="s">
        <v>625</v>
      </c>
      <c r="P77" s="43" t="s">
        <v>10</v>
      </c>
      <c r="Q77" s="42"/>
      <c r="R77" s="26" t="s">
        <v>820</v>
      </c>
    </row>
    <row r="78" spans="1:18" ht="18" customHeight="1">
      <c r="A78" s="40">
        <v>77</v>
      </c>
      <c r="B78" s="26" t="s">
        <v>14</v>
      </c>
      <c r="C78" s="26" t="s">
        <v>348</v>
      </c>
      <c r="D78" s="24">
        <v>1033519937</v>
      </c>
      <c r="E78" s="26" t="s">
        <v>349</v>
      </c>
      <c r="F78" s="23">
        <v>32</v>
      </c>
      <c r="G78" s="26" t="s">
        <v>440</v>
      </c>
      <c r="H78" s="26">
        <v>153</v>
      </c>
      <c r="I78" s="26" t="s">
        <v>2376</v>
      </c>
      <c r="J78" s="26" t="s">
        <v>59</v>
      </c>
      <c r="K78" s="26" t="s">
        <v>10</v>
      </c>
      <c r="L78" s="25" t="s">
        <v>9</v>
      </c>
      <c r="M78" s="26" t="s">
        <v>10</v>
      </c>
      <c r="N78" s="26" t="s">
        <v>350</v>
      </c>
      <c r="O78" s="26" t="s">
        <v>351</v>
      </c>
      <c r="P78" s="43" t="s">
        <v>10</v>
      </c>
      <c r="Q78" s="42"/>
      <c r="R78" s="26" t="s">
        <v>820</v>
      </c>
    </row>
    <row r="79" spans="1:18" ht="18" customHeight="1">
      <c r="A79" s="40">
        <v>78</v>
      </c>
      <c r="B79" s="26" t="s">
        <v>8</v>
      </c>
      <c r="C79" s="26" t="s">
        <v>170</v>
      </c>
      <c r="D79" s="24">
        <v>1056455959</v>
      </c>
      <c r="E79" s="26" t="s">
        <v>171</v>
      </c>
      <c r="F79" s="23">
        <v>39</v>
      </c>
      <c r="G79" s="26" t="s">
        <v>438</v>
      </c>
      <c r="H79" s="26">
        <v>177</v>
      </c>
      <c r="I79" s="26" t="s">
        <v>2387</v>
      </c>
      <c r="J79" s="26" t="s">
        <v>66</v>
      </c>
      <c r="K79" s="26" t="s">
        <v>10</v>
      </c>
      <c r="L79" s="25" t="s">
        <v>9</v>
      </c>
      <c r="M79" s="26" t="s">
        <v>10</v>
      </c>
      <c r="N79" s="26" t="s">
        <v>172</v>
      </c>
      <c r="O79" s="26" t="s">
        <v>173</v>
      </c>
      <c r="P79" s="43" t="s">
        <v>10</v>
      </c>
      <c r="Q79" s="34" t="s">
        <v>174</v>
      </c>
      <c r="R79" s="26" t="s">
        <v>820</v>
      </c>
    </row>
    <row r="80" spans="1:18" ht="18" customHeight="1">
      <c r="A80" s="40">
        <v>79</v>
      </c>
      <c r="B80" s="26" t="s">
        <v>8</v>
      </c>
      <c r="C80" s="26" t="s">
        <v>626</v>
      </c>
      <c r="D80" s="24">
        <v>1065612346</v>
      </c>
      <c r="E80" s="26" t="s">
        <v>627</v>
      </c>
      <c r="F80" s="23">
        <v>31</v>
      </c>
      <c r="G80" s="26" t="s">
        <v>456</v>
      </c>
      <c r="H80" s="26">
        <v>174</v>
      </c>
      <c r="I80" s="26" t="s">
        <v>456</v>
      </c>
      <c r="J80" s="26" t="s">
        <v>37</v>
      </c>
      <c r="K80" s="26" t="s">
        <v>10</v>
      </c>
      <c r="L80" s="25" t="s">
        <v>9</v>
      </c>
      <c r="M80" s="26" t="s">
        <v>29</v>
      </c>
      <c r="N80" s="26" t="s">
        <v>628</v>
      </c>
      <c r="O80" s="26" t="s">
        <v>629</v>
      </c>
      <c r="P80" s="43" t="s">
        <v>10</v>
      </c>
      <c r="Q80" s="35" t="s">
        <v>630</v>
      </c>
      <c r="R80" s="26" t="s">
        <v>820</v>
      </c>
    </row>
    <row r="81" spans="1:18" ht="18" customHeight="1">
      <c r="A81" s="40">
        <v>80</v>
      </c>
      <c r="B81" s="26" t="s">
        <v>14</v>
      </c>
      <c r="C81" s="26" t="s">
        <v>367</v>
      </c>
      <c r="D81" s="24">
        <v>1026764027</v>
      </c>
      <c r="E81" s="26" t="s">
        <v>368</v>
      </c>
      <c r="F81" s="23">
        <v>34</v>
      </c>
      <c r="G81" s="26" t="s">
        <v>438</v>
      </c>
      <c r="H81" s="26">
        <v>168</v>
      </c>
      <c r="I81" s="26" t="s">
        <v>2378</v>
      </c>
      <c r="J81" s="26" t="s">
        <v>13</v>
      </c>
      <c r="K81" s="26" t="s">
        <v>369</v>
      </c>
      <c r="L81" s="25" t="s">
        <v>31</v>
      </c>
      <c r="M81" s="26" t="s">
        <v>10</v>
      </c>
      <c r="N81" s="26" t="s">
        <v>370</v>
      </c>
      <c r="O81" s="26" t="s">
        <v>371</v>
      </c>
      <c r="P81" s="43" t="s">
        <v>372</v>
      </c>
      <c r="Q81" s="42"/>
      <c r="R81" s="26" t="s">
        <v>820</v>
      </c>
    </row>
    <row r="82" spans="1:18" ht="18" customHeight="1">
      <c r="A82" s="40">
        <v>81</v>
      </c>
      <c r="B82" s="26" t="s">
        <v>8</v>
      </c>
      <c r="C82" s="26" t="s">
        <v>794</v>
      </c>
      <c r="D82" s="24">
        <v>1040323811</v>
      </c>
      <c r="E82" s="26" t="s">
        <v>795</v>
      </c>
      <c r="F82" s="23">
        <v>33</v>
      </c>
      <c r="G82" s="26" t="s">
        <v>2382</v>
      </c>
      <c r="H82" s="26">
        <v>173</v>
      </c>
      <c r="I82" s="26" t="s">
        <v>448</v>
      </c>
      <c r="J82" s="26" t="s">
        <v>72</v>
      </c>
      <c r="K82" s="26" t="s">
        <v>10</v>
      </c>
      <c r="L82" s="25" t="s">
        <v>9</v>
      </c>
      <c r="M82" s="26" t="s">
        <v>29</v>
      </c>
      <c r="N82" s="26" t="s">
        <v>797</v>
      </c>
      <c r="O82" s="26" t="s">
        <v>798</v>
      </c>
      <c r="P82" s="43" t="s">
        <v>10</v>
      </c>
      <c r="Q82" s="42" t="s">
        <v>799</v>
      </c>
      <c r="R82" s="26" t="s">
        <v>820</v>
      </c>
    </row>
    <row r="83" spans="1:18" ht="18" customHeight="1">
      <c r="A83" s="40">
        <v>82</v>
      </c>
      <c r="B83" s="26" t="s">
        <v>8</v>
      </c>
      <c r="C83" s="26" t="s">
        <v>515</v>
      </c>
      <c r="D83" s="24">
        <v>1042559050</v>
      </c>
      <c r="E83" s="26" t="s">
        <v>516</v>
      </c>
      <c r="F83" s="23">
        <v>38</v>
      </c>
      <c r="G83" s="26" t="s">
        <v>2388</v>
      </c>
      <c r="H83" s="26">
        <v>172</v>
      </c>
      <c r="I83" s="26" t="s">
        <v>449</v>
      </c>
      <c r="J83" s="26" t="s">
        <v>68</v>
      </c>
      <c r="K83" s="26" t="s">
        <v>10</v>
      </c>
      <c r="L83" s="25" t="s">
        <v>9</v>
      </c>
      <c r="M83" s="26" t="s">
        <v>29</v>
      </c>
      <c r="N83" s="26" t="s">
        <v>517</v>
      </c>
      <c r="O83" s="26" t="s">
        <v>518</v>
      </c>
      <c r="P83" s="43" t="s">
        <v>10</v>
      </c>
      <c r="Q83" s="42"/>
      <c r="R83" s="26" t="s">
        <v>820</v>
      </c>
    </row>
    <row r="84" spans="1:18" ht="18" customHeight="1">
      <c r="A84" s="40">
        <v>83</v>
      </c>
      <c r="B84" s="26" t="s">
        <v>8</v>
      </c>
      <c r="C84" s="26" t="s">
        <v>1065</v>
      </c>
      <c r="D84" s="24" t="s">
        <v>1066</v>
      </c>
      <c r="E84" s="26" t="s">
        <v>1067</v>
      </c>
      <c r="F84" s="23">
        <v>33</v>
      </c>
      <c r="G84" s="26" t="s">
        <v>1119</v>
      </c>
      <c r="H84" s="26">
        <v>168</v>
      </c>
      <c r="I84" s="26" t="s">
        <v>451</v>
      </c>
      <c r="J84" s="26" t="s">
        <v>66</v>
      </c>
      <c r="K84" s="26" t="s">
        <v>10</v>
      </c>
      <c r="L84" s="25" t="s">
        <v>9</v>
      </c>
      <c r="M84" s="26" t="s">
        <v>10</v>
      </c>
      <c r="N84" s="26" t="s">
        <v>1068</v>
      </c>
      <c r="O84" s="26" t="s">
        <v>1069</v>
      </c>
      <c r="P84" s="43" t="s">
        <v>10</v>
      </c>
      <c r="Q84" s="42"/>
      <c r="R84" s="26" t="s">
        <v>820</v>
      </c>
    </row>
    <row r="85" spans="1:18" ht="18" customHeight="1">
      <c r="A85" s="40">
        <v>84</v>
      </c>
      <c r="B85" s="26" t="s">
        <v>14</v>
      </c>
      <c r="C85" s="26" t="s">
        <v>280</v>
      </c>
      <c r="D85" s="24">
        <v>1083059144</v>
      </c>
      <c r="E85" s="26" t="s">
        <v>281</v>
      </c>
      <c r="F85" s="23">
        <v>36</v>
      </c>
      <c r="G85" s="26" t="s">
        <v>438</v>
      </c>
      <c r="H85" s="26">
        <v>154</v>
      </c>
      <c r="I85" s="26" t="s">
        <v>453</v>
      </c>
      <c r="J85" s="26" t="s">
        <v>68</v>
      </c>
      <c r="K85" s="26" t="s">
        <v>10</v>
      </c>
      <c r="L85" s="25" t="s">
        <v>9</v>
      </c>
      <c r="M85" s="26" t="s">
        <v>29</v>
      </c>
      <c r="N85" s="26" t="s">
        <v>282</v>
      </c>
      <c r="O85" s="26" t="s">
        <v>283</v>
      </c>
      <c r="P85" s="43" t="s">
        <v>10</v>
      </c>
      <c r="Q85" s="42"/>
      <c r="R85" s="26" t="s">
        <v>820</v>
      </c>
    </row>
    <row r="86" spans="1:18" ht="18" customHeight="1">
      <c r="A86" s="40">
        <v>85</v>
      </c>
      <c r="B86" s="26" t="s">
        <v>14</v>
      </c>
      <c r="C86" s="26" t="s">
        <v>503</v>
      </c>
      <c r="D86" s="24">
        <v>1020707364</v>
      </c>
      <c r="E86" s="26" t="s">
        <v>273</v>
      </c>
      <c r="F86" s="23">
        <v>31</v>
      </c>
      <c r="G86" s="26" t="s">
        <v>2364</v>
      </c>
      <c r="H86" s="26">
        <v>161</v>
      </c>
      <c r="I86" s="26" t="s">
        <v>452</v>
      </c>
      <c r="J86" s="26" t="s">
        <v>19</v>
      </c>
      <c r="K86" s="26" t="s">
        <v>504</v>
      </c>
      <c r="L86" s="25" t="s">
        <v>31</v>
      </c>
      <c r="M86" s="26" t="s">
        <v>29</v>
      </c>
      <c r="N86" s="26" t="s">
        <v>505</v>
      </c>
      <c r="O86" s="26" t="s">
        <v>506</v>
      </c>
      <c r="P86" s="43" t="s">
        <v>10</v>
      </c>
      <c r="Q86" s="34" t="s">
        <v>507</v>
      </c>
      <c r="R86" s="26" t="s">
        <v>820</v>
      </c>
    </row>
    <row r="87" spans="1:18" ht="18" customHeight="1">
      <c r="A87" s="40">
        <v>86</v>
      </c>
      <c r="B87" s="26" t="s">
        <v>14</v>
      </c>
      <c r="C87" s="26" t="s">
        <v>519</v>
      </c>
      <c r="D87" s="24">
        <v>1041042417</v>
      </c>
      <c r="E87" s="26" t="s">
        <v>520</v>
      </c>
      <c r="F87" s="23">
        <v>39</v>
      </c>
      <c r="G87" s="26" t="s">
        <v>762</v>
      </c>
      <c r="H87" s="26">
        <v>165</v>
      </c>
      <c r="I87" s="26" t="s">
        <v>456</v>
      </c>
      <c r="J87" s="26" t="s">
        <v>23</v>
      </c>
      <c r="K87" s="26" t="s">
        <v>500</v>
      </c>
      <c r="L87" s="25" t="s">
        <v>9</v>
      </c>
      <c r="M87" s="26" t="s">
        <v>10</v>
      </c>
      <c r="N87" s="26" t="s">
        <v>521</v>
      </c>
      <c r="O87" s="26" t="s">
        <v>522</v>
      </c>
      <c r="P87" s="43" t="s">
        <v>10</v>
      </c>
      <c r="Q87" s="34" t="s">
        <v>523</v>
      </c>
      <c r="R87" s="26" t="s">
        <v>820</v>
      </c>
    </row>
    <row r="88" spans="1:18" ht="18" customHeight="1">
      <c r="A88" s="40">
        <v>88</v>
      </c>
      <c r="B88" s="26" t="s">
        <v>14</v>
      </c>
      <c r="C88" s="26" t="s">
        <v>1091</v>
      </c>
      <c r="D88" s="24">
        <v>1055072717</v>
      </c>
      <c r="E88" s="26" t="s">
        <v>1092</v>
      </c>
      <c r="F88" s="23">
        <v>35</v>
      </c>
      <c r="G88" s="26" t="s">
        <v>2369</v>
      </c>
      <c r="H88" s="26">
        <v>168</v>
      </c>
      <c r="I88" s="26" t="s">
        <v>2378</v>
      </c>
      <c r="J88" s="26" t="s">
        <v>72</v>
      </c>
      <c r="K88" s="26" t="s">
        <v>1093</v>
      </c>
      <c r="L88" s="25" t="s">
        <v>9</v>
      </c>
      <c r="M88" s="26" t="s">
        <v>10</v>
      </c>
      <c r="N88" s="26" t="s">
        <v>1094</v>
      </c>
      <c r="O88" s="26" t="s">
        <v>1095</v>
      </c>
      <c r="P88" s="43" t="s">
        <v>10</v>
      </c>
      <c r="Q88" s="42"/>
      <c r="R88" s="26" t="s">
        <v>820</v>
      </c>
    </row>
    <row r="89" spans="1:18" ht="18" customHeight="1">
      <c r="A89" s="40">
        <v>89</v>
      </c>
      <c r="B89" s="26" t="s">
        <v>14</v>
      </c>
      <c r="C89" s="26" t="s">
        <v>241</v>
      </c>
      <c r="D89" s="24">
        <v>1020604539</v>
      </c>
      <c r="E89" s="26" t="s">
        <v>242</v>
      </c>
      <c r="F89" s="23">
        <v>28</v>
      </c>
      <c r="G89" s="26" t="s">
        <v>766</v>
      </c>
      <c r="H89" s="26">
        <v>158</v>
      </c>
      <c r="I89" s="26" t="s">
        <v>2378</v>
      </c>
      <c r="J89" s="26" t="s">
        <v>243</v>
      </c>
      <c r="K89" s="26" t="s">
        <v>193</v>
      </c>
      <c r="L89" s="25" t="s">
        <v>31</v>
      </c>
      <c r="M89" s="26" t="s">
        <v>29</v>
      </c>
      <c r="N89" s="26" t="s">
        <v>86</v>
      </c>
      <c r="O89" s="26" t="s">
        <v>244</v>
      </c>
      <c r="P89" s="43" t="s">
        <v>245</v>
      </c>
      <c r="Q89" s="42"/>
      <c r="R89" s="26" t="s">
        <v>820</v>
      </c>
    </row>
    <row r="90" spans="1:18" ht="18" customHeight="1">
      <c r="A90" s="40">
        <v>90</v>
      </c>
      <c r="B90" s="26" t="s">
        <v>14</v>
      </c>
      <c r="C90" s="26" t="s">
        <v>405</v>
      </c>
      <c r="D90" s="24">
        <v>1036589567</v>
      </c>
      <c r="E90" s="26" t="s">
        <v>406</v>
      </c>
      <c r="F90" s="23">
        <v>36</v>
      </c>
      <c r="G90" s="26" t="s">
        <v>2374</v>
      </c>
      <c r="H90" s="26">
        <v>164</v>
      </c>
      <c r="I90" s="26" t="s">
        <v>453</v>
      </c>
      <c r="J90" s="26" t="s">
        <v>252</v>
      </c>
      <c r="K90" s="26" t="s">
        <v>10</v>
      </c>
      <c r="L90" s="25" t="s">
        <v>9</v>
      </c>
      <c r="M90" s="26" t="s">
        <v>29</v>
      </c>
      <c r="N90" s="26" t="s">
        <v>407</v>
      </c>
      <c r="O90" s="26" t="s">
        <v>408</v>
      </c>
      <c r="P90" s="43" t="s">
        <v>50</v>
      </c>
      <c r="Q90" s="42"/>
      <c r="R90" s="26" t="s">
        <v>820</v>
      </c>
    </row>
    <row r="91" spans="1:18" ht="18" customHeight="1">
      <c r="A91" s="40">
        <v>91</v>
      </c>
      <c r="B91" s="26" t="s">
        <v>8</v>
      </c>
      <c r="C91" s="26" t="s">
        <v>648</v>
      </c>
      <c r="D91" s="24">
        <v>1068803847</v>
      </c>
      <c r="E91" s="26" t="s">
        <v>649</v>
      </c>
      <c r="F91" s="23">
        <v>34</v>
      </c>
      <c r="G91" s="26" t="s">
        <v>439</v>
      </c>
      <c r="H91" s="26">
        <v>168</v>
      </c>
      <c r="I91" s="26" t="s">
        <v>2367</v>
      </c>
      <c r="J91" s="26" t="s">
        <v>18</v>
      </c>
      <c r="K91" s="26" t="s">
        <v>10</v>
      </c>
      <c r="L91" s="25" t="s">
        <v>9</v>
      </c>
      <c r="M91" s="26" t="s">
        <v>29</v>
      </c>
      <c r="N91" s="26" t="s">
        <v>650</v>
      </c>
      <c r="O91" s="26" t="s">
        <v>651</v>
      </c>
      <c r="P91" s="43" t="s">
        <v>10</v>
      </c>
      <c r="Q91" s="42"/>
      <c r="R91" s="26" t="s">
        <v>820</v>
      </c>
    </row>
    <row r="92" spans="1:18" ht="18" customHeight="1">
      <c r="A92" s="40">
        <v>92</v>
      </c>
      <c r="B92" s="26" t="s">
        <v>14</v>
      </c>
      <c r="C92" s="26" t="s">
        <v>984</v>
      </c>
      <c r="D92" s="24">
        <v>1025566704</v>
      </c>
      <c r="E92" s="26" t="s">
        <v>985</v>
      </c>
      <c r="F92" s="23">
        <v>29</v>
      </c>
      <c r="G92" s="26" t="s">
        <v>439</v>
      </c>
      <c r="H92" s="26">
        <v>162</v>
      </c>
      <c r="I92" s="26" t="s">
        <v>2378</v>
      </c>
      <c r="J92" s="26" t="s">
        <v>35</v>
      </c>
      <c r="K92" s="26" t="s">
        <v>10</v>
      </c>
      <c r="L92" s="25" t="s">
        <v>61</v>
      </c>
      <c r="M92" s="26" t="s">
        <v>10</v>
      </c>
      <c r="N92" s="26" t="s">
        <v>986</v>
      </c>
      <c r="O92" s="26" t="s">
        <v>987</v>
      </c>
      <c r="P92" s="43" t="s">
        <v>10</v>
      </c>
      <c r="Q92" s="42" t="s">
        <v>988</v>
      </c>
      <c r="R92" s="26" t="s">
        <v>820</v>
      </c>
    </row>
    <row r="93" spans="1:18" ht="18" customHeight="1">
      <c r="A93" s="40">
        <v>93</v>
      </c>
      <c r="B93" s="26" t="s">
        <v>14</v>
      </c>
      <c r="C93" s="26" t="s">
        <v>1017</v>
      </c>
      <c r="D93" s="24">
        <v>1030132730</v>
      </c>
      <c r="E93" s="26" t="s">
        <v>1018</v>
      </c>
      <c r="F93" s="23">
        <v>44</v>
      </c>
      <c r="G93" s="26" t="s">
        <v>2389</v>
      </c>
      <c r="H93" s="26">
        <v>165</v>
      </c>
      <c r="I93" s="26" t="s">
        <v>452</v>
      </c>
      <c r="J93" s="26" t="s">
        <v>66</v>
      </c>
      <c r="K93" s="26" t="s">
        <v>1019</v>
      </c>
      <c r="L93" s="25" t="s">
        <v>9</v>
      </c>
      <c r="M93" s="26" t="s">
        <v>10</v>
      </c>
      <c r="N93" s="26" t="s">
        <v>1020</v>
      </c>
      <c r="O93" s="26" t="s">
        <v>1021</v>
      </c>
      <c r="P93" s="43" t="s">
        <v>319</v>
      </c>
      <c r="Q93" s="42"/>
      <c r="R93" s="26" t="s">
        <v>820</v>
      </c>
    </row>
    <row r="94" spans="1:18" ht="18" customHeight="1">
      <c r="A94" s="40">
        <v>94</v>
      </c>
      <c r="B94" s="26" t="s">
        <v>8</v>
      </c>
      <c r="C94" s="26" t="s">
        <v>524</v>
      </c>
      <c r="D94" s="24">
        <v>1071869964</v>
      </c>
      <c r="E94" s="26" t="s">
        <v>11</v>
      </c>
      <c r="F94" s="23">
        <v>32</v>
      </c>
      <c r="G94" s="26" t="s">
        <v>440</v>
      </c>
      <c r="H94" s="26">
        <v>175</v>
      </c>
      <c r="I94" s="26" t="s">
        <v>447</v>
      </c>
      <c r="J94" s="26" t="s">
        <v>37</v>
      </c>
      <c r="K94" s="26" t="s">
        <v>10</v>
      </c>
      <c r="L94" s="25" t="s">
        <v>9</v>
      </c>
      <c r="M94" s="26" t="s">
        <v>10</v>
      </c>
      <c r="N94" s="26" t="s">
        <v>525</v>
      </c>
      <c r="O94" s="26" t="s">
        <v>526</v>
      </c>
      <c r="P94" s="43" t="s">
        <v>10</v>
      </c>
      <c r="Q94" s="42"/>
      <c r="R94" s="26" t="s">
        <v>820</v>
      </c>
    </row>
    <row r="95" spans="1:18" ht="18" customHeight="1">
      <c r="A95" s="40">
        <v>95</v>
      </c>
      <c r="B95" s="26" t="s">
        <v>8</v>
      </c>
      <c r="C95" s="26" t="s">
        <v>717</v>
      </c>
      <c r="D95" s="24">
        <v>1031277767</v>
      </c>
      <c r="E95" s="26" t="s">
        <v>718</v>
      </c>
      <c r="F95" s="23">
        <v>45</v>
      </c>
      <c r="G95" s="26" t="s">
        <v>456</v>
      </c>
      <c r="H95" s="26">
        <v>173</v>
      </c>
      <c r="I95" s="26" t="s">
        <v>456</v>
      </c>
      <c r="J95" s="26" t="s">
        <v>13</v>
      </c>
      <c r="K95" s="26" t="s">
        <v>10</v>
      </c>
      <c r="L95" s="25" t="s">
        <v>31</v>
      </c>
      <c r="M95" s="26" t="s">
        <v>29</v>
      </c>
      <c r="N95" s="26" t="s">
        <v>719</v>
      </c>
      <c r="O95" s="26" t="s">
        <v>720</v>
      </c>
      <c r="P95" s="43" t="s">
        <v>10</v>
      </c>
      <c r="Q95" s="34" t="s">
        <v>721</v>
      </c>
      <c r="R95" s="26" t="s">
        <v>820</v>
      </c>
    </row>
    <row r="96" spans="1:18" ht="18" customHeight="1">
      <c r="A96" s="40">
        <v>96</v>
      </c>
      <c r="B96" s="26" t="s">
        <v>14</v>
      </c>
      <c r="C96" s="26" t="s">
        <v>932</v>
      </c>
      <c r="D96" s="24">
        <v>1026175810</v>
      </c>
      <c r="E96" s="26" t="s">
        <v>933</v>
      </c>
      <c r="F96" s="23">
        <v>31</v>
      </c>
      <c r="G96" s="26" t="s">
        <v>759</v>
      </c>
      <c r="H96" s="26">
        <v>165</v>
      </c>
      <c r="I96" s="26" t="s">
        <v>2378</v>
      </c>
      <c r="J96" s="26" t="s">
        <v>76</v>
      </c>
      <c r="K96" s="26" t="s">
        <v>10</v>
      </c>
      <c r="L96" s="25" t="s">
        <v>9</v>
      </c>
      <c r="M96" s="26" t="s">
        <v>29</v>
      </c>
      <c r="N96" s="26" t="s">
        <v>934</v>
      </c>
      <c r="O96" s="26" t="s">
        <v>935</v>
      </c>
      <c r="P96" s="43" t="s">
        <v>10</v>
      </c>
      <c r="Q96" s="42"/>
      <c r="R96" s="26" t="s">
        <v>820</v>
      </c>
    </row>
    <row r="97" spans="1:18" ht="18" customHeight="1">
      <c r="A97" s="40">
        <v>97</v>
      </c>
      <c r="B97" s="26" t="s">
        <v>14</v>
      </c>
      <c r="C97" s="26" t="s">
        <v>211</v>
      </c>
      <c r="D97" s="24">
        <v>1072070858</v>
      </c>
      <c r="E97" s="26" t="s">
        <v>212</v>
      </c>
      <c r="F97" s="23">
        <v>36</v>
      </c>
      <c r="G97" s="26" t="s">
        <v>2370</v>
      </c>
      <c r="H97" s="26">
        <v>166</v>
      </c>
      <c r="I97" s="26" t="s">
        <v>452</v>
      </c>
      <c r="J97" s="26" t="s">
        <v>28</v>
      </c>
      <c r="K97" s="26" t="s">
        <v>10</v>
      </c>
      <c r="L97" s="25" t="s">
        <v>9</v>
      </c>
      <c r="M97" s="26" t="s">
        <v>29</v>
      </c>
      <c r="N97" s="26" t="s">
        <v>213</v>
      </c>
      <c r="O97" s="26" t="s">
        <v>214</v>
      </c>
      <c r="P97" s="43" t="s">
        <v>73</v>
      </c>
      <c r="Q97" s="34" t="s">
        <v>215</v>
      </c>
      <c r="R97" s="26" t="s">
        <v>820</v>
      </c>
    </row>
    <row r="98" spans="1:18" ht="18" customHeight="1">
      <c r="A98" s="40">
        <v>98</v>
      </c>
      <c r="B98" s="26" t="s">
        <v>14</v>
      </c>
      <c r="C98" s="26" t="s">
        <v>117</v>
      </c>
      <c r="D98" s="24" t="s">
        <v>118</v>
      </c>
      <c r="E98" s="26" t="s">
        <v>119</v>
      </c>
      <c r="F98" s="23">
        <v>29</v>
      </c>
      <c r="G98" s="26" t="s">
        <v>438</v>
      </c>
      <c r="H98" s="26">
        <v>172</v>
      </c>
      <c r="I98" s="26" t="s">
        <v>2378</v>
      </c>
      <c r="J98" s="26" t="s">
        <v>24</v>
      </c>
      <c r="K98" s="26" t="s">
        <v>120</v>
      </c>
      <c r="L98" s="25" t="s">
        <v>9</v>
      </c>
      <c r="M98" s="26" t="s">
        <v>10</v>
      </c>
      <c r="N98" s="26" t="s">
        <v>121</v>
      </c>
      <c r="O98" s="26" t="s">
        <v>122</v>
      </c>
      <c r="P98" s="43" t="s">
        <v>79</v>
      </c>
      <c r="Q98" s="42"/>
      <c r="R98" s="26" t="s">
        <v>820</v>
      </c>
    </row>
    <row r="99" spans="1:18" ht="18" customHeight="1">
      <c r="A99" s="40">
        <v>99</v>
      </c>
      <c r="B99" s="26" t="s">
        <v>14</v>
      </c>
      <c r="C99" s="26" t="s">
        <v>302</v>
      </c>
      <c r="D99" s="24">
        <v>1049094615</v>
      </c>
      <c r="E99" s="26" t="s">
        <v>79</v>
      </c>
      <c r="F99" s="23">
        <v>39</v>
      </c>
      <c r="G99" s="26" t="s">
        <v>2390</v>
      </c>
      <c r="H99" s="26">
        <v>163</v>
      </c>
      <c r="I99" s="26" t="s">
        <v>2371</v>
      </c>
      <c r="J99" s="26" t="s">
        <v>59</v>
      </c>
      <c r="K99" s="26" t="s">
        <v>10</v>
      </c>
      <c r="L99" s="25" t="s">
        <v>9</v>
      </c>
      <c r="M99" s="26" t="s">
        <v>29</v>
      </c>
      <c r="N99" s="26" t="s">
        <v>303</v>
      </c>
      <c r="O99" s="26" t="s">
        <v>304</v>
      </c>
      <c r="P99" s="43" t="s">
        <v>10</v>
      </c>
      <c r="Q99" s="42"/>
      <c r="R99" s="26" t="s">
        <v>820</v>
      </c>
    </row>
    <row r="100" spans="1:18" ht="18" customHeight="1">
      <c r="A100" s="40">
        <v>100</v>
      </c>
      <c r="B100" s="26" t="s">
        <v>14</v>
      </c>
      <c r="C100" s="26" t="s">
        <v>740</v>
      </c>
      <c r="D100" s="24">
        <v>1063579284</v>
      </c>
      <c r="E100" s="26" t="s">
        <v>741</v>
      </c>
      <c r="F100" s="23">
        <v>33</v>
      </c>
      <c r="G100" s="26" t="s">
        <v>439</v>
      </c>
      <c r="H100" s="26">
        <v>165</v>
      </c>
      <c r="I100" s="26" t="s">
        <v>2378</v>
      </c>
      <c r="J100" s="26" t="s">
        <v>12</v>
      </c>
      <c r="K100" s="26" t="s">
        <v>10</v>
      </c>
      <c r="L100" s="25" t="s">
        <v>9</v>
      </c>
      <c r="M100" s="26" t="s">
        <v>10</v>
      </c>
      <c r="N100" s="26" t="s">
        <v>742</v>
      </c>
      <c r="O100" s="26" t="s">
        <v>743</v>
      </c>
      <c r="P100" s="43" t="s">
        <v>10</v>
      </c>
      <c r="Q100" s="42"/>
      <c r="R100" s="26" t="s">
        <v>820</v>
      </c>
    </row>
    <row r="101" spans="1:18" ht="18" customHeight="1">
      <c r="A101" s="40">
        <v>101</v>
      </c>
      <c r="B101" s="26" t="s">
        <v>8</v>
      </c>
      <c r="C101" s="26" t="s">
        <v>1051</v>
      </c>
      <c r="D101" s="24">
        <v>1093063233</v>
      </c>
      <c r="E101" s="26" t="s">
        <v>1052</v>
      </c>
      <c r="F101" s="23">
        <v>41</v>
      </c>
      <c r="G101" s="26" t="s">
        <v>2379</v>
      </c>
      <c r="H101" s="26">
        <v>176</v>
      </c>
      <c r="I101" s="26" t="s">
        <v>771</v>
      </c>
      <c r="J101" s="26" t="s">
        <v>30</v>
      </c>
      <c r="K101" s="26" t="s">
        <v>10</v>
      </c>
      <c r="L101" s="25" t="s">
        <v>20</v>
      </c>
      <c r="M101" s="26" t="s">
        <v>10</v>
      </c>
      <c r="N101" s="26" t="s">
        <v>1053</v>
      </c>
      <c r="O101" s="26" t="s">
        <v>1054</v>
      </c>
      <c r="P101" s="43" t="s">
        <v>10</v>
      </c>
      <c r="Q101" s="42"/>
      <c r="R101" s="26" t="s">
        <v>820</v>
      </c>
    </row>
    <row r="102" spans="1:18" ht="18" customHeight="1">
      <c r="A102" s="40">
        <v>102</v>
      </c>
      <c r="B102" s="26" t="s">
        <v>8</v>
      </c>
      <c r="C102" s="26" t="s">
        <v>911</v>
      </c>
      <c r="D102" s="24" t="s">
        <v>912</v>
      </c>
      <c r="E102" s="26" t="s">
        <v>913</v>
      </c>
      <c r="F102" s="23">
        <v>31</v>
      </c>
      <c r="G102" s="26" t="s">
        <v>439</v>
      </c>
      <c r="H102" s="26">
        <v>166</v>
      </c>
      <c r="I102" s="26" t="s">
        <v>2391</v>
      </c>
      <c r="J102" s="26" t="s">
        <v>13</v>
      </c>
      <c r="K102" s="26" t="s">
        <v>10</v>
      </c>
      <c r="L102" s="25" t="s">
        <v>9</v>
      </c>
      <c r="M102" s="26" t="s">
        <v>10</v>
      </c>
      <c r="N102" s="26" t="s">
        <v>914</v>
      </c>
      <c r="O102" s="26" t="s">
        <v>915</v>
      </c>
      <c r="P102" s="43" t="s">
        <v>10</v>
      </c>
      <c r="Q102" s="42"/>
      <c r="R102" s="26" t="s">
        <v>820</v>
      </c>
    </row>
    <row r="103" spans="1:18" ht="18" customHeight="1">
      <c r="A103" s="40">
        <v>103</v>
      </c>
      <c r="B103" s="26" t="s">
        <v>14</v>
      </c>
      <c r="C103" s="26" t="s">
        <v>693</v>
      </c>
      <c r="D103" s="24">
        <v>1026224555</v>
      </c>
      <c r="E103" s="26" t="s">
        <v>694</v>
      </c>
      <c r="F103" s="23">
        <v>35</v>
      </c>
      <c r="G103" s="26" t="s">
        <v>438</v>
      </c>
      <c r="H103" s="26">
        <v>159</v>
      </c>
      <c r="I103" s="26" t="s">
        <v>2378</v>
      </c>
      <c r="J103" s="26" t="s">
        <v>695</v>
      </c>
      <c r="K103" s="26" t="s">
        <v>696</v>
      </c>
      <c r="L103" s="25" t="s">
        <v>9</v>
      </c>
      <c r="M103" s="26" t="s">
        <v>29</v>
      </c>
      <c r="N103" s="26" t="s">
        <v>336</v>
      </c>
      <c r="O103" s="26" t="s">
        <v>697</v>
      </c>
      <c r="P103" s="43" t="s">
        <v>10</v>
      </c>
      <c r="Q103" s="42"/>
      <c r="R103" s="26" t="s">
        <v>820</v>
      </c>
    </row>
    <row r="104" spans="1:18" ht="18" customHeight="1">
      <c r="A104" s="40">
        <v>104</v>
      </c>
      <c r="B104" s="26" t="s">
        <v>8</v>
      </c>
      <c r="C104" s="26" t="s">
        <v>423</v>
      </c>
      <c r="D104" s="24">
        <v>1022232766</v>
      </c>
      <c r="E104" s="26" t="s">
        <v>424</v>
      </c>
      <c r="F104" s="23">
        <v>41</v>
      </c>
      <c r="G104" s="26" t="s">
        <v>442</v>
      </c>
      <c r="H104" s="26">
        <v>176</v>
      </c>
      <c r="I104" s="26" t="s">
        <v>770</v>
      </c>
      <c r="J104" s="26" t="s">
        <v>30</v>
      </c>
      <c r="K104" s="26" t="s">
        <v>10</v>
      </c>
      <c r="L104" s="25" t="s">
        <v>9</v>
      </c>
      <c r="M104" s="26" t="s">
        <v>29</v>
      </c>
      <c r="N104" s="26" t="s">
        <v>425</v>
      </c>
      <c r="O104" s="26" t="s">
        <v>426</v>
      </c>
      <c r="P104" s="43" t="s">
        <v>10</v>
      </c>
      <c r="Q104" s="42"/>
      <c r="R104" s="26" t="s">
        <v>820</v>
      </c>
    </row>
    <row r="105" spans="1:18" ht="18" customHeight="1">
      <c r="A105" s="40">
        <v>105</v>
      </c>
      <c r="B105" s="26" t="s">
        <v>8</v>
      </c>
      <c r="C105" s="26" t="s">
        <v>949</v>
      </c>
      <c r="D105" s="24" t="s">
        <v>950</v>
      </c>
      <c r="E105" s="26" t="s">
        <v>951</v>
      </c>
      <c r="F105" s="23">
        <v>38</v>
      </c>
      <c r="G105" s="26" t="s">
        <v>439</v>
      </c>
      <c r="H105" s="26">
        <v>176</v>
      </c>
      <c r="I105" s="26" t="s">
        <v>2380</v>
      </c>
      <c r="J105" s="26" t="s">
        <v>12</v>
      </c>
      <c r="K105" s="26" t="s">
        <v>10</v>
      </c>
      <c r="L105" s="25" t="s">
        <v>9</v>
      </c>
      <c r="M105" s="26" t="s">
        <v>10</v>
      </c>
      <c r="N105" s="26" t="s">
        <v>249</v>
      </c>
      <c r="O105" s="26" t="s">
        <v>952</v>
      </c>
      <c r="P105" s="43" t="s">
        <v>10</v>
      </c>
      <c r="Q105" s="42"/>
      <c r="R105" s="26" t="s">
        <v>820</v>
      </c>
    </row>
    <row r="106" spans="1:18" ht="18" customHeight="1">
      <c r="A106" s="40">
        <v>106</v>
      </c>
      <c r="B106" s="26" t="s">
        <v>14</v>
      </c>
      <c r="C106" s="26" t="s">
        <v>314</v>
      </c>
      <c r="D106" s="24">
        <v>1044981354</v>
      </c>
      <c r="E106" s="26" t="s">
        <v>315</v>
      </c>
      <c r="F106" s="23">
        <v>26</v>
      </c>
      <c r="G106" s="26" t="s">
        <v>440</v>
      </c>
      <c r="H106" s="26">
        <v>160</v>
      </c>
      <c r="I106" s="26" t="s">
        <v>454</v>
      </c>
      <c r="J106" s="26" t="s">
        <v>76</v>
      </c>
      <c r="K106" s="26" t="s">
        <v>35</v>
      </c>
      <c r="L106" s="25" t="s">
        <v>56</v>
      </c>
      <c r="M106" s="26" t="s">
        <v>10</v>
      </c>
      <c r="N106" s="26" t="s">
        <v>317</v>
      </c>
      <c r="O106" s="26" t="s">
        <v>318</v>
      </c>
      <c r="P106" s="43" t="s">
        <v>319</v>
      </c>
      <c r="Q106" s="42"/>
      <c r="R106" s="26" t="s">
        <v>820</v>
      </c>
    </row>
    <row r="107" spans="1:18" ht="18" customHeight="1">
      <c r="A107" s="40">
        <v>107</v>
      </c>
      <c r="B107" s="26" t="s">
        <v>14</v>
      </c>
      <c r="C107" s="26" t="s">
        <v>882</v>
      </c>
      <c r="D107" s="24">
        <v>1056094753</v>
      </c>
      <c r="E107" s="26" t="s">
        <v>883</v>
      </c>
      <c r="F107" s="23">
        <v>32</v>
      </c>
      <c r="G107" s="26" t="s">
        <v>439</v>
      </c>
      <c r="H107" s="26">
        <v>165</v>
      </c>
      <c r="I107" s="26" t="s">
        <v>2383</v>
      </c>
      <c r="J107" s="26" t="s">
        <v>19</v>
      </c>
      <c r="K107" s="26" t="s">
        <v>885</v>
      </c>
      <c r="L107" s="25" t="s">
        <v>9</v>
      </c>
      <c r="M107" s="26" t="s">
        <v>29</v>
      </c>
      <c r="N107" s="26" t="s">
        <v>886</v>
      </c>
      <c r="O107" s="26" t="s">
        <v>887</v>
      </c>
      <c r="P107" s="43" t="s">
        <v>10</v>
      </c>
      <c r="Q107" s="42"/>
      <c r="R107" s="26" t="s">
        <v>820</v>
      </c>
    </row>
    <row r="108" spans="1:18" ht="18" customHeight="1">
      <c r="A108" s="40">
        <v>108</v>
      </c>
      <c r="B108" s="26" t="s">
        <v>14</v>
      </c>
      <c r="C108" s="26" t="s">
        <v>657</v>
      </c>
      <c r="D108" s="24">
        <v>1035106675</v>
      </c>
      <c r="E108" s="26" t="s">
        <v>658</v>
      </c>
      <c r="F108" s="23">
        <v>34</v>
      </c>
      <c r="G108" s="26" t="s">
        <v>2390</v>
      </c>
      <c r="H108" s="26">
        <v>158</v>
      </c>
      <c r="I108" s="26" t="s">
        <v>2376</v>
      </c>
      <c r="J108" s="26" t="s">
        <v>59</v>
      </c>
      <c r="K108" s="26" t="s">
        <v>659</v>
      </c>
      <c r="L108" s="25" t="s">
        <v>9</v>
      </c>
      <c r="M108" s="26" t="s">
        <v>29</v>
      </c>
      <c r="N108" s="26" t="s">
        <v>660</v>
      </c>
      <c r="O108" s="26" t="s">
        <v>661</v>
      </c>
      <c r="P108" s="43" t="s">
        <v>69</v>
      </c>
      <c r="Q108" s="35" t="s">
        <v>662</v>
      </c>
      <c r="R108" s="26" t="s">
        <v>820</v>
      </c>
    </row>
    <row r="109" spans="1:18" ht="18" customHeight="1">
      <c r="A109" s="40">
        <v>109</v>
      </c>
      <c r="B109" s="26" t="s">
        <v>14</v>
      </c>
      <c r="C109" s="26" t="s">
        <v>1047</v>
      </c>
      <c r="D109" s="24">
        <v>1028466438</v>
      </c>
      <c r="E109" s="26" t="s">
        <v>1048</v>
      </c>
      <c r="F109" s="23">
        <v>38</v>
      </c>
      <c r="G109" s="26" t="s">
        <v>442</v>
      </c>
      <c r="H109" s="26">
        <v>163</v>
      </c>
      <c r="I109" s="26" t="s">
        <v>2378</v>
      </c>
      <c r="J109" s="26" t="s">
        <v>13</v>
      </c>
      <c r="K109" s="26" t="s">
        <v>10</v>
      </c>
      <c r="L109" s="25" t="s">
        <v>9</v>
      </c>
      <c r="M109" s="26" t="s">
        <v>57</v>
      </c>
      <c r="N109" s="26" t="s">
        <v>1049</v>
      </c>
      <c r="O109" s="26" t="s">
        <v>1050</v>
      </c>
      <c r="P109" s="43" t="s">
        <v>10</v>
      </c>
      <c r="Q109" s="42"/>
      <c r="R109" s="26" t="s">
        <v>820</v>
      </c>
    </row>
    <row r="110" spans="1:18" ht="18" customHeight="1">
      <c r="A110" s="40">
        <v>110</v>
      </c>
      <c r="B110" s="26" t="s">
        <v>14</v>
      </c>
      <c r="C110" s="26" t="s">
        <v>1035</v>
      </c>
      <c r="D110" s="24">
        <v>1026684507</v>
      </c>
      <c r="E110" s="26" t="s">
        <v>1036</v>
      </c>
      <c r="F110" s="23">
        <v>36</v>
      </c>
      <c r="G110" s="26" t="s">
        <v>438</v>
      </c>
      <c r="H110" s="26">
        <v>156</v>
      </c>
      <c r="I110" s="26" t="s">
        <v>454</v>
      </c>
      <c r="J110" s="26" t="s">
        <v>1969</v>
      </c>
      <c r="K110" s="26" t="s">
        <v>10</v>
      </c>
      <c r="L110" s="25" t="s">
        <v>31</v>
      </c>
      <c r="M110" s="26" t="s">
        <v>10</v>
      </c>
      <c r="N110" s="26" t="s">
        <v>1038</v>
      </c>
      <c r="O110" s="26" t="s">
        <v>1039</v>
      </c>
      <c r="P110" s="43" t="s">
        <v>196</v>
      </c>
      <c r="Q110" s="42"/>
      <c r="R110" s="26" t="s">
        <v>820</v>
      </c>
    </row>
    <row r="111" spans="1:18" ht="18" customHeight="1">
      <c r="A111" s="40">
        <v>111</v>
      </c>
      <c r="B111" s="26" t="s">
        <v>14</v>
      </c>
      <c r="C111" s="26" t="s">
        <v>261</v>
      </c>
      <c r="D111" s="24">
        <v>1089788343</v>
      </c>
      <c r="E111" s="26" t="s">
        <v>262</v>
      </c>
      <c r="F111" s="23">
        <v>37</v>
      </c>
      <c r="G111" s="26" t="s">
        <v>445</v>
      </c>
      <c r="H111" s="26">
        <v>168</v>
      </c>
      <c r="I111" s="26" t="s">
        <v>453</v>
      </c>
      <c r="J111" s="26" t="s">
        <v>68</v>
      </c>
      <c r="K111" s="26" t="s">
        <v>10</v>
      </c>
      <c r="L111" s="25"/>
      <c r="M111" s="26"/>
      <c r="N111" s="26" t="s">
        <v>264</v>
      </c>
      <c r="O111" s="26"/>
      <c r="P111" s="43"/>
      <c r="Q111" s="42"/>
      <c r="R111" s="26" t="s">
        <v>820</v>
      </c>
    </row>
    <row r="112" spans="1:18" ht="18" customHeight="1">
      <c r="A112" s="40">
        <v>112</v>
      </c>
      <c r="B112" s="26" t="s">
        <v>8</v>
      </c>
      <c r="C112" s="26" t="s">
        <v>284</v>
      </c>
      <c r="D112" s="24">
        <v>1091793011</v>
      </c>
      <c r="E112" s="26" t="s">
        <v>285</v>
      </c>
      <c r="F112" s="23">
        <v>43</v>
      </c>
      <c r="G112" s="26" t="s">
        <v>761</v>
      </c>
      <c r="H112" s="26">
        <v>174</v>
      </c>
      <c r="I112" s="26" t="s">
        <v>447</v>
      </c>
      <c r="J112" s="26" t="s">
        <v>13</v>
      </c>
      <c r="K112" s="26" t="s">
        <v>10</v>
      </c>
      <c r="L112" s="25" t="s">
        <v>9</v>
      </c>
      <c r="M112" s="26" t="s">
        <v>10</v>
      </c>
      <c r="N112" s="26" t="s">
        <v>286</v>
      </c>
      <c r="O112" s="26" t="s">
        <v>287</v>
      </c>
      <c r="P112" s="43" t="s">
        <v>10</v>
      </c>
      <c r="Q112" s="42"/>
      <c r="R112" s="26" t="s">
        <v>820</v>
      </c>
    </row>
    <row r="113" spans="1:18" ht="18" customHeight="1">
      <c r="A113" s="40">
        <v>113</v>
      </c>
      <c r="B113" s="26" t="s">
        <v>14</v>
      </c>
      <c r="C113" s="26" t="s">
        <v>785</v>
      </c>
      <c r="D113" s="24">
        <v>1091673136</v>
      </c>
      <c r="E113" s="26" t="s">
        <v>786</v>
      </c>
      <c r="F113" s="23">
        <v>31</v>
      </c>
      <c r="G113" s="26" t="s">
        <v>2364</v>
      </c>
      <c r="H113" s="26">
        <v>158</v>
      </c>
      <c r="I113" s="26" t="s">
        <v>2368</v>
      </c>
      <c r="J113" s="26" t="s">
        <v>30</v>
      </c>
      <c r="K113" s="26" t="s">
        <v>10</v>
      </c>
      <c r="L113" s="25" t="s">
        <v>49</v>
      </c>
      <c r="M113" s="26" t="s">
        <v>57</v>
      </c>
      <c r="N113" s="26" t="s">
        <v>787</v>
      </c>
      <c r="O113" s="26" t="s">
        <v>788</v>
      </c>
      <c r="P113" s="43" t="s">
        <v>10</v>
      </c>
      <c r="Q113" s="42"/>
      <c r="R113" s="26" t="s">
        <v>820</v>
      </c>
    </row>
    <row r="114" spans="1:18" ht="18" customHeight="1">
      <c r="A114" s="40">
        <v>114</v>
      </c>
      <c r="B114" s="26" t="s">
        <v>14</v>
      </c>
      <c r="C114" s="26" t="s">
        <v>637</v>
      </c>
      <c r="D114" s="24">
        <v>1046349346</v>
      </c>
      <c r="E114" s="26" t="s">
        <v>638</v>
      </c>
      <c r="F114" s="23">
        <v>34</v>
      </c>
      <c r="G114" s="26" t="s">
        <v>2370</v>
      </c>
      <c r="H114" s="26">
        <v>174</v>
      </c>
      <c r="I114" s="26" t="s">
        <v>763</v>
      </c>
      <c r="J114" s="26" t="s">
        <v>68</v>
      </c>
      <c r="K114" s="26" t="s">
        <v>639</v>
      </c>
      <c r="L114" s="25" t="s">
        <v>9</v>
      </c>
      <c r="M114" s="26" t="s">
        <v>10</v>
      </c>
      <c r="N114" s="26" t="s">
        <v>640</v>
      </c>
      <c r="O114" s="26" t="s">
        <v>641</v>
      </c>
      <c r="P114" s="43" t="s">
        <v>10</v>
      </c>
      <c r="Q114" s="42"/>
      <c r="R114" s="26" t="s">
        <v>820</v>
      </c>
    </row>
    <row r="115" spans="1:18" ht="18" customHeight="1">
      <c r="A115" s="40">
        <v>115</v>
      </c>
      <c r="B115" s="26" t="s">
        <v>8</v>
      </c>
      <c r="C115" s="26" t="s">
        <v>352</v>
      </c>
      <c r="D115" s="24">
        <v>1046803307</v>
      </c>
      <c r="E115" s="26" t="s">
        <v>353</v>
      </c>
      <c r="F115" s="23">
        <v>38</v>
      </c>
      <c r="G115" s="26" t="s">
        <v>2364</v>
      </c>
      <c r="H115" s="26">
        <v>188</v>
      </c>
      <c r="I115" s="26" t="s">
        <v>2380</v>
      </c>
      <c r="J115" s="26" t="s">
        <v>59</v>
      </c>
      <c r="K115" s="26" t="s">
        <v>10</v>
      </c>
      <c r="L115" s="25" t="s">
        <v>9</v>
      </c>
      <c r="M115" s="26" t="s">
        <v>29</v>
      </c>
      <c r="N115" s="26" t="s">
        <v>354</v>
      </c>
      <c r="O115" s="26" t="s">
        <v>355</v>
      </c>
      <c r="P115" s="43" t="s">
        <v>10</v>
      </c>
      <c r="Q115" s="35" t="s">
        <v>356</v>
      </c>
      <c r="R115" s="26" t="s">
        <v>820</v>
      </c>
    </row>
    <row r="116" spans="1:18" ht="18" customHeight="1">
      <c r="A116" s="40">
        <v>116</v>
      </c>
      <c r="B116" s="26" t="s">
        <v>14</v>
      </c>
      <c r="C116" s="26" t="s">
        <v>158</v>
      </c>
      <c r="D116" s="24">
        <v>1071571827</v>
      </c>
      <c r="E116" s="26" t="s">
        <v>159</v>
      </c>
      <c r="F116" s="23">
        <v>36</v>
      </c>
      <c r="G116" s="26" t="s">
        <v>761</v>
      </c>
      <c r="H116" s="26">
        <v>170</v>
      </c>
      <c r="I116" s="26" t="s">
        <v>2371</v>
      </c>
      <c r="J116" s="26" t="s">
        <v>59</v>
      </c>
      <c r="K116" s="26" t="s">
        <v>35</v>
      </c>
      <c r="L116" s="25" t="s">
        <v>9</v>
      </c>
      <c r="M116" s="26" t="s">
        <v>10</v>
      </c>
      <c r="N116" s="26" t="s">
        <v>160</v>
      </c>
      <c r="O116" s="26" t="s">
        <v>161</v>
      </c>
      <c r="P116" s="43" t="s">
        <v>11</v>
      </c>
      <c r="Q116" s="42"/>
      <c r="R116" s="26" t="s">
        <v>820</v>
      </c>
    </row>
    <row r="117" spans="1:18" ht="18" customHeight="1">
      <c r="A117" s="40">
        <v>117</v>
      </c>
      <c r="B117" s="26" t="s">
        <v>14</v>
      </c>
      <c r="C117" s="26" t="s">
        <v>508</v>
      </c>
      <c r="D117" s="24">
        <v>1090193987</v>
      </c>
      <c r="E117" s="26" t="s">
        <v>509</v>
      </c>
      <c r="F117" s="23">
        <v>36</v>
      </c>
      <c r="G117" s="26" t="s">
        <v>443</v>
      </c>
      <c r="H117" s="26">
        <v>160</v>
      </c>
      <c r="I117" s="26" t="s">
        <v>2368</v>
      </c>
      <c r="J117" s="26" t="s">
        <v>13</v>
      </c>
      <c r="K117" s="26" t="s">
        <v>10</v>
      </c>
      <c r="L117" s="25" t="s">
        <v>9</v>
      </c>
      <c r="M117" s="26" t="s">
        <v>10</v>
      </c>
      <c r="N117" s="26" t="s">
        <v>510</v>
      </c>
      <c r="O117" s="26" t="s">
        <v>511</v>
      </c>
      <c r="P117" s="43" t="s">
        <v>10</v>
      </c>
      <c r="Q117" s="42"/>
      <c r="R117" s="26" t="s">
        <v>820</v>
      </c>
    </row>
    <row r="118" spans="1:18" ht="18" customHeight="1">
      <c r="A118" s="40">
        <v>118</v>
      </c>
      <c r="B118" s="26" t="s">
        <v>14</v>
      </c>
      <c r="C118" s="26" t="s">
        <v>888</v>
      </c>
      <c r="D118" s="24" t="s">
        <v>889</v>
      </c>
      <c r="E118" s="26" t="s">
        <v>890</v>
      </c>
      <c r="F118" s="23">
        <v>23</v>
      </c>
      <c r="G118" s="26" t="s">
        <v>2392</v>
      </c>
      <c r="H118" s="26">
        <v>168</v>
      </c>
      <c r="I118" s="26" t="s">
        <v>453</v>
      </c>
      <c r="J118" s="26" t="s">
        <v>37</v>
      </c>
      <c r="K118" s="26" t="s">
        <v>891</v>
      </c>
      <c r="L118" s="25" t="s">
        <v>56</v>
      </c>
      <c r="M118" s="26" t="s">
        <v>29</v>
      </c>
      <c r="N118" s="26" t="s">
        <v>892</v>
      </c>
      <c r="O118" s="26" t="s">
        <v>893</v>
      </c>
      <c r="P118" s="43" t="s">
        <v>10</v>
      </c>
      <c r="Q118" s="42" t="s">
        <v>894</v>
      </c>
      <c r="R118" s="26" t="s">
        <v>820</v>
      </c>
    </row>
    <row r="119" spans="1:18" ht="18" customHeight="1">
      <c r="A119" s="40">
        <v>119</v>
      </c>
      <c r="B119" s="26" t="s">
        <v>14</v>
      </c>
      <c r="C119" s="26" t="s">
        <v>250</v>
      </c>
      <c r="D119" s="24">
        <v>1031711977</v>
      </c>
      <c r="E119" s="26" t="s">
        <v>251</v>
      </c>
      <c r="F119" s="23">
        <v>33</v>
      </c>
      <c r="G119" s="26" t="s">
        <v>2369</v>
      </c>
      <c r="H119" s="26">
        <v>155</v>
      </c>
      <c r="I119" s="26" t="s">
        <v>2376</v>
      </c>
      <c r="J119" s="26" t="s">
        <v>252</v>
      </c>
      <c r="K119" s="26" t="s">
        <v>253</v>
      </c>
      <c r="L119" s="25" t="s">
        <v>9</v>
      </c>
      <c r="M119" s="26" t="s">
        <v>10</v>
      </c>
      <c r="N119" s="26" t="s">
        <v>254</v>
      </c>
      <c r="O119" s="26" t="s">
        <v>255</v>
      </c>
      <c r="P119" s="43" t="s">
        <v>10</v>
      </c>
      <c r="Q119" s="42"/>
      <c r="R119" s="26" t="s">
        <v>820</v>
      </c>
    </row>
    <row r="120" spans="1:18" ht="18" customHeight="1">
      <c r="A120" s="40">
        <v>120</v>
      </c>
      <c r="B120" s="26" t="s">
        <v>8</v>
      </c>
      <c r="C120" s="26" t="s">
        <v>726</v>
      </c>
      <c r="D120" s="24">
        <v>1074737879</v>
      </c>
      <c r="E120" s="26" t="s">
        <v>727</v>
      </c>
      <c r="F120" s="23">
        <v>35</v>
      </c>
      <c r="G120" s="26" t="s">
        <v>2393</v>
      </c>
      <c r="H120" s="26">
        <v>174</v>
      </c>
      <c r="I120" s="26" t="s">
        <v>2380</v>
      </c>
      <c r="J120" s="26" t="s">
        <v>24</v>
      </c>
      <c r="K120" s="26" t="s">
        <v>10</v>
      </c>
      <c r="L120" s="25" t="s">
        <v>31</v>
      </c>
      <c r="M120" s="26" t="s">
        <v>57</v>
      </c>
      <c r="N120" s="26" t="s">
        <v>728</v>
      </c>
      <c r="O120" s="26" t="s">
        <v>271</v>
      </c>
      <c r="P120" s="43" t="s">
        <v>10</v>
      </c>
      <c r="Q120" s="42" t="s">
        <v>729</v>
      </c>
      <c r="R120" s="26" t="s">
        <v>820</v>
      </c>
    </row>
    <row r="121" spans="1:18" ht="18" customHeight="1">
      <c r="A121" s="40">
        <v>121</v>
      </c>
      <c r="B121" s="26" t="s">
        <v>8</v>
      </c>
      <c r="C121" s="26" t="s">
        <v>84</v>
      </c>
      <c r="D121" s="24">
        <v>1076541259</v>
      </c>
      <c r="E121" s="26" t="s">
        <v>162</v>
      </c>
      <c r="F121" s="23">
        <v>34</v>
      </c>
      <c r="G121" s="26" t="s">
        <v>439</v>
      </c>
      <c r="H121" s="26">
        <v>179</v>
      </c>
      <c r="I121" s="26" t="s">
        <v>449</v>
      </c>
      <c r="J121" s="26" t="s">
        <v>66</v>
      </c>
      <c r="K121" s="26" t="s">
        <v>10</v>
      </c>
      <c r="L121" s="25" t="s">
        <v>9</v>
      </c>
      <c r="M121" s="26" t="s">
        <v>57</v>
      </c>
      <c r="N121" s="26" t="s">
        <v>163</v>
      </c>
      <c r="O121" s="26" t="s">
        <v>164</v>
      </c>
      <c r="P121" s="43" t="s">
        <v>10</v>
      </c>
      <c r="Q121" s="42"/>
      <c r="R121" s="26" t="s">
        <v>820</v>
      </c>
    </row>
    <row r="122" spans="1:18" ht="18" customHeight="1">
      <c r="A122" s="40">
        <v>122</v>
      </c>
      <c r="B122" s="26" t="s">
        <v>8</v>
      </c>
      <c r="C122" s="26" t="s">
        <v>1022</v>
      </c>
      <c r="D122" s="24">
        <v>1067550079</v>
      </c>
      <c r="E122" s="26" t="s">
        <v>1023</v>
      </c>
      <c r="F122" s="23">
        <v>34</v>
      </c>
      <c r="G122" s="26" t="s">
        <v>439</v>
      </c>
      <c r="H122" s="26">
        <v>183</v>
      </c>
      <c r="I122" s="26" t="s">
        <v>2394</v>
      </c>
      <c r="J122" s="26" t="s">
        <v>66</v>
      </c>
      <c r="K122" s="26" t="s">
        <v>10</v>
      </c>
      <c r="L122" s="25" t="s">
        <v>9</v>
      </c>
      <c r="M122" s="26" t="s">
        <v>10</v>
      </c>
      <c r="N122" s="26" t="s">
        <v>1024</v>
      </c>
      <c r="O122" s="26"/>
      <c r="P122" s="43" t="s">
        <v>10</v>
      </c>
      <c r="Q122" s="42"/>
      <c r="R122" s="26" t="s">
        <v>820</v>
      </c>
    </row>
    <row r="123" spans="1:18" ht="18" customHeight="1">
      <c r="A123" s="40">
        <v>123</v>
      </c>
      <c r="B123" s="26" t="s">
        <v>8</v>
      </c>
      <c r="C123" s="26" t="s">
        <v>604</v>
      </c>
      <c r="D123" s="24" t="s">
        <v>605</v>
      </c>
      <c r="E123" s="26" t="s">
        <v>606</v>
      </c>
      <c r="F123" s="23">
        <v>29</v>
      </c>
      <c r="G123" s="26" t="s">
        <v>2393</v>
      </c>
      <c r="H123" s="26">
        <v>174</v>
      </c>
      <c r="I123" s="26" t="s">
        <v>448</v>
      </c>
      <c r="J123" s="26" t="s">
        <v>59</v>
      </c>
      <c r="K123" s="26" t="s">
        <v>607</v>
      </c>
      <c r="L123" s="25" t="s">
        <v>9</v>
      </c>
      <c r="M123" s="26" t="s">
        <v>10</v>
      </c>
      <c r="N123" s="26" t="s">
        <v>608</v>
      </c>
      <c r="O123" s="26" t="s">
        <v>609</v>
      </c>
      <c r="P123" s="43" t="s">
        <v>10</v>
      </c>
      <c r="Q123" s="42"/>
      <c r="R123" s="26" t="s">
        <v>820</v>
      </c>
    </row>
    <row r="124" spans="1:18" ht="18" customHeight="1">
      <c r="A124" s="40">
        <v>124</v>
      </c>
      <c r="B124" s="26" t="s">
        <v>8</v>
      </c>
      <c r="C124" s="26" t="s">
        <v>1014</v>
      </c>
      <c r="D124" s="24">
        <v>1092562176</v>
      </c>
      <c r="E124" s="26" t="s">
        <v>1015</v>
      </c>
      <c r="F124" s="23">
        <v>30</v>
      </c>
      <c r="G124" s="26" t="s">
        <v>439</v>
      </c>
      <c r="H124" s="26">
        <v>165</v>
      </c>
      <c r="I124" s="26" t="s">
        <v>456</v>
      </c>
      <c r="J124" s="26" t="s">
        <v>66</v>
      </c>
      <c r="K124" s="26" t="s">
        <v>10</v>
      </c>
      <c r="L124" s="25" t="s">
        <v>9</v>
      </c>
      <c r="M124" s="26" t="s">
        <v>10</v>
      </c>
      <c r="N124" s="26" t="s">
        <v>1016</v>
      </c>
      <c r="O124" s="26" t="s">
        <v>1016</v>
      </c>
      <c r="P124" s="43" t="s">
        <v>10</v>
      </c>
      <c r="Q124" s="42"/>
      <c r="R124" s="26" t="s">
        <v>820</v>
      </c>
    </row>
    <row r="125" spans="1:18" ht="18" customHeight="1">
      <c r="A125" s="40">
        <v>125</v>
      </c>
      <c r="B125" s="26" t="s">
        <v>14</v>
      </c>
      <c r="C125" s="26" t="s">
        <v>754</v>
      </c>
      <c r="D125" s="24" t="s">
        <v>755</v>
      </c>
      <c r="E125" s="26" t="s">
        <v>756</v>
      </c>
      <c r="F125" s="23">
        <v>29</v>
      </c>
      <c r="G125" s="26" t="s">
        <v>2364</v>
      </c>
      <c r="H125" s="26">
        <v>162</v>
      </c>
      <c r="I125" s="26" t="s">
        <v>453</v>
      </c>
      <c r="J125" s="26" t="s">
        <v>35</v>
      </c>
      <c r="K125" s="26" t="s">
        <v>10</v>
      </c>
      <c r="L125" s="25" t="s">
        <v>9</v>
      </c>
      <c r="M125" s="26" t="s">
        <v>10</v>
      </c>
      <c r="N125" s="26" t="s">
        <v>757</v>
      </c>
      <c r="O125" s="26" t="s">
        <v>758</v>
      </c>
      <c r="P125" s="43" t="s">
        <v>10</v>
      </c>
      <c r="Q125" s="42"/>
      <c r="R125" s="26" t="s">
        <v>820</v>
      </c>
    </row>
    <row r="126" spans="1:18" ht="18" customHeight="1">
      <c r="A126" s="40">
        <v>126</v>
      </c>
      <c r="B126" s="26" t="s">
        <v>14</v>
      </c>
      <c r="C126" s="26" t="s">
        <v>373</v>
      </c>
      <c r="D126" s="24">
        <v>1024633711</v>
      </c>
      <c r="E126" s="26" t="s">
        <v>374</v>
      </c>
      <c r="F126" s="23">
        <v>38</v>
      </c>
      <c r="G126" s="26" t="s">
        <v>438</v>
      </c>
      <c r="H126" s="26">
        <v>155</v>
      </c>
      <c r="I126" s="26" t="s">
        <v>2376</v>
      </c>
      <c r="J126" s="26" t="s">
        <v>12</v>
      </c>
      <c r="K126" s="26" t="s">
        <v>375</v>
      </c>
      <c r="L126" s="25" t="s">
        <v>9</v>
      </c>
      <c r="M126" s="26" t="s">
        <v>29</v>
      </c>
      <c r="N126" s="26" t="s">
        <v>376</v>
      </c>
      <c r="O126" s="26" t="s">
        <v>377</v>
      </c>
      <c r="P126" s="43" t="s">
        <v>10</v>
      </c>
      <c r="Q126" s="42"/>
      <c r="R126" s="26" t="s">
        <v>820</v>
      </c>
    </row>
    <row r="127" spans="1:18" ht="18" customHeight="1">
      <c r="A127" s="40">
        <v>127</v>
      </c>
      <c r="B127" s="26" t="s">
        <v>14</v>
      </c>
      <c r="C127" s="26" t="s">
        <v>872</v>
      </c>
      <c r="D127" s="24">
        <v>1045287266</v>
      </c>
      <c r="E127" s="26" t="s">
        <v>873</v>
      </c>
      <c r="F127" s="23">
        <v>40</v>
      </c>
      <c r="G127" s="26" t="s">
        <v>444</v>
      </c>
      <c r="H127" s="26">
        <v>168</v>
      </c>
      <c r="I127" s="26" t="s">
        <v>2378</v>
      </c>
      <c r="J127" s="26" t="s">
        <v>19</v>
      </c>
      <c r="K127" s="26" t="s">
        <v>10</v>
      </c>
      <c r="L127" s="25" t="s">
        <v>9</v>
      </c>
      <c r="M127" s="26" t="s">
        <v>29</v>
      </c>
      <c r="N127" s="26" t="s">
        <v>874</v>
      </c>
      <c r="O127" s="26" t="s">
        <v>875</v>
      </c>
      <c r="P127" s="43" t="s">
        <v>10</v>
      </c>
      <c r="Q127" s="42"/>
      <c r="R127" s="26" t="s">
        <v>820</v>
      </c>
    </row>
    <row r="128" spans="1:18" ht="18" customHeight="1">
      <c r="A128" s="40">
        <v>128</v>
      </c>
      <c r="B128" s="26" t="s">
        <v>8</v>
      </c>
      <c r="C128" s="26" t="s">
        <v>663</v>
      </c>
      <c r="D128" s="24">
        <v>1020818518</v>
      </c>
      <c r="E128" s="26" t="s">
        <v>664</v>
      </c>
      <c r="F128" s="23">
        <v>34</v>
      </c>
      <c r="G128" s="26" t="s">
        <v>439</v>
      </c>
      <c r="H128" s="26">
        <v>185</v>
      </c>
      <c r="I128" s="26" t="s">
        <v>447</v>
      </c>
      <c r="J128" s="26" t="s">
        <v>13</v>
      </c>
      <c r="K128" s="26" t="s">
        <v>10</v>
      </c>
      <c r="L128" s="25" t="s">
        <v>9</v>
      </c>
      <c r="M128" s="26" t="s">
        <v>29</v>
      </c>
      <c r="N128" s="26" t="s">
        <v>665</v>
      </c>
      <c r="O128" s="26" t="s">
        <v>666</v>
      </c>
      <c r="P128" s="43" t="s">
        <v>10</v>
      </c>
      <c r="Q128" s="42"/>
      <c r="R128" s="26" t="s">
        <v>820</v>
      </c>
    </row>
    <row r="129" spans="1:18" ht="18" customHeight="1">
      <c r="A129" s="40">
        <v>130</v>
      </c>
      <c r="B129" s="26" t="s">
        <v>14</v>
      </c>
      <c r="C129" s="26" t="s">
        <v>595</v>
      </c>
      <c r="D129" s="24" t="s">
        <v>596</v>
      </c>
      <c r="E129" s="26" t="s">
        <v>597</v>
      </c>
      <c r="F129" s="23">
        <v>36</v>
      </c>
      <c r="G129" s="26" t="s">
        <v>438</v>
      </c>
      <c r="H129" s="26">
        <v>155</v>
      </c>
      <c r="I129" s="26" t="s">
        <v>452</v>
      </c>
      <c r="J129" s="26" t="s">
        <v>59</v>
      </c>
      <c r="K129" s="26" t="s">
        <v>10</v>
      </c>
      <c r="L129" s="25" t="s">
        <v>20</v>
      </c>
      <c r="M129" s="26" t="s">
        <v>10</v>
      </c>
      <c r="N129" s="26" t="s">
        <v>598</v>
      </c>
      <c r="O129" s="26"/>
      <c r="P129" s="43" t="s">
        <v>599</v>
      </c>
      <c r="Q129" s="42"/>
      <c r="R129" s="26" t="s">
        <v>820</v>
      </c>
    </row>
    <row r="130" spans="1:18" ht="18" customHeight="1">
      <c r="A130" s="40">
        <v>131</v>
      </c>
      <c r="B130" s="26" t="s">
        <v>14</v>
      </c>
      <c r="C130" s="26" t="s">
        <v>310</v>
      </c>
      <c r="D130" s="24">
        <v>1099611744</v>
      </c>
      <c r="E130" s="26" t="s">
        <v>311</v>
      </c>
      <c r="F130" s="23">
        <v>30</v>
      </c>
      <c r="G130" s="26" t="s">
        <v>439</v>
      </c>
      <c r="H130" s="26">
        <v>160</v>
      </c>
      <c r="I130" s="26" t="s">
        <v>2378</v>
      </c>
      <c r="J130" s="26" t="s">
        <v>28</v>
      </c>
      <c r="K130" s="26" t="s">
        <v>10</v>
      </c>
      <c r="L130" s="25" t="s">
        <v>9</v>
      </c>
      <c r="M130" s="26" t="s">
        <v>29</v>
      </c>
      <c r="N130" s="26" t="s">
        <v>312</v>
      </c>
      <c r="O130" s="26" t="s">
        <v>313</v>
      </c>
      <c r="P130" s="43" t="s">
        <v>10</v>
      </c>
      <c r="Q130" s="42"/>
      <c r="R130" s="26" t="s">
        <v>820</v>
      </c>
    </row>
    <row r="131" spans="1:18" ht="18" customHeight="1">
      <c r="A131" s="40">
        <v>132</v>
      </c>
      <c r="B131" s="26" t="s">
        <v>8</v>
      </c>
      <c r="C131" s="26" t="s">
        <v>847</v>
      </c>
      <c r="D131" s="24" t="s">
        <v>848</v>
      </c>
      <c r="E131" s="26" t="s">
        <v>849</v>
      </c>
      <c r="F131" s="23">
        <v>38</v>
      </c>
      <c r="G131" s="26" t="s">
        <v>2364</v>
      </c>
      <c r="H131" s="26">
        <v>178.8</v>
      </c>
      <c r="I131" s="26" t="s">
        <v>447</v>
      </c>
      <c r="J131" s="26" t="s">
        <v>35</v>
      </c>
      <c r="K131" s="26" t="s">
        <v>10</v>
      </c>
      <c r="L131" s="25" t="s">
        <v>9</v>
      </c>
      <c r="M131" s="26" t="s">
        <v>29</v>
      </c>
      <c r="N131" s="26" t="s">
        <v>850</v>
      </c>
      <c r="O131" s="26" t="s">
        <v>851</v>
      </c>
      <c r="P131" s="43" t="s">
        <v>10</v>
      </c>
      <c r="Q131" s="42" t="s">
        <v>852</v>
      </c>
      <c r="R131" s="26" t="s">
        <v>820</v>
      </c>
    </row>
    <row r="132" spans="1:18" ht="18" customHeight="1">
      <c r="A132" s="40">
        <v>133</v>
      </c>
      <c r="B132" s="26" t="s">
        <v>14</v>
      </c>
      <c r="C132" s="26" t="s">
        <v>859</v>
      </c>
      <c r="D132" s="24">
        <v>1052986350</v>
      </c>
      <c r="E132" s="26" t="s">
        <v>860</v>
      </c>
      <c r="F132" s="23">
        <v>36</v>
      </c>
      <c r="G132" s="26" t="s">
        <v>438</v>
      </c>
      <c r="H132" s="26">
        <v>155</v>
      </c>
      <c r="I132" s="26" t="s">
        <v>454</v>
      </c>
      <c r="J132" s="26" t="s">
        <v>12</v>
      </c>
      <c r="K132" s="26" t="s">
        <v>10</v>
      </c>
      <c r="L132" s="25" t="s">
        <v>9</v>
      </c>
      <c r="M132" s="26" t="s">
        <v>10</v>
      </c>
      <c r="N132" s="26" t="s">
        <v>861</v>
      </c>
      <c r="O132" s="26" t="s">
        <v>862</v>
      </c>
      <c r="P132" s="43" t="s">
        <v>10</v>
      </c>
      <c r="Q132" s="42"/>
      <c r="R132" s="26" t="s">
        <v>820</v>
      </c>
    </row>
    <row r="133" spans="1:18" ht="18" customHeight="1">
      <c r="A133" s="40">
        <v>134</v>
      </c>
      <c r="B133" s="26" t="s">
        <v>14</v>
      </c>
      <c r="C133" s="26" t="s">
        <v>750</v>
      </c>
      <c r="D133" s="24">
        <v>1093811135</v>
      </c>
      <c r="E133" s="26" t="s">
        <v>79</v>
      </c>
      <c r="F133" s="23">
        <v>34</v>
      </c>
      <c r="G133" s="26" t="s">
        <v>2395</v>
      </c>
      <c r="H133" s="26">
        <v>163</v>
      </c>
      <c r="I133" s="26" t="s">
        <v>2378</v>
      </c>
      <c r="J133" s="26" t="s">
        <v>37</v>
      </c>
      <c r="K133" s="26" t="s">
        <v>10</v>
      </c>
      <c r="L133" s="25" t="s">
        <v>9</v>
      </c>
      <c r="M133" s="26" t="s">
        <v>10</v>
      </c>
      <c r="N133" s="26" t="s">
        <v>751</v>
      </c>
      <c r="O133" s="26" t="s">
        <v>752</v>
      </c>
      <c r="P133" s="43" t="s">
        <v>10</v>
      </c>
      <c r="Q133" s="42" t="s">
        <v>753</v>
      </c>
      <c r="R133" s="26" t="s">
        <v>820</v>
      </c>
    </row>
    <row r="134" spans="1:18" ht="18" customHeight="1">
      <c r="A134" s="40">
        <v>135</v>
      </c>
      <c r="B134" s="26" t="s">
        <v>14</v>
      </c>
      <c r="C134" s="26" t="s">
        <v>1096</v>
      </c>
      <c r="D134" s="24" t="s">
        <v>1097</v>
      </c>
      <c r="E134" s="26" t="s">
        <v>1098</v>
      </c>
      <c r="F134" s="23">
        <v>40</v>
      </c>
      <c r="G134" s="26" t="s">
        <v>2377</v>
      </c>
      <c r="H134" s="26">
        <v>164</v>
      </c>
      <c r="I134" s="26" t="s">
        <v>454</v>
      </c>
      <c r="J134" s="26" t="s">
        <v>19</v>
      </c>
      <c r="K134" s="26" t="s">
        <v>10</v>
      </c>
      <c r="L134" s="25" t="s">
        <v>20</v>
      </c>
      <c r="M134" s="26" t="s">
        <v>10</v>
      </c>
      <c r="N134" s="26" t="s">
        <v>1099</v>
      </c>
      <c r="O134" s="26" t="s">
        <v>1100</v>
      </c>
      <c r="P134" s="43" t="s">
        <v>10</v>
      </c>
      <c r="Q134" s="42"/>
      <c r="R134" s="26" t="s">
        <v>820</v>
      </c>
    </row>
    <row r="135" spans="1:18" ht="18" customHeight="1">
      <c r="A135" s="40">
        <v>136</v>
      </c>
      <c r="B135" s="26" t="s">
        <v>8</v>
      </c>
      <c r="C135" s="26" t="s">
        <v>776</v>
      </c>
      <c r="D135" s="24">
        <v>1044499797</v>
      </c>
      <c r="E135" s="26" t="s">
        <v>777</v>
      </c>
      <c r="F135" s="23">
        <v>39</v>
      </c>
      <c r="G135" s="26" t="s">
        <v>441</v>
      </c>
      <c r="H135" s="26">
        <v>172</v>
      </c>
      <c r="I135" s="26" t="s">
        <v>448</v>
      </c>
      <c r="J135" s="26" t="s">
        <v>12</v>
      </c>
      <c r="K135" s="26" t="s">
        <v>10</v>
      </c>
      <c r="L135" s="25" t="s">
        <v>20</v>
      </c>
      <c r="M135" s="26" t="s">
        <v>57</v>
      </c>
      <c r="N135" s="26" t="s">
        <v>778</v>
      </c>
      <c r="O135" s="26" t="s">
        <v>779</v>
      </c>
      <c r="P135" s="43" t="s">
        <v>60</v>
      </c>
      <c r="Q135" s="42" t="s">
        <v>780</v>
      </c>
      <c r="R135" s="26" t="s">
        <v>820</v>
      </c>
    </row>
    <row r="136" spans="1:18" ht="18" customHeight="1">
      <c r="A136" s="40">
        <v>137</v>
      </c>
      <c r="B136" s="26" t="s">
        <v>8</v>
      </c>
      <c r="C136" s="26" t="s">
        <v>821</v>
      </c>
      <c r="D136" s="24">
        <v>1098505759</v>
      </c>
      <c r="E136" s="26" t="s">
        <v>686</v>
      </c>
      <c r="F136" s="23">
        <v>34</v>
      </c>
      <c r="G136" s="26" t="s">
        <v>2364</v>
      </c>
      <c r="H136" s="26">
        <v>173</v>
      </c>
      <c r="I136" s="26" t="s">
        <v>448</v>
      </c>
      <c r="J136" s="26" t="s">
        <v>28</v>
      </c>
      <c r="K136" s="26" t="s">
        <v>10</v>
      </c>
      <c r="L136" s="25" t="s">
        <v>9</v>
      </c>
      <c r="M136" s="26" t="s">
        <v>29</v>
      </c>
      <c r="N136" s="26" t="s">
        <v>92</v>
      </c>
      <c r="O136" s="26" t="s">
        <v>822</v>
      </c>
      <c r="P136" s="43" t="s">
        <v>10</v>
      </c>
      <c r="Q136" s="42"/>
      <c r="R136" s="26" t="s">
        <v>820</v>
      </c>
    </row>
    <row r="137" spans="1:18" ht="18" customHeight="1">
      <c r="A137" s="40">
        <v>138</v>
      </c>
      <c r="B137" s="26" t="s">
        <v>8</v>
      </c>
      <c r="C137" s="26" t="s">
        <v>320</v>
      </c>
      <c r="D137" s="24">
        <v>1030262563</v>
      </c>
      <c r="E137" s="26" t="s">
        <v>321</v>
      </c>
      <c r="F137" s="23">
        <v>33</v>
      </c>
      <c r="G137" s="26" t="s">
        <v>457</v>
      </c>
      <c r="H137" s="26">
        <v>185</v>
      </c>
      <c r="I137" s="26" t="s">
        <v>450</v>
      </c>
      <c r="J137" s="26" t="s">
        <v>59</v>
      </c>
      <c r="K137" s="26" t="s">
        <v>38</v>
      </c>
      <c r="L137" s="25" t="s">
        <v>9</v>
      </c>
      <c r="M137" s="26" t="s">
        <v>29</v>
      </c>
      <c r="N137" s="26" t="s">
        <v>322</v>
      </c>
      <c r="O137" s="26" t="s">
        <v>323</v>
      </c>
      <c r="P137" s="43" t="s">
        <v>324</v>
      </c>
      <c r="Q137" s="35" t="s">
        <v>325</v>
      </c>
      <c r="R137" s="26" t="s">
        <v>820</v>
      </c>
    </row>
    <row r="138" spans="1:18" ht="18" customHeight="1">
      <c r="A138" s="40">
        <v>139</v>
      </c>
      <c r="B138" s="26" t="s">
        <v>14</v>
      </c>
      <c r="C138" s="26" t="s">
        <v>512</v>
      </c>
      <c r="D138" s="24">
        <v>1068009226</v>
      </c>
      <c r="E138" s="26" t="s">
        <v>513</v>
      </c>
      <c r="F138" s="23">
        <v>36</v>
      </c>
      <c r="G138" s="26" t="s">
        <v>443</v>
      </c>
      <c r="H138" s="26">
        <v>160</v>
      </c>
      <c r="I138" s="26" t="s">
        <v>2371</v>
      </c>
      <c r="J138" s="26" t="s">
        <v>66</v>
      </c>
      <c r="K138" s="26" t="s">
        <v>10</v>
      </c>
      <c r="L138" s="25" t="s">
        <v>75</v>
      </c>
      <c r="M138" s="26" t="s">
        <v>29</v>
      </c>
      <c r="N138" s="26" t="s">
        <v>514</v>
      </c>
      <c r="O138" s="26" t="s">
        <v>271</v>
      </c>
      <c r="P138" s="43" t="s">
        <v>10</v>
      </c>
      <c r="Q138" s="42"/>
      <c r="R138" s="26" t="s">
        <v>820</v>
      </c>
    </row>
    <row r="139" spans="1:18" ht="18" customHeight="1">
      <c r="A139" s="40">
        <v>140</v>
      </c>
      <c r="B139" s="26" t="s">
        <v>14</v>
      </c>
      <c r="C139" s="26" t="s">
        <v>288</v>
      </c>
      <c r="D139" s="24">
        <v>1089333924</v>
      </c>
      <c r="E139" s="26" t="s">
        <v>289</v>
      </c>
      <c r="F139" s="23">
        <v>30</v>
      </c>
      <c r="G139" s="26" t="s">
        <v>2381</v>
      </c>
      <c r="H139" s="26">
        <v>158</v>
      </c>
      <c r="I139" s="26" t="s">
        <v>453</v>
      </c>
      <c r="J139" s="26" t="s">
        <v>30</v>
      </c>
      <c r="K139" s="26" t="s">
        <v>10</v>
      </c>
      <c r="L139" s="25" t="s">
        <v>9</v>
      </c>
      <c r="M139" s="26" t="s">
        <v>29</v>
      </c>
      <c r="N139" s="26" t="s">
        <v>291</v>
      </c>
      <c r="O139" s="26" t="s">
        <v>292</v>
      </c>
      <c r="P139" s="43" t="s">
        <v>32</v>
      </c>
      <c r="Q139" s="42"/>
      <c r="R139" s="26" t="s">
        <v>820</v>
      </c>
    </row>
    <row r="140" spans="1:18" ht="18" customHeight="1">
      <c r="A140" s="40">
        <v>141</v>
      </c>
      <c r="B140" s="26" t="s">
        <v>14</v>
      </c>
      <c r="C140" s="26" t="s">
        <v>235</v>
      </c>
      <c r="D140" s="24">
        <v>1098680738</v>
      </c>
      <c r="E140" s="26" t="s">
        <v>236</v>
      </c>
      <c r="F140" s="23">
        <v>41</v>
      </c>
      <c r="G140" s="26" t="s">
        <v>444</v>
      </c>
      <c r="H140" s="26">
        <v>161</v>
      </c>
      <c r="I140" s="26" t="s">
        <v>2368</v>
      </c>
      <c r="J140" s="26" t="s">
        <v>237</v>
      </c>
      <c r="K140" s="26" t="s">
        <v>238</v>
      </c>
      <c r="L140" s="25" t="s">
        <v>9</v>
      </c>
      <c r="M140" s="26"/>
      <c r="N140" s="26" t="s">
        <v>239</v>
      </c>
      <c r="O140" s="26" t="s">
        <v>240</v>
      </c>
      <c r="P140" s="43" t="s">
        <v>10</v>
      </c>
      <c r="Q140" s="42"/>
      <c r="R140" s="26" t="s">
        <v>820</v>
      </c>
    </row>
    <row r="141" spans="1:18" ht="18" customHeight="1">
      <c r="A141" s="40">
        <v>142</v>
      </c>
      <c r="B141" s="26" t="s">
        <v>14</v>
      </c>
      <c r="C141" s="26" t="s">
        <v>409</v>
      </c>
      <c r="D141" s="24" t="s">
        <v>410</v>
      </c>
      <c r="E141" s="26" t="s">
        <v>79</v>
      </c>
      <c r="F141" s="23">
        <v>29</v>
      </c>
      <c r="G141" s="26" t="s">
        <v>2381</v>
      </c>
      <c r="H141" s="26">
        <v>165</v>
      </c>
      <c r="I141" s="26" t="s">
        <v>453</v>
      </c>
      <c r="J141" s="26" t="s">
        <v>12</v>
      </c>
      <c r="K141" s="26" t="s">
        <v>10</v>
      </c>
      <c r="L141" s="25" t="s">
        <v>9</v>
      </c>
      <c r="M141" s="26" t="s">
        <v>10</v>
      </c>
      <c r="N141" s="26" t="s">
        <v>411</v>
      </c>
      <c r="O141" s="26" t="s">
        <v>412</v>
      </c>
      <c r="P141" s="43" t="s">
        <v>196</v>
      </c>
      <c r="Q141" s="35" t="s">
        <v>413</v>
      </c>
      <c r="R141" s="26" t="s">
        <v>820</v>
      </c>
    </row>
    <row r="142" spans="1:18" ht="18" customHeight="1">
      <c r="A142" s="40">
        <v>143</v>
      </c>
      <c r="B142" s="26" t="s">
        <v>14</v>
      </c>
      <c r="C142" s="26" t="s">
        <v>993</v>
      </c>
      <c r="D142" s="24" t="s">
        <v>994</v>
      </c>
      <c r="E142" s="26" t="s">
        <v>273</v>
      </c>
      <c r="F142" s="23">
        <v>27</v>
      </c>
      <c r="G142" s="26" t="s">
        <v>2364</v>
      </c>
      <c r="H142" s="26">
        <v>153</v>
      </c>
      <c r="I142" s="26" t="s">
        <v>452</v>
      </c>
      <c r="J142" s="26" t="s">
        <v>35</v>
      </c>
      <c r="K142" s="26" t="s">
        <v>10</v>
      </c>
      <c r="L142" s="25" t="s">
        <v>9</v>
      </c>
      <c r="M142" s="26" t="s">
        <v>29</v>
      </c>
      <c r="N142" s="26" t="s">
        <v>995</v>
      </c>
      <c r="O142" s="26" t="s">
        <v>996</v>
      </c>
      <c r="P142" s="43" t="s">
        <v>10</v>
      </c>
      <c r="Q142" s="42"/>
      <c r="R142" s="26" t="s">
        <v>820</v>
      </c>
    </row>
    <row r="143" spans="1:18" ht="18" customHeight="1">
      <c r="A143" s="40">
        <v>144</v>
      </c>
      <c r="B143" s="26" t="s">
        <v>8</v>
      </c>
      <c r="C143" s="26" t="s">
        <v>916</v>
      </c>
      <c r="D143" s="24">
        <v>1091203563</v>
      </c>
      <c r="E143" s="26" t="s">
        <v>917</v>
      </c>
      <c r="F143" s="23">
        <v>29</v>
      </c>
      <c r="G143" s="26" t="s">
        <v>2396</v>
      </c>
      <c r="H143" s="26">
        <v>160.1</v>
      </c>
      <c r="I143" s="26" t="s">
        <v>2386</v>
      </c>
      <c r="J143" s="26" t="s">
        <v>23</v>
      </c>
      <c r="K143" s="26" t="s">
        <v>10</v>
      </c>
      <c r="L143" s="25" t="s">
        <v>9</v>
      </c>
      <c r="M143" s="26" t="s">
        <v>29</v>
      </c>
      <c r="N143" s="26" t="s">
        <v>918</v>
      </c>
      <c r="O143" s="26" t="s">
        <v>919</v>
      </c>
      <c r="P143" s="43" t="s">
        <v>10</v>
      </c>
      <c r="Q143" s="42"/>
      <c r="R143" s="26" t="s">
        <v>820</v>
      </c>
    </row>
    <row r="144" spans="1:18" ht="18" customHeight="1">
      <c r="A144" s="40">
        <v>145</v>
      </c>
      <c r="B144" s="26" t="s">
        <v>14</v>
      </c>
      <c r="C144" s="26" t="s">
        <v>863</v>
      </c>
      <c r="D144" s="24">
        <v>1085848367</v>
      </c>
      <c r="E144" s="26" t="s">
        <v>864</v>
      </c>
      <c r="F144" s="23">
        <v>29</v>
      </c>
      <c r="G144" s="26" t="s">
        <v>439</v>
      </c>
      <c r="H144" s="26">
        <v>159.9</v>
      </c>
      <c r="I144" s="26"/>
      <c r="J144" s="26" t="s">
        <v>19</v>
      </c>
      <c r="K144" s="26" t="s">
        <v>865</v>
      </c>
      <c r="L144" s="25" t="s">
        <v>9</v>
      </c>
      <c r="M144" s="26" t="s">
        <v>29</v>
      </c>
      <c r="N144" s="26" t="s">
        <v>866</v>
      </c>
      <c r="O144" s="26"/>
      <c r="P144" s="43"/>
      <c r="Q144" s="42"/>
      <c r="R144" s="26" t="s">
        <v>820</v>
      </c>
    </row>
    <row r="145" spans="1:18" ht="18" customHeight="1">
      <c r="A145" s="40">
        <v>147</v>
      </c>
      <c r="B145" s="26" t="s">
        <v>8</v>
      </c>
      <c r="C145" s="26" t="s">
        <v>473</v>
      </c>
      <c r="D145" s="24" t="s">
        <v>474</v>
      </c>
      <c r="E145" s="26" t="s">
        <v>475</v>
      </c>
      <c r="F145" s="23">
        <v>39</v>
      </c>
      <c r="G145" s="26" t="s">
        <v>2364</v>
      </c>
      <c r="H145" s="26">
        <v>172</v>
      </c>
      <c r="I145" s="26" t="s">
        <v>2380</v>
      </c>
      <c r="J145" s="26" t="s">
        <v>35</v>
      </c>
      <c r="K145" s="26" t="s">
        <v>10</v>
      </c>
      <c r="L145" s="25" t="s">
        <v>9</v>
      </c>
      <c r="M145" s="26" t="s">
        <v>10</v>
      </c>
      <c r="N145" s="26" t="s">
        <v>476</v>
      </c>
      <c r="O145" s="26" t="s">
        <v>477</v>
      </c>
      <c r="P145" s="43" t="s">
        <v>10</v>
      </c>
      <c r="Q145" s="42"/>
      <c r="R145" s="26" t="s">
        <v>820</v>
      </c>
    </row>
    <row r="146" spans="1:18" ht="18" customHeight="1">
      <c r="A146" s="40">
        <v>148</v>
      </c>
      <c r="B146" s="26" t="s">
        <v>14</v>
      </c>
      <c r="C146" s="26" t="s">
        <v>298</v>
      </c>
      <c r="D146" s="24">
        <v>1067860605</v>
      </c>
      <c r="E146" s="26" t="s">
        <v>299</v>
      </c>
      <c r="F146" s="23">
        <v>35</v>
      </c>
      <c r="G146" s="26" t="s">
        <v>2370</v>
      </c>
      <c r="H146" s="26">
        <v>167</v>
      </c>
      <c r="I146" s="26" t="s">
        <v>453</v>
      </c>
      <c r="J146" s="26" t="s">
        <v>12</v>
      </c>
      <c r="K146" s="26" t="s">
        <v>19</v>
      </c>
      <c r="L146" s="25" t="s">
        <v>9</v>
      </c>
      <c r="M146" s="26" t="s">
        <v>10</v>
      </c>
      <c r="N146" s="26" t="s">
        <v>300</v>
      </c>
      <c r="O146" s="26" t="s">
        <v>301</v>
      </c>
      <c r="P146" s="43" t="s">
        <v>10</v>
      </c>
      <c r="Q146" s="42"/>
      <c r="R146" s="26" t="s">
        <v>820</v>
      </c>
    </row>
    <row r="147" spans="1:18" ht="18" customHeight="1">
      <c r="A147" s="40">
        <v>149</v>
      </c>
      <c r="B147" s="26" t="s">
        <v>14</v>
      </c>
      <c r="C147" s="26" t="s">
        <v>185</v>
      </c>
      <c r="D147" s="24" t="s">
        <v>186</v>
      </c>
      <c r="E147" s="26" t="s">
        <v>187</v>
      </c>
      <c r="F147" s="23">
        <v>30</v>
      </c>
      <c r="G147" s="26" t="s">
        <v>438</v>
      </c>
      <c r="H147" s="26">
        <v>155</v>
      </c>
      <c r="I147" s="26" t="s">
        <v>1120</v>
      </c>
      <c r="J147" s="26" t="s">
        <v>35</v>
      </c>
      <c r="K147" s="26" t="s">
        <v>10</v>
      </c>
      <c r="L147" s="25" t="s">
        <v>9</v>
      </c>
      <c r="M147" s="26" t="s">
        <v>10</v>
      </c>
      <c r="N147" s="26" t="s">
        <v>188</v>
      </c>
      <c r="O147" s="26" t="s">
        <v>189</v>
      </c>
      <c r="P147" s="43" t="s">
        <v>190</v>
      </c>
      <c r="Q147" s="42"/>
      <c r="R147" s="26" t="s">
        <v>820</v>
      </c>
    </row>
    <row r="148" spans="1:18" ht="18" customHeight="1">
      <c r="A148" s="40">
        <v>150</v>
      </c>
      <c r="B148" s="26" t="s">
        <v>8</v>
      </c>
      <c r="C148" s="26" t="s">
        <v>805</v>
      </c>
      <c r="D148" s="24">
        <v>1030845364</v>
      </c>
      <c r="E148" s="26" t="s">
        <v>806</v>
      </c>
      <c r="F148" s="23">
        <v>31</v>
      </c>
      <c r="G148" s="26" t="s">
        <v>766</v>
      </c>
      <c r="H148" s="26">
        <v>170</v>
      </c>
      <c r="I148" s="26" t="s">
        <v>448</v>
      </c>
      <c r="J148" s="26" t="s">
        <v>35</v>
      </c>
      <c r="K148" s="26" t="s">
        <v>10</v>
      </c>
      <c r="L148" s="25" t="s">
        <v>9</v>
      </c>
      <c r="M148" s="26" t="s">
        <v>29</v>
      </c>
      <c r="N148" s="26" t="s">
        <v>807</v>
      </c>
      <c r="O148" s="26" t="s">
        <v>808</v>
      </c>
      <c r="P148" s="43" t="s">
        <v>10</v>
      </c>
      <c r="Q148" s="42"/>
      <c r="R148" s="26" t="s">
        <v>820</v>
      </c>
    </row>
    <row r="149" spans="1:18" ht="18" customHeight="1">
      <c r="A149" s="40">
        <v>151</v>
      </c>
      <c r="B149" s="26" t="s">
        <v>14</v>
      </c>
      <c r="C149" s="26" t="s">
        <v>175</v>
      </c>
      <c r="D149" s="24">
        <v>1030197898</v>
      </c>
      <c r="E149" s="26" t="s">
        <v>176</v>
      </c>
      <c r="F149" s="23">
        <v>38</v>
      </c>
      <c r="G149" s="26" t="s">
        <v>442</v>
      </c>
      <c r="H149" s="26">
        <v>169</v>
      </c>
      <c r="I149" s="26" t="s">
        <v>2378</v>
      </c>
      <c r="J149" s="26" t="s">
        <v>76</v>
      </c>
      <c r="K149" s="26" t="s">
        <v>177</v>
      </c>
      <c r="L149" s="25" t="s">
        <v>9</v>
      </c>
      <c r="M149" s="26" t="s">
        <v>29</v>
      </c>
      <c r="N149" s="26" t="s">
        <v>178</v>
      </c>
      <c r="O149" s="26" t="s">
        <v>179</v>
      </c>
      <c r="P149" s="43" t="s">
        <v>10</v>
      </c>
      <c r="Q149" s="42"/>
      <c r="R149" s="26" t="s">
        <v>820</v>
      </c>
    </row>
    <row r="150" spans="1:18" ht="18" customHeight="1">
      <c r="A150" s="40">
        <v>152</v>
      </c>
      <c r="B150" s="26" t="s">
        <v>14</v>
      </c>
      <c r="C150" s="26" t="s">
        <v>708</v>
      </c>
      <c r="D150" s="24">
        <v>1055700506</v>
      </c>
      <c r="E150" s="26" t="s">
        <v>709</v>
      </c>
      <c r="F150" s="23">
        <v>37</v>
      </c>
      <c r="G150" s="26" t="s">
        <v>445</v>
      </c>
      <c r="H150" s="26">
        <v>164</v>
      </c>
      <c r="I150" s="26" t="s">
        <v>2383</v>
      </c>
      <c r="J150" s="26" t="s">
        <v>59</v>
      </c>
      <c r="K150" s="26" t="s">
        <v>10</v>
      </c>
      <c r="L150" s="25" t="s">
        <v>9</v>
      </c>
      <c r="M150" s="26" t="s">
        <v>29</v>
      </c>
      <c r="N150" s="26" t="s">
        <v>710</v>
      </c>
      <c r="O150" s="26" t="s">
        <v>711</v>
      </c>
      <c r="P150" s="43" t="s">
        <v>324</v>
      </c>
      <c r="Q150" s="42"/>
      <c r="R150" s="26" t="s">
        <v>820</v>
      </c>
    </row>
    <row r="151" spans="1:18" ht="18" customHeight="1">
      <c r="A151" s="40">
        <v>153</v>
      </c>
      <c r="B151" s="26" t="s">
        <v>14</v>
      </c>
      <c r="C151" s="26" t="s">
        <v>920</v>
      </c>
      <c r="D151" s="24">
        <v>1048062475</v>
      </c>
      <c r="E151" s="26" t="s">
        <v>921</v>
      </c>
      <c r="F151" s="23">
        <v>32</v>
      </c>
      <c r="G151" s="26" t="s">
        <v>761</v>
      </c>
      <c r="H151" s="26">
        <v>170</v>
      </c>
      <c r="I151" s="26" t="s">
        <v>453</v>
      </c>
      <c r="J151" s="26" t="s">
        <v>19</v>
      </c>
      <c r="K151" s="26" t="s">
        <v>922</v>
      </c>
      <c r="L151" s="25" t="s">
        <v>31</v>
      </c>
      <c r="M151" s="26" t="s">
        <v>57</v>
      </c>
      <c r="N151" s="26" t="s">
        <v>923</v>
      </c>
      <c r="O151" s="26" t="s">
        <v>924</v>
      </c>
      <c r="P151" s="43" t="s">
        <v>79</v>
      </c>
      <c r="Q151" s="42" t="s">
        <v>925</v>
      </c>
      <c r="R151" s="26" t="s">
        <v>820</v>
      </c>
    </row>
    <row r="152" spans="1:18" ht="18" customHeight="1">
      <c r="A152" s="40">
        <v>154</v>
      </c>
      <c r="B152" s="26" t="s">
        <v>14</v>
      </c>
      <c r="C152" s="26" t="s">
        <v>106</v>
      </c>
      <c r="D152" s="24" t="s">
        <v>107</v>
      </c>
      <c r="E152" s="26" t="s">
        <v>108</v>
      </c>
      <c r="F152" s="23">
        <v>30</v>
      </c>
      <c r="G152" s="26" t="s">
        <v>2364</v>
      </c>
      <c r="H152" s="26">
        <v>170</v>
      </c>
      <c r="I152" s="26" t="s">
        <v>763</v>
      </c>
      <c r="J152" s="26" t="s">
        <v>72</v>
      </c>
      <c r="K152" s="26" t="s">
        <v>109</v>
      </c>
      <c r="L152" s="25" t="s">
        <v>9</v>
      </c>
      <c r="M152" s="26" t="s">
        <v>10</v>
      </c>
      <c r="N152" s="26" t="s">
        <v>110</v>
      </c>
      <c r="O152" s="26" t="s">
        <v>111</v>
      </c>
      <c r="P152" s="43" t="s">
        <v>11</v>
      </c>
      <c r="Q152" s="42"/>
      <c r="R152" s="26" t="s">
        <v>820</v>
      </c>
    </row>
    <row r="153" spans="1:18" ht="18" customHeight="1">
      <c r="A153" s="40">
        <v>155</v>
      </c>
      <c r="B153" s="26" t="s">
        <v>8</v>
      </c>
      <c r="C153" s="26" t="s">
        <v>222</v>
      </c>
      <c r="D153" s="24">
        <v>1062077070</v>
      </c>
      <c r="E153" s="26" t="s">
        <v>223</v>
      </c>
      <c r="F153" s="23">
        <v>42</v>
      </c>
      <c r="G153" s="26" t="s">
        <v>2370</v>
      </c>
      <c r="H153" s="26">
        <v>174</v>
      </c>
      <c r="I153" s="26" t="s">
        <v>449</v>
      </c>
      <c r="J153" s="26" t="s">
        <v>72</v>
      </c>
      <c r="K153" s="26" t="s">
        <v>10</v>
      </c>
      <c r="L153" s="25" t="s">
        <v>224</v>
      </c>
      <c r="M153" s="26" t="s">
        <v>10</v>
      </c>
      <c r="N153" s="26" t="s">
        <v>225</v>
      </c>
      <c r="O153" s="26" t="s">
        <v>226</v>
      </c>
      <c r="P153" s="43" t="s">
        <v>10</v>
      </c>
      <c r="Q153" s="34" t="s">
        <v>471</v>
      </c>
      <c r="R153" s="26" t="s">
        <v>820</v>
      </c>
    </row>
    <row r="154" spans="1:18" ht="18" customHeight="1">
      <c r="A154" s="40">
        <v>156</v>
      </c>
      <c r="B154" s="26" t="s">
        <v>8</v>
      </c>
      <c r="C154" s="26" t="s">
        <v>1001</v>
      </c>
      <c r="D154" s="24" t="s">
        <v>1002</v>
      </c>
      <c r="E154" s="26" t="s">
        <v>1003</v>
      </c>
      <c r="F154" s="23">
        <v>34</v>
      </c>
      <c r="G154" s="26" t="s">
        <v>456</v>
      </c>
      <c r="H154" s="26">
        <v>173</v>
      </c>
      <c r="I154" s="26" t="s">
        <v>1041</v>
      </c>
      <c r="J154" s="26" t="s">
        <v>252</v>
      </c>
      <c r="K154" s="26" t="s">
        <v>1004</v>
      </c>
      <c r="L154" s="25" t="s">
        <v>9</v>
      </c>
      <c r="M154" s="26" t="s">
        <v>10</v>
      </c>
      <c r="N154" s="26" t="s">
        <v>1005</v>
      </c>
      <c r="O154" s="26" t="s">
        <v>1006</v>
      </c>
      <c r="P154" s="43" t="s">
        <v>10</v>
      </c>
      <c r="Q154" s="42"/>
      <c r="R154" s="26" t="s">
        <v>820</v>
      </c>
    </row>
    <row r="155" spans="1:18" ht="18" customHeight="1">
      <c r="A155" s="40">
        <v>157</v>
      </c>
      <c r="B155" s="26" t="s">
        <v>14</v>
      </c>
      <c r="C155" s="26" t="s">
        <v>362</v>
      </c>
      <c r="D155" s="24">
        <v>1058093635</v>
      </c>
      <c r="E155" s="26" t="s">
        <v>363</v>
      </c>
      <c r="F155" s="23">
        <v>33</v>
      </c>
      <c r="G155" s="26" t="s">
        <v>2370</v>
      </c>
      <c r="H155" s="26">
        <v>157</v>
      </c>
      <c r="I155" s="26" t="s">
        <v>453</v>
      </c>
      <c r="J155" s="26" t="s">
        <v>19</v>
      </c>
      <c r="K155" s="26" t="s">
        <v>364</v>
      </c>
      <c r="L155" s="25" t="s">
        <v>9</v>
      </c>
      <c r="M155" s="26" t="s">
        <v>10</v>
      </c>
      <c r="N155" s="26" t="s">
        <v>365</v>
      </c>
      <c r="O155" s="26" t="s">
        <v>366</v>
      </c>
      <c r="P155" s="43" t="s">
        <v>10</v>
      </c>
      <c r="Q155" s="42"/>
      <c r="R155" s="26" t="s">
        <v>820</v>
      </c>
    </row>
    <row r="156" spans="1:18" ht="18" customHeight="1">
      <c r="A156" s="40">
        <v>158</v>
      </c>
      <c r="B156" s="26" t="s">
        <v>14</v>
      </c>
      <c r="C156" s="26" t="s">
        <v>427</v>
      </c>
      <c r="D156" s="24">
        <v>1062683131</v>
      </c>
      <c r="E156" s="26" t="s">
        <v>428</v>
      </c>
      <c r="F156" s="23">
        <v>39</v>
      </c>
      <c r="G156" s="26" t="s">
        <v>442</v>
      </c>
      <c r="H156" s="26">
        <v>164</v>
      </c>
      <c r="I156" s="26" t="s">
        <v>454</v>
      </c>
      <c r="J156" s="26" t="s">
        <v>35</v>
      </c>
      <c r="K156" s="26" t="s">
        <v>204</v>
      </c>
      <c r="L156" s="25" t="s">
        <v>75</v>
      </c>
      <c r="M156" s="26" t="s">
        <v>29</v>
      </c>
      <c r="N156" s="26" t="s">
        <v>429</v>
      </c>
      <c r="O156" s="26" t="s">
        <v>430</v>
      </c>
      <c r="P156" s="43" t="s">
        <v>10</v>
      </c>
      <c r="Q156" s="42"/>
      <c r="R156" s="26" t="s">
        <v>820</v>
      </c>
    </row>
    <row r="157" spans="1:18" ht="18" customHeight="1">
      <c r="A157" s="40">
        <v>159</v>
      </c>
      <c r="B157" s="26" t="s">
        <v>14</v>
      </c>
      <c r="C157" s="26" t="s">
        <v>191</v>
      </c>
      <c r="D157" s="24">
        <v>1028410813</v>
      </c>
      <c r="E157" s="26" t="s">
        <v>192</v>
      </c>
      <c r="F157" s="23">
        <v>38</v>
      </c>
      <c r="G157" s="26" t="s">
        <v>761</v>
      </c>
      <c r="H157" s="26">
        <v>164</v>
      </c>
      <c r="I157" s="26" t="s">
        <v>454</v>
      </c>
      <c r="J157" s="26" t="s">
        <v>76</v>
      </c>
      <c r="K157" s="26" t="s">
        <v>193</v>
      </c>
      <c r="L157" s="25" t="s">
        <v>49</v>
      </c>
      <c r="M157" s="26" t="s">
        <v>29</v>
      </c>
      <c r="N157" s="26" t="s">
        <v>194</v>
      </c>
      <c r="O157" s="26" t="s">
        <v>195</v>
      </c>
      <c r="P157" s="43" t="s">
        <v>196</v>
      </c>
      <c r="Q157" s="42"/>
      <c r="R157" s="26" t="s">
        <v>820</v>
      </c>
    </row>
    <row r="158" spans="1:18" ht="18" customHeight="1">
      <c r="A158" s="40">
        <v>160</v>
      </c>
      <c r="B158" s="26" t="s">
        <v>14</v>
      </c>
      <c r="C158" s="26" t="s">
        <v>123</v>
      </c>
      <c r="D158" s="24">
        <v>1077719216</v>
      </c>
      <c r="E158" s="26" t="s">
        <v>124</v>
      </c>
      <c r="F158" s="23">
        <v>38</v>
      </c>
      <c r="G158" s="26" t="s">
        <v>444</v>
      </c>
      <c r="H158" s="26">
        <v>160</v>
      </c>
      <c r="I158" s="26" t="s">
        <v>452</v>
      </c>
      <c r="J158" s="26" t="s">
        <v>37</v>
      </c>
      <c r="K158" s="26" t="s">
        <v>10</v>
      </c>
      <c r="L158" s="25" t="s">
        <v>9</v>
      </c>
      <c r="M158" s="26" t="s">
        <v>29</v>
      </c>
      <c r="N158" s="26" t="s">
        <v>125</v>
      </c>
      <c r="O158" s="26" t="s">
        <v>126</v>
      </c>
      <c r="P158" s="43" t="s">
        <v>10</v>
      </c>
      <c r="Q158" s="42"/>
      <c r="R158" s="26" t="s">
        <v>820</v>
      </c>
    </row>
    <row r="159" spans="1:18" ht="18" customHeight="1">
      <c r="A159" s="40">
        <v>161</v>
      </c>
      <c r="B159" s="26" t="s">
        <v>14</v>
      </c>
      <c r="C159" s="26" t="s">
        <v>675</v>
      </c>
      <c r="D159" s="24" t="s">
        <v>676</v>
      </c>
      <c r="E159" s="26" t="s">
        <v>677</v>
      </c>
      <c r="F159" s="23">
        <v>31</v>
      </c>
      <c r="G159" s="26" t="s">
        <v>2397</v>
      </c>
      <c r="H159" s="26">
        <v>165</v>
      </c>
      <c r="I159" s="26" t="s">
        <v>2378</v>
      </c>
      <c r="J159" s="26" t="s">
        <v>68</v>
      </c>
      <c r="K159" s="26" t="s">
        <v>678</v>
      </c>
      <c r="L159" s="25" t="s">
        <v>31</v>
      </c>
      <c r="M159" s="26" t="s">
        <v>29</v>
      </c>
      <c r="N159" s="26" t="s">
        <v>679</v>
      </c>
      <c r="O159" s="26" t="s">
        <v>680</v>
      </c>
      <c r="P159" s="43" t="s">
        <v>10</v>
      </c>
      <c r="Q159" s="42"/>
      <c r="R159" s="26" t="s">
        <v>820</v>
      </c>
    </row>
    <row r="160" spans="1:18" ht="18" customHeight="1">
      <c r="A160" s="40">
        <v>162</v>
      </c>
      <c r="B160" s="26" t="s">
        <v>14</v>
      </c>
      <c r="C160" s="26" t="s">
        <v>1010</v>
      </c>
      <c r="D160" s="24">
        <v>1027325640</v>
      </c>
      <c r="E160" s="26" t="s">
        <v>1011</v>
      </c>
      <c r="F160" s="23">
        <v>32</v>
      </c>
      <c r="G160" s="26" t="s">
        <v>2381</v>
      </c>
      <c r="H160" s="26">
        <v>159</v>
      </c>
      <c r="I160" s="26" t="s">
        <v>2368</v>
      </c>
      <c r="J160" s="26" t="s">
        <v>66</v>
      </c>
      <c r="K160" s="26" t="s">
        <v>10</v>
      </c>
      <c r="L160" s="25" t="s">
        <v>9</v>
      </c>
      <c r="M160" s="26" t="s">
        <v>10</v>
      </c>
      <c r="N160" s="26" t="s">
        <v>1012</v>
      </c>
      <c r="O160" s="26" t="s">
        <v>1013</v>
      </c>
      <c r="P160" s="43" t="s">
        <v>497</v>
      </c>
      <c r="Q160" s="42"/>
      <c r="R160" s="26" t="s">
        <v>820</v>
      </c>
    </row>
    <row r="161" spans="1:18" ht="18" customHeight="1">
      <c r="A161" s="40">
        <v>163</v>
      </c>
      <c r="B161" s="26" t="s">
        <v>14</v>
      </c>
      <c r="C161" s="26" t="s">
        <v>201</v>
      </c>
      <c r="D161" s="24">
        <v>1045019249</v>
      </c>
      <c r="E161" s="26" t="s">
        <v>202</v>
      </c>
      <c r="F161" s="23">
        <v>25</v>
      </c>
      <c r="G161" s="26" t="s">
        <v>440</v>
      </c>
      <c r="H161" s="26">
        <v>168</v>
      </c>
      <c r="I161" s="26" t="s">
        <v>453</v>
      </c>
      <c r="J161" s="26" t="s">
        <v>59</v>
      </c>
      <c r="K161" s="26" t="s">
        <v>204</v>
      </c>
      <c r="L161" s="25" t="s">
        <v>9</v>
      </c>
      <c r="M161" s="26" t="s">
        <v>29</v>
      </c>
      <c r="N161" s="26" t="s">
        <v>205</v>
      </c>
      <c r="O161" s="26"/>
      <c r="P161" s="43" t="s">
        <v>11</v>
      </c>
      <c r="Q161" s="42"/>
      <c r="R161" s="26" t="s">
        <v>820</v>
      </c>
    </row>
    <row r="162" spans="1:18" ht="18" customHeight="1">
      <c r="A162" s="40">
        <v>164</v>
      </c>
      <c r="B162" s="26" t="s">
        <v>14</v>
      </c>
      <c r="C162" s="26" t="s">
        <v>895</v>
      </c>
      <c r="D162" s="24">
        <v>1022385348</v>
      </c>
      <c r="E162" s="26" t="s">
        <v>896</v>
      </c>
      <c r="F162" s="23">
        <v>36</v>
      </c>
      <c r="G162" s="26" t="s">
        <v>2374</v>
      </c>
      <c r="H162" s="26">
        <v>161</v>
      </c>
      <c r="I162" s="26" t="s">
        <v>453</v>
      </c>
      <c r="J162" s="26" t="s">
        <v>59</v>
      </c>
      <c r="K162" s="26" t="s">
        <v>204</v>
      </c>
      <c r="L162" s="25" t="s">
        <v>9</v>
      </c>
      <c r="M162" s="26" t="s">
        <v>29</v>
      </c>
      <c r="N162" s="26" t="s">
        <v>897</v>
      </c>
      <c r="O162" s="26" t="s">
        <v>898</v>
      </c>
      <c r="P162" s="43" t="s">
        <v>10</v>
      </c>
      <c r="Q162" s="42"/>
      <c r="R162" s="26" t="s">
        <v>820</v>
      </c>
    </row>
    <row r="163" spans="1:18" ht="18" customHeight="1">
      <c r="A163" s="40">
        <v>165</v>
      </c>
      <c r="B163" s="26" t="s">
        <v>14</v>
      </c>
      <c r="C163" s="26" t="s">
        <v>600</v>
      </c>
      <c r="D163" s="24">
        <v>1055025776</v>
      </c>
      <c r="E163" s="26" t="s">
        <v>601</v>
      </c>
      <c r="F163" s="23">
        <v>33</v>
      </c>
      <c r="G163" s="26" t="s">
        <v>438</v>
      </c>
      <c r="H163" s="26">
        <v>162</v>
      </c>
      <c r="I163" s="26" t="s">
        <v>452</v>
      </c>
      <c r="J163" s="26" t="s">
        <v>68</v>
      </c>
      <c r="K163" s="26" t="s">
        <v>10</v>
      </c>
      <c r="L163" s="25" t="s">
        <v>9</v>
      </c>
      <c r="M163" s="26" t="s">
        <v>10</v>
      </c>
      <c r="N163" s="26" t="s">
        <v>602</v>
      </c>
      <c r="O163" s="26" t="s">
        <v>603</v>
      </c>
      <c r="P163" s="43" t="s">
        <v>10</v>
      </c>
      <c r="Q163" s="42"/>
      <c r="R163" s="26" t="s">
        <v>820</v>
      </c>
    </row>
    <row r="164" spans="1:18" ht="18" customHeight="1">
      <c r="A164" s="40">
        <v>166</v>
      </c>
      <c r="B164" s="26" t="s">
        <v>14</v>
      </c>
      <c r="C164" s="26" t="s">
        <v>667</v>
      </c>
      <c r="D164" s="24">
        <v>1086643774</v>
      </c>
      <c r="E164" s="26" t="s">
        <v>668</v>
      </c>
      <c r="F164" s="23">
        <v>40</v>
      </c>
      <c r="G164" s="26" t="s">
        <v>2389</v>
      </c>
      <c r="H164" s="26">
        <v>165</v>
      </c>
      <c r="I164" s="26" t="s">
        <v>2386</v>
      </c>
      <c r="J164" s="26" t="s">
        <v>35</v>
      </c>
      <c r="K164" s="26" t="s">
        <v>10</v>
      </c>
      <c r="L164" s="25" t="s">
        <v>9</v>
      </c>
      <c r="M164" s="26" t="s">
        <v>10</v>
      </c>
      <c r="N164" s="26" t="s">
        <v>669</v>
      </c>
      <c r="O164" s="26" t="s">
        <v>670</v>
      </c>
      <c r="P164" s="43" t="s">
        <v>11</v>
      </c>
      <c r="Q164" s="35" t="s">
        <v>671</v>
      </c>
      <c r="R164" s="26" t="s">
        <v>820</v>
      </c>
    </row>
    <row r="165" spans="1:18" ht="18" customHeight="1">
      <c r="A165" s="40">
        <v>167</v>
      </c>
      <c r="B165" s="26" t="s">
        <v>14</v>
      </c>
      <c r="C165" s="26" t="s">
        <v>1074</v>
      </c>
      <c r="D165" s="24">
        <v>1022633940</v>
      </c>
      <c r="E165" s="26" t="s">
        <v>1075</v>
      </c>
      <c r="F165" s="23">
        <v>33</v>
      </c>
      <c r="G165" s="26" t="s">
        <v>441</v>
      </c>
      <c r="H165" s="26">
        <v>155</v>
      </c>
      <c r="I165" s="26" t="s">
        <v>452</v>
      </c>
      <c r="J165" s="26" t="s">
        <v>66</v>
      </c>
      <c r="K165" s="26" t="s">
        <v>1076</v>
      </c>
      <c r="L165" s="25" t="s">
        <v>9</v>
      </c>
      <c r="M165" s="26" t="s">
        <v>29</v>
      </c>
      <c r="N165" s="26" t="s">
        <v>1077</v>
      </c>
      <c r="O165" s="26" t="s">
        <v>1078</v>
      </c>
      <c r="P165" s="43" t="s">
        <v>10</v>
      </c>
      <c r="Q165" s="42"/>
      <c r="R165" s="26" t="s">
        <v>820</v>
      </c>
    </row>
    <row r="166" spans="1:18" ht="18" customHeight="1">
      <c r="A166" s="40">
        <v>168</v>
      </c>
      <c r="B166" s="26" t="s">
        <v>14</v>
      </c>
      <c r="C166" s="26" t="s">
        <v>899</v>
      </c>
      <c r="D166" s="24" t="s">
        <v>900</v>
      </c>
      <c r="E166" s="26" t="s">
        <v>901</v>
      </c>
      <c r="F166" s="23">
        <v>28</v>
      </c>
      <c r="G166" s="26" t="s">
        <v>439</v>
      </c>
      <c r="H166" s="26">
        <v>160</v>
      </c>
      <c r="I166" s="26" t="s">
        <v>2383</v>
      </c>
      <c r="J166" s="26" t="s">
        <v>30</v>
      </c>
      <c r="K166" s="26" t="s">
        <v>659</v>
      </c>
      <c r="L166" s="25" t="s">
        <v>9</v>
      </c>
      <c r="M166" s="26" t="s">
        <v>29</v>
      </c>
      <c r="N166" s="26" t="s">
        <v>902</v>
      </c>
      <c r="O166" s="26" t="s">
        <v>903</v>
      </c>
      <c r="P166" s="43" t="s">
        <v>10</v>
      </c>
      <c r="Q166" s="42"/>
      <c r="R166" s="26" t="s">
        <v>820</v>
      </c>
    </row>
    <row r="167" spans="1:18" ht="18" customHeight="1">
      <c r="A167" s="40">
        <v>169</v>
      </c>
      <c r="B167" s="26" t="s">
        <v>8</v>
      </c>
      <c r="C167" s="26" t="s">
        <v>138</v>
      </c>
      <c r="D167" s="24">
        <v>1091228643</v>
      </c>
      <c r="E167" s="26" t="s">
        <v>139</v>
      </c>
      <c r="F167" s="23">
        <v>32</v>
      </c>
      <c r="G167" s="26" t="s">
        <v>439</v>
      </c>
      <c r="H167" s="26">
        <v>170</v>
      </c>
      <c r="I167" s="26" t="s">
        <v>448</v>
      </c>
      <c r="J167" s="26" t="s">
        <v>59</v>
      </c>
      <c r="K167" s="26" t="s">
        <v>10</v>
      </c>
      <c r="L167" s="25" t="s">
        <v>9</v>
      </c>
      <c r="M167" s="26" t="s">
        <v>29</v>
      </c>
      <c r="N167" s="26" t="s">
        <v>140</v>
      </c>
      <c r="O167" s="26" t="s">
        <v>141</v>
      </c>
      <c r="P167" s="43" t="s">
        <v>69</v>
      </c>
      <c r="Q167" s="42"/>
      <c r="R167" s="26" t="s">
        <v>820</v>
      </c>
    </row>
    <row r="168" spans="1:18" ht="18" customHeight="1">
      <c r="A168" s="40">
        <v>170</v>
      </c>
      <c r="B168" s="26" t="s">
        <v>14</v>
      </c>
      <c r="C168" s="26" t="s">
        <v>74</v>
      </c>
      <c r="D168" s="24">
        <v>1064494459</v>
      </c>
      <c r="E168" s="26" t="s">
        <v>88</v>
      </c>
      <c r="F168" s="23">
        <v>36</v>
      </c>
      <c r="G168" s="26" t="s">
        <v>2398</v>
      </c>
      <c r="H168" s="26">
        <v>156</v>
      </c>
      <c r="I168" s="26" t="s">
        <v>2368</v>
      </c>
      <c r="J168" s="26" t="s">
        <v>68</v>
      </c>
      <c r="K168" s="26" t="s">
        <v>10</v>
      </c>
      <c r="L168" s="25" t="s">
        <v>9</v>
      </c>
      <c r="M168" s="26" t="s">
        <v>29</v>
      </c>
      <c r="N168" s="26" t="s">
        <v>89</v>
      </c>
      <c r="O168" s="26" t="s">
        <v>90</v>
      </c>
      <c r="P168" s="43" t="s">
        <v>10</v>
      </c>
      <c r="Q168" s="42"/>
      <c r="R168" s="26" t="s">
        <v>820</v>
      </c>
    </row>
    <row r="169" spans="1:18" ht="18" customHeight="1">
      <c r="A169" s="40">
        <v>171</v>
      </c>
      <c r="B169" s="26" t="s">
        <v>8</v>
      </c>
      <c r="C169" s="26" t="s">
        <v>615</v>
      </c>
      <c r="D169" s="24" t="s">
        <v>616</v>
      </c>
      <c r="E169" s="26" t="s">
        <v>617</v>
      </c>
      <c r="F169" s="23">
        <v>32</v>
      </c>
      <c r="G169" s="26" t="s">
        <v>438</v>
      </c>
      <c r="H169" s="26">
        <v>178</v>
      </c>
      <c r="I169" s="26" t="s">
        <v>770</v>
      </c>
      <c r="J169" s="26" t="s">
        <v>23</v>
      </c>
      <c r="K169" s="26" t="s">
        <v>618</v>
      </c>
      <c r="L169" s="25" t="s">
        <v>9</v>
      </c>
      <c r="M169" s="26" t="s">
        <v>29</v>
      </c>
      <c r="N169" s="26" t="s">
        <v>619</v>
      </c>
      <c r="O169" s="26" t="s">
        <v>620</v>
      </c>
      <c r="P169" s="43" t="s">
        <v>10</v>
      </c>
      <c r="Q169" s="42"/>
      <c r="R169" s="26" t="s">
        <v>820</v>
      </c>
    </row>
    <row r="170" spans="1:18" ht="18" customHeight="1">
      <c r="A170" s="40">
        <v>172</v>
      </c>
      <c r="B170" s="26" t="s">
        <v>8</v>
      </c>
      <c r="C170" s="26" t="s">
        <v>735</v>
      </c>
      <c r="D170" s="24">
        <v>1036773349</v>
      </c>
      <c r="E170" s="26" t="s">
        <v>736</v>
      </c>
      <c r="F170" s="23">
        <v>27</v>
      </c>
      <c r="G170" s="26" t="s">
        <v>2392</v>
      </c>
      <c r="H170" s="26">
        <v>172</v>
      </c>
      <c r="I170" s="26" t="s">
        <v>2367</v>
      </c>
      <c r="J170" s="26" t="s">
        <v>68</v>
      </c>
      <c r="K170" s="26" t="s">
        <v>10</v>
      </c>
      <c r="L170" s="25" t="s">
        <v>20</v>
      </c>
      <c r="M170" s="26" t="s">
        <v>10</v>
      </c>
      <c r="N170" s="26" t="s">
        <v>738</v>
      </c>
      <c r="O170" s="26" t="s">
        <v>739</v>
      </c>
      <c r="P170" s="43" t="s">
        <v>10</v>
      </c>
      <c r="Q170" s="42"/>
      <c r="R170" s="26" t="s">
        <v>820</v>
      </c>
    </row>
    <row r="171" spans="1:18" ht="18" customHeight="1">
      <c r="A171" s="40">
        <v>173</v>
      </c>
      <c r="B171" s="26" t="s">
        <v>14</v>
      </c>
      <c r="C171" s="26" t="s">
        <v>544</v>
      </c>
      <c r="D171" s="24">
        <v>1035950707</v>
      </c>
      <c r="E171" s="26" t="s">
        <v>545</v>
      </c>
      <c r="F171" s="23">
        <v>33</v>
      </c>
      <c r="G171" s="26" t="s">
        <v>441</v>
      </c>
      <c r="H171" s="26">
        <v>166</v>
      </c>
      <c r="I171" s="26" t="s">
        <v>2383</v>
      </c>
      <c r="J171" s="26" t="s">
        <v>66</v>
      </c>
      <c r="K171" s="26" t="s">
        <v>546</v>
      </c>
      <c r="L171" s="25" t="s">
        <v>9</v>
      </c>
      <c r="M171" s="26" t="s">
        <v>10</v>
      </c>
      <c r="N171" s="26" t="s">
        <v>547</v>
      </c>
      <c r="O171" s="26" t="s">
        <v>548</v>
      </c>
      <c r="P171" s="43" t="s">
        <v>11</v>
      </c>
      <c r="Q171" s="42"/>
      <c r="R171" s="26" t="s">
        <v>820</v>
      </c>
    </row>
    <row r="172" spans="1:18" ht="18" customHeight="1">
      <c r="A172" s="40">
        <v>174</v>
      </c>
      <c r="B172" s="26" t="s">
        <v>14</v>
      </c>
      <c r="C172" s="26" t="s">
        <v>585</v>
      </c>
      <c r="D172" s="24">
        <v>1022815432</v>
      </c>
      <c r="E172" s="26" t="s">
        <v>586</v>
      </c>
      <c r="F172" s="23">
        <v>30</v>
      </c>
      <c r="G172" s="26" t="s">
        <v>2364</v>
      </c>
      <c r="H172" s="26">
        <v>165</v>
      </c>
      <c r="I172" s="26" t="s">
        <v>763</v>
      </c>
      <c r="J172" s="26" t="s">
        <v>18</v>
      </c>
      <c r="K172" s="26" t="s">
        <v>10</v>
      </c>
      <c r="L172" s="25"/>
      <c r="M172" s="26" t="s">
        <v>10</v>
      </c>
      <c r="N172" s="26" t="s">
        <v>587</v>
      </c>
      <c r="O172" s="26" t="s">
        <v>588</v>
      </c>
      <c r="P172" s="43" t="s">
        <v>11</v>
      </c>
      <c r="Q172" s="42"/>
      <c r="R172" s="26" t="s">
        <v>820</v>
      </c>
    </row>
    <row r="173" spans="1:18" ht="18" customHeight="1">
      <c r="A173" s="40">
        <v>175</v>
      </c>
      <c r="B173" s="26" t="s">
        <v>14</v>
      </c>
      <c r="C173" s="26" t="s">
        <v>815</v>
      </c>
      <c r="D173" s="24">
        <v>1086042843</v>
      </c>
      <c r="E173" s="26" t="s">
        <v>816</v>
      </c>
      <c r="F173" s="23">
        <v>34</v>
      </c>
      <c r="G173" s="26" t="s">
        <v>438</v>
      </c>
      <c r="H173" s="26">
        <v>160</v>
      </c>
      <c r="I173" s="26" t="s">
        <v>2378</v>
      </c>
      <c r="J173" s="26" t="s">
        <v>30</v>
      </c>
      <c r="K173" s="26" t="s">
        <v>817</v>
      </c>
      <c r="L173" s="25" t="s">
        <v>9</v>
      </c>
      <c r="M173" s="26" t="s">
        <v>57</v>
      </c>
      <c r="N173" s="26" t="s">
        <v>818</v>
      </c>
      <c r="O173" s="26" t="s">
        <v>819</v>
      </c>
      <c r="P173" s="43" t="s">
        <v>11</v>
      </c>
      <c r="Q173" s="42"/>
      <c r="R173" s="26" t="s">
        <v>820</v>
      </c>
    </row>
    <row r="174" spans="1:18" ht="18" customHeight="1">
      <c r="A174" s="40">
        <v>176</v>
      </c>
      <c r="B174" s="26" t="s">
        <v>14</v>
      </c>
      <c r="C174" s="26" t="s">
        <v>809</v>
      </c>
      <c r="D174" s="24" t="s">
        <v>810</v>
      </c>
      <c r="E174" s="26" t="s">
        <v>811</v>
      </c>
      <c r="F174" s="23">
        <v>31</v>
      </c>
      <c r="G174" s="26" t="s">
        <v>2364</v>
      </c>
      <c r="H174" s="26">
        <v>155</v>
      </c>
      <c r="I174" s="26" t="s">
        <v>452</v>
      </c>
      <c r="J174" s="26" t="s">
        <v>18</v>
      </c>
      <c r="K174" s="26" t="s">
        <v>10</v>
      </c>
      <c r="L174" s="25" t="s">
        <v>9</v>
      </c>
      <c r="M174" s="26" t="s">
        <v>29</v>
      </c>
      <c r="N174" s="26" t="s">
        <v>812</v>
      </c>
      <c r="O174" s="26" t="s">
        <v>813</v>
      </c>
      <c r="P174" s="43" t="s">
        <v>10</v>
      </c>
      <c r="Q174" s="42" t="s">
        <v>814</v>
      </c>
      <c r="R174" s="26" t="s">
        <v>820</v>
      </c>
    </row>
    <row r="175" spans="1:18" ht="18" customHeight="1">
      <c r="A175" s="40">
        <v>177</v>
      </c>
      <c r="B175" s="26" t="s">
        <v>14</v>
      </c>
      <c r="C175" s="26" t="s">
        <v>112</v>
      </c>
      <c r="D175" s="24">
        <v>1064183553</v>
      </c>
      <c r="E175" s="26" t="s">
        <v>113</v>
      </c>
      <c r="F175" s="23">
        <v>33</v>
      </c>
      <c r="G175" s="26" t="s">
        <v>438</v>
      </c>
      <c r="H175" s="26">
        <v>158</v>
      </c>
      <c r="I175" s="26" t="s">
        <v>454</v>
      </c>
      <c r="J175" s="26" t="s">
        <v>28</v>
      </c>
      <c r="K175" s="26" t="s">
        <v>114</v>
      </c>
      <c r="L175" s="25" t="s">
        <v>9</v>
      </c>
      <c r="M175" s="26" t="s">
        <v>29</v>
      </c>
      <c r="N175" s="26" t="s">
        <v>115</v>
      </c>
      <c r="O175" s="26" t="s">
        <v>116</v>
      </c>
      <c r="P175" s="43" t="s">
        <v>11</v>
      </c>
      <c r="Q175" s="42"/>
      <c r="R175" s="26" t="s">
        <v>820</v>
      </c>
    </row>
    <row r="176" spans="1:18" ht="18" customHeight="1">
      <c r="A176" s="40">
        <v>178</v>
      </c>
      <c r="B176" s="26" t="s">
        <v>14</v>
      </c>
      <c r="C176" s="26" t="s">
        <v>231</v>
      </c>
      <c r="D176" s="24">
        <v>1098571052</v>
      </c>
      <c r="E176" s="26" t="s">
        <v>232</v>
      </c>
      <c r="F176" s="23">
        <v>32</v>
      </c>
      <c r="G176" s="26" t="s">
        <v>439</v>
      </c>
      <c r="H176" s="26">
        <v>160</v>
      </c>
      <c r="I176" s="26" t="s">
        <v>453</v>
      </c>
      <c r="J176" s="26" t="s">
        <v>28</v>
      </c>
      <c r="K176" s="26" t="s">
        <v>10</v>
      </c>
      <c r="L176" s="25" t="s">
        <v>9</v>
      </c>
      <c r="M176" s="26"/>
      <c r="N176" s="26" t="s">
        <v>233</v>
      </c>
      <c r="O176" s="26" t="s">
        <v>234</v>
      </c>
      <c r="P176" s="43" t="s">
        <v>10</v>
      </c>
      <c r="Q176" s="42"/>
      <c r="R176" s="26" t="s">
        <v>820</v>
      </c>
    </row>
    <row r="177" spans="1:18" ht="18" customHeight="1">
      <c r="A177" s="40">
        <v>179</v>
      </c>
      <c r="B177" s="26" t="s">
        <v>14</v>
      </c>
      <c r="C177" s="26" t="s">
        <v>580</v>
      </c>
      <c r="D177" s="24">
        <v>1071218197</v>
      </c>
      <c r="E177" s="26" t="s">
        <v>581</v>
      </c>
      <c r="F177" s="23">
        <v>36</v>
      </c>
      <c r="G177" s="26" t="s">
        <v>2374</v>
      </c>
      <c r="H177" s="26">
        <v>156</v>
      </c>
      <c r="I177" s="26" t="s">
        <v>1120</v>
      </c>
      <c r="J177" s="26" t="s">
        <v>582</v>
      </c>
      <c r="K177" s="26" t="s">
        <v>10</v>
      </c>
      <c r="L177" s="25" t="s">
        <v>56</v>
      </c>
      <c r="M177" s="26" t="s">
        <v>10</v>
      </c>
      <c r="N177" s="26" t="s">
        <v>583</v>
      </c>
      <c r="O177" s="26" t="s">
        <v>584</v>
      </c>
      <c r="P177" s="43" t="s">
        <v>10</v>
      </c>
      <c r="Q177" s="42"/>
      <c r="R177" s="26" t="s">
        <v>820</v>
      </c>
    </row>
    <row r="178" spans="1:18" ht="18" customHeight="1">
      <c r="A178" s="40">
        <v>180</v>
      </c>
      <c r="B178" s="26" t="s">
        <v>14</v>
      </c>
      <c r="C178" s="26" t="s">
        <v>326</v>
      </c>
      <c r="D178" s="24" t="s">
        <v>327</v>
      </c>
      <c r="E178" s="26" t="s">
        <v>328</v>
      </c>
      <c r="F178" s="23">
        <v>34</v>
      </c>
      <c r="G178" s="26" t="s">
        <v>2379</v>
      </c>
      <c r="H178" s="26">
        <v>160</v>
      </c>
      <c r="I178" s="26" t="s">
        <v>455</v>
      </c>
      <c r="J178" s="26" t="s">
        <v>1970</v>
      </c>
      <c r="K178" s="26" t="s">
        <v>330</v>
      </c>
      <c r="L178" s="25" t="s">
        <v>61</v>
      </c>
      <c r="M178" s="26" t="s">
        <v>10</v>
      </c>
      <c r="N178" s="26" t="s">
        <v>331</v>
      </c>
      <c r="O178" s="26" t="s">
        <v>332</v>
      </c>
      <c r="P178" s="43" t="s">
        <v>333</v>
      </c>
      <c r="Q178" s="42"/>
      <c r="R178" s="26" t="s">
        <v>820</v>
      </c>
    </row>
    <row r="179" spans="1:18" ht="18" customHeight="1">
      <c r="A179" s="40">
        <v>181</v>
      </c>
      <c r="B179" s="26" t="s">
        <v>8</v>
      </c>
      <c r="C179" s="26" t="s">
        <v>610</v>
      </c>
      <c r="D179" s="24" t="s">
        <v>611</v>
      </c>
      <c r="E179" s="26" t="s">
        <v>612</v>
      </c>
      <c r="F179" s="23">
        <v>30</v>
      </c>
      <c r="G179" s="26" t="s">
        <v>2366</v>
      </c>
      <c r="H179" s="26">
        <v>178</v>
      </c>
      <c r="I179" s="26" t="s">
        <v>447</v>
      </c>
      <c r="J179" s="26" t="s">
        <v>23</v>
      </c>
      <c r="K179" s="26" t="s">
        <v>10</v>
      </c>
      <c r="L179" s="25" t="s">
        <v>31</v>
      </c>
      <c r="M179" s="26" t="s">
        <v>10</v>
      </c>
      <c r="N179" s="26" t="s">
        <v>613</v>
      </c>
      <c r="O179" s="26" t="s">
        <v>614</v>
      </c>
      <c r="P179" s="43" t="s">
        <v>10</v>
      </c>
      <c r="Q179" s="34" t="s">
        <v>132</v>
      </c>
      <c r="R179" s="26" t="s">
        <v>820</v>
      </c>
    </row>
    <row r="180" spans="1:18" ht="18" customHeight="1">
      <c r="A180" s="40">
        <v>182</v>
      </c>
      <c r="B180" s="26" t="s">
        <v>14</v>
      </c>
      <c r="C180" s="26" t="s">
        <v>823</v>
      </c>
      <c r="D180" s="24">
        <v>1030410732</v>
      </c>
      <c r="E180" s="26" t="s">
        <v>824</v>
      </c>
      <c r="F180" s="23">
        <v>30</v>
      </c>
      <c r="G180" s="26" t="s">
        <v>2364</v>
      </c>
      <c r="H180" s="26">
        <v>163</v>
      </c>
      <c r="I180" s="26" t="s">
        <v>1120</v>
      </c>
      <c r="J180" s="26" t="s">
        <v>12</v>
      </c>
      <c r="K180" s="26" t="s">
        <v>10</v>
      </c>
      <c r="L180" s="25" t="s">
        <v>9</v>
      </c>
      <c r="M180" s="26" t="s">
        <v>29</v>
      </c>
      <c r="N180" s="26" t="s">
        <v>825</v>
      </c>
      <c r="O180" s="26" t="s">
        <v>826</v>
      </c>
      <c r="P180" s="43" t="s">
        <v>32</v>
      </c>
      <c r="Q180" s="42"/>
      <c r="R180" s="26" t="s">
        <v>820</v>
      </c>
    </row>
    <row r="181" spans="1:18" ht="18" customHeight="1">
      <c r="A181" s="40">
        <v>183</v>
      </c>
      <c r="B181" s="26" t="s">
        <v>14</v>
      </c>
      <c r="C181" s="26" t="s">
        <v>1101</v>
      </c>
      <c r="D181" s="24">
        <v>1036141084</v>
      </c>
      <c r="E181" s="26" t="s">
        <v>1102</v>
      </c>
      <c r="F181" s="23">
        <v>34</v>
      </c>
      <c r="G181" s="26" t="s">
        <v>2364</v>
      </c>
      <c r="H181" s="26">
        <v>160</v>
      </c>
      <c r="I181" s="26" t="s">
        <v>2368</v>
      </c>
      <c r="J181" s="26" t="s">
        <v>18</v>
      </c>
      <c r="K181" s="26" t="s">
        <v>10</v>
      </c>
      <c r="L181" s="25" t="s">
        <v>75</v>
      </c>
      <c r="M181" s="26" t="s">
        <v>57</v>
      </c>
      <c r="N181" s="26" t="s">
        <v>1103</v>
      </c>
      <c r="O181" s="26" t="s">
        <v>1104</v>
      </c>
      <c r="P181" s="43" t="s">
        <v>11</v>
      </c>
      <c r="Q181" s="42"/>
      <c r="R181" s="26" t="s">
        <v>820</v>
      </c>
    </row>
    <row r="182" spans="1:18" ht="18" customHeight="1">
      <c r="A182" s="40">
        <v>184</v>
      </c>
      <c r="B182" s="26" t="s">
        <v>14</v>
      </c>
      <c r="C182" s="26" t="s">
        <v>387</v>
      </c>
      <c r="D182" s="24" t="s">
        <v>388</v>
      </c>
      <c r="E182" s="26" t="s">
        <v>389</v>
      </c>
      <c r="F182" s="23">
        <v>33</v>
      </c>
      <c r="G182" s="26" t="s">
        <v>439</v>
      </c>
      <c r="H182" s="26">
        <v>157</v>
      </c>
      <c r="I182" s="26" t="s">
        <v>2376</v>
      </c>
      <c r="J182" s="26" t="s">
        <v>13</v>
      </c>
      <c r="K182" s="26" t="s">
        <v>390</v>
      </c>
      <c r="L182" s="25" t="s">
        <v>9</v>
      </c>
      <c r="M182" s="26" t="s">
        <v>10</v>
      </c>
      <c r="N182" s="26" t="s">
        <v>391</v>
      </c>
      <c r="O182" s="26" t="s">
        <v>392</v>
      </c>
      <c r="P182" s="43" t="s">
        <v>10</v>
      </c>
      <c r="Q182" s="42"/>
      <c r="R182" s="26" t="s">
        <v>820</v>
      </c>
    </row>
    <row r="183" spans="1:18" ht="18" customHeight="1">
      <c r="A183" s="40">
        <v>185</v>
      </c>
      <c r="B183" s="26" t="s">
        <v>8</v>
      </c>
      <c r="C183" s="26" t="s">
        <v>827</v>
      </c>
      <c r="D183" s="24">
        <v>1035135025</v>
      </c>
      <c r="E183" s="26" t="s">
        <v>828</v>
      </c>
      <c r="F183" s="23">
        <v>38</v>
      </c>
      <c r="G183" s="26" t="s">
        <v>439</v>
      </c>
      <c r="H183" s="26">
        <v>171</v>
      </c>
      <c r="I183" s="26" t="s">
        <v>456</v>
      </c>
      <c r="J183" s="26" t="s">
        <v>66</v>
      </c>
      <c r="K183" s="26" t="s">
        <v>10</v>
      </c>
      <c r="L183" s="25" t="s">
        <v>9</v>
      </c>
      <c r="M183" s="26" t="s">
        <v>10</v>
      </c>
      <c r="N183" s="26" t="s">
        <v>829</v>
      </c>
      <c r="O183" s="26"/>
      <c r="P183" s="43" t="s">
        <v>10</v>
      </c>
      <c r="Q183" s="42" t="s">
        <v>830</v>
      </c>
      <c r="R183" s="26" t="s">
        <v>820</v>
      </c>
    </row>
    <row r="184" spans="1:18" ht="18" customHeight="1">
      <c r="A184" s="40">
        <v>186</v>
      </c>
      <c r="B184" s="26" t="s">
        <v>14</v>
      </c>
      <c r="C184" s="26" t="s">
        <v>681</v>
      </c>
      <c r="D184" s="24">
        <v>1027423790</v>
      </c>
      <c r="E184" s="26" t="s">
        <v>682</v>
      </c>
      <c r="F184" s="23">
        <v>34</v>
      </c>
      <c r="G184" s="26" t="s">
        <v>761</v>
      </c>
      <c r="H184" s="26">
        <v>166</v>
      </c>
      <c r="I184" s="26" t="s">
        <v>453</v>
      </c>
      <c r="J184" s="26" t="s">
        <v>12</v>
      </c>
      <c r="K184" s="26" t="s">
        <v>10</v>
      </c>
      <c r="L184" s="25" t="s">
        <v>9</v>
      </c>
      <c r="M184" s="26" t="s">
        <v>10</v>
      </c>
      <c r="N184" s="26" t="s">
        <v>683</v>
      </c>
      <c r="O184" s="26" t="s">
        <v>684</v>
      </c>
      <c r="P184" s="43" t="s">
        <v>10</v>
      </c>
      <c r="Q184" s="42"/>
      <c r="R184" s="26" t="s">
        <v>820</v>
      </c>
    </row>
    <row r="185" spans="1:18" ht="18" customHeight="1">
      <c r="A185" s="40">
        <v>187</v>
      </c>
      <c r="B185" s="26" t="s">
        <v>14</v>
      </c>
      <c r="C185" s="26" t="s">
        <v>876</v>
      </c>
      <c r="D185" s="24">
        <v>1076169603</v>
      </c>
      <c r="E185" s="26" t="s">
        <v>877</v>
      </c>
      <c r="F185" s="23">
        <v>31</v>
      </c>
      <c r="G185" s="26" t="s">
        <v>438</v>
      </c>
      <c r="H185" s="26">
        <v>161</v>
      </c>
      <c r="I185" s="26" t="s">
        <v>2368</v>
      </c>
      <c r="J185" s="26" t="s">
        <v>1971</v>
      </c>
      <c r="K185" s="26" t="s">
        <v>10</v>
      </c>
      <c r="L185" s="25" t="s">
        <v>879</v>
      </c>
      <c r="M185" s="26" t="s">
        <v>10</v>
      </c>
      <c r="N185" s="26" t="s">
        <v>880</v>
      </c>
      <c r="O185" s="26" t="s">
        <v>881</v>
      </c>
      <c r="P185" s="43" t="s">
        <v>11</v>
      </c>
      <c r="Q185" s="42"/>
      <c r="R185" s="26" t="s">
        <v>820</v>
      </c>
    </row>
    <row r="186" spans="1:18" ht="18" customHeight="1">
      <c r="A186" s="40">
        <v>188</v>
      </c>
      <c r="B186" s="26" t="s">
        <v>14</v>
      </c>
      <c r="C186" s="26" t="s">
        <v>744</v>
      </c>
      <c r="D186" s="24">
        <v>1056870516</v>
      </c>
      <c r="E186" s="26" t="s">
        <v>745</v>
      </c>
      <c r="F186" s="23">
        <v>37</v>
      </c>
      <c r="G186" s="26" t="s">
        <v>761</v>
      </c>
      <c r="H186" s="26">
        <v>165</v>
      </c>
      <c r="I186" s="26" t="s">
        <v>453</v>
      </c>
      <c r="J186" s="26" t="s">
        <v>24</v>
      </c>
      <c r="K186" s="26" t="s">
        <v>747</v>
      </c>
      <c r="L186" s="25" t="s">
        <v>9</v>
      </c>
      <c r="M186" s="26" t="s">
        <v>29</v>
      </c>
      <c r="N186" s="26" t="s">
        <v>748</v>
      </c>
      <c r="O186" s="26" t="s">
        <v>749</v>
      </c>
      <c r="P186" s="43" t="s">
        <v>10</v>
      </c>
      <c r="Q186" s="42"/>
      <c r="R186" s="26" t="s">
        <v>820</v>
      </c>
    </row>
    <row r="187" spans="1:18" ht="18" customHeight="1">
      <c r="A187" s="40">
        <v>189</v>
      </c>
      <c r="B187" s="26" t="s">
        <v>14</v>
      </c>
      <c r="C187" s="26" t="s">
        <v>343</v>
      </c>
      <c r="D187" s="24">
        <v>1059017643</v>
      </c>
      <c r="E187" s="26" t="s">
        <v>344</v>
      </c>
      <c r="F187" s="23">
        <v>28</v>
      </c>
      <c r="G187" s="26" t="s">
        <v>766</v>
      </c>
      <c r="H187" s="26">
        <v>167</v>
      </c>
      <c r="I187" s="26" t="s">
        <v>2368</v>
      </c>
      <c r="J187" s="26" t="s">
        <v>12</v>
      </c>
      <c r="K187" s="26" t="s">
        <v>345</v>
      </c>
      <c r="L187" s="25" t="s">
        <v>9</v>
      </c>
      <c r="M187" s="26" t="s">
        <v>10</v>
      </c>
      <c r="N187" s="26" t="s">
        <v>346</v>
      </c>
      <c r="O187" s="26" t="s">
        <v>347</v>
      </c>
      <c r="P187" s="43" t="s">
        <v>73</v>
      </c>
      <c r="Q187" s="42"/>
      <c r="R187" s="26" t="s">
        <v>820</v>
      </c>
    </row>
    <row r="188" spans="1:18" ht="18" customHeight="1">
      <c r="A188" s="40">
        <v>190</v>
      </c>
      <c r="B188" s="26" t="s">
        <v>14</v>
      </c>
      <c r="C188" s="26" t="s">
        <v>180</v>
      </c>
      <c r="D188" s="24">
        <v>1092524214</v>
      </c>
      <c r="E188" s="26" t="s">
        <v>181</v>
      </c>
      <c r="F188" s="23">
        <v>27</v>
      </c>
      <c r="G188" s="26" t="s">
        <v>2364</v>
      </c>
      <c r="H188" s="26">
        <v>165</v>
      </c>
      <c r="I188" s="26" t="s">
        <v>2378</v>
      </c>
      <c r="J188" s="26" t="s">
        <v>76</v>
      </c>
      <c r="K188" s="26" t="s">
        <v>182</v>
      </c>
      <c r="L188" s="25" t="s">
        <v>9</v>
      </c>
      <c r="M188" s="26" t="s">
        <v>10</v>
      </c>
      <c r="N188" s="26" t="s">
        <v>183</v>
      </c>
      <c r="O188" s="26" t="s">
        <v>184</v>
      </c>
      <c r="P188" s="43" t="s">
        <v>10</v>
      </c>
      <c r="Q188" s="42"/>
      <c r="R188" s="26" t="s">
        <v>820</v>
      </c>
    </row>
    <row r="189" spans="1:18" ht="18" customHeight="1">
      <c r="A189" s="40">
        <v>191</v>
      </c>
      <c r="B189" s="26" t="s">
        <v>14</v>
      </c>
      <c r="C189" s="26" t="s">
        <v>570</v>
      </c>
      <c r="D189" s="24">
        <v>1094328805</v>
      </c>
      <c r="E189" s="26" t="s">
        <v>571</v>
      </c>
      <c r="F189" s="23">
        <v>27</v>
      </c>
      <c r="G189" s="26" t="s">
        <v>766</v>
      </c>
      <c r="H189" s="26">
        <v>165</v>
      </c>
      <c r="I189" s="26" t="s">
        <v>2378</v>
      </c>
      <c r="J189" s="26" t="s">
        <v>68</v>
      </c>
      <c r="K189" s="26" t="s">
        <v>572</v>
      </c>
      <c r="L189" s="25" t="s">
        <v>9</v>
      </c>
      <c r="M189" s="26" t="s">
        <v>29</v>
      </c>
      <c r="N189" s="26" t="s">
        <v>573</v>
      </c>
      <c r="O189" s="26" t="s">
        <v>574</v>
      </c>
      <c r="P189" s="43" t="s">
        <v>11</v>
      </c>
      <c r="Q189" s="34" t="s">
        <v>575</v>
      </c>
      <c r="R189" s="26" t="s">
        <v>820</v>
      </c>
    </row>
    <row r="190" spans="1:18" ht="18" customHeight="1">
      <c r="A190" s="40">
        <v>192</v>
      </c>
      <c r="B190" s="26" t="s">
        <v>8</v>
      </c>
      <c r="C190" s="26" t="s">
        <v>393</v>
      </c>
      <c r="D190" s="24">
        <v>1056406323</v>
      </c>
      <c r="E190" s="26" t="s">
        <v>394</v>
      </c>
      <c r="F190" s="23">
        <v>39</v>
      </c>
      <c r="G190" s="26" t="s">
        <v>441</v>
      </c>
      <c r="H190" s="26">
        <v>171</v>
      </c>
      <c r="I190" s="26" t="s">
        <v>448</v>
      </c>
      <c r="J190" s="26" t="s">
        <v>23</v>
      </c>
      <c r="K190" s="26" t="s">
        <v>10</v>
      </c>
      <c r="L190" s="25" t="s">
        <v>9</v>
      </c>
      <c r="M190" s="26" t="s">
        <v>10</v>
      </c>
      <c r="N190" s="26" t="s">
        <v>395</v>
      </c>
      <c r="O190" s="26" t="s">
        <v>396</v>
      </c>
      <c r="P190" s="43" t="s">
        <v>10</v>
      </c>
      <c r="Q190" s="42"/>
      <c r="R190" s="26" t="s">
        <v>820</v>
      </c>
    </row>
    <row r="191" spans="1:18" ht="18" customHeight="1">
      <c r="A191" s="40">
        <v>193</v>
      </c>
      <c r="B191" s="26" t="s">
        <v>14</v>
      </c>
      <c r="C191" s="26" t="s">
        <v>206</v>
      </c>
      <c r="D191" s="24">
        <v>1096261452</v>
      </c>
      <c r="E191" s="26" t="s">
        <v>207</v>
      </c>
      <c r="F191" s="23">
        <v>32</v>
      </c>
      <c r="G191" s="26" t="s">
        <v>438</v>
      </c>
      <c r="H191" s="26">
        <v>158</v>
      </c>
      <c r="I191" s="26" t="s">
        <v>2376</v>
      </c>
      <c r="J191" s="26" t="s">
        <v>37</v>
      </c>
      <c r="K191" s="26" t="s">
        <v>208</v>
      </c>
      <c r="L191" s="25" t="s">
        <v>75</v>
      </c>
      <c r="M191" s="26" t="s">
        <v>29</v>
      </c>
      <c r="N191" s="26" t="s">
        <v>209</v>
      </c>
      <c r="O191" s="26" t="s">
        <v>210</v>
      </c>
      <c r="P191" s="43" t="s">
        <v>79</v>
      </c>
      <c r="Q191" s="42"/>
      <c r="R191" s="26" t="s">
        <v>820</v>
      </c>
    </row>
    <row r="192" spans="1:18" ht="18" customHeight="1">
      <c r="A192" s="40">
        <v>194</v>
      </c>
      <c r="B192" s="26" t="s">
        <v>14</v>
      </c>
      <c r="C192" s="26" t="s">
        <v>216</v>
      </c>
      <c r="D192" s="24" t="s">
        <v>217</v>
      </c>
      <c r="E192" s="26" t="s">
        <v>218</v>
      </c>
      <c r="F192" s="23">
        <v>38</v>
      </c>
      <c r="G192" s="26" t="s">
        <v>2374</v>
      </c>
      <c r="H192" s="26">
        <v>161</v>
      </c>
      <c r="I192" s="26" t="s">
        <v>1720</v>
      </c>
      <c r="J192" s="26" t="s">
        <v>18</v>
      </c>
      <c r="K192" s="26" t="s">
        <v>219</v>
      </c>
      <c r="L192" s="25" t="s">
        <v>9</v>
      </c>
      <c r="M192" s="26" t="s">
        <v>29</v>
      </c>
      <c r="N192" s="26" t="s">
        <v>220</v>
      </c>
      <c r="O192" s="26" t="s">
        <v>221</v>
      </c>
      <c r="P192" s="43" t="s">
        <v>10</v>
      </c>
      <c r="Q192" s="42"/>
      <c r="R192" s="26" t="s">
        <v>820</v>
      </c>
    </row>
    <row r="193" spans="1:18" ht="18" customHeight="1">
      <c r="A193" s="40">
        <v>196</v>
      </c>
      <c r="B193" s="26" t="s">
        <v>14</v>
      </c>
      <c r="C193" s="26" t="s">
        <v>1055</v>
      </c>
      <c r="D193" s="24" t="s">
        <v>1056</v>
      </c>
      <c r="E193" s="26" t="s">
        <v>1057</v>
      </c>
      <c r="F193" s="23">
        <v>31</v>
      </c>
      <c r="G193" s="26" t="s">
        <v>438</v>
      </c>
      <c r="H193" s="26">
        <v>173</v>
      </c>
      <c r="I193" s="26" t="s">
        <v>453</v>
      </c>
      <c r="J193" s="26" t="s">
        <v>12</v>
      </c>
      <c r="K193" s="26" t="s">
        <v>10</v>
      </c>
      <c r="L193" s="25"/>
      <c r="M193" s="26"/>
      <c r="N193" s="26" t="s">
        <v>1058</v>
      </c>
      <c r="O193" s="26" t="s">
        <v>1059</v>
      </c>
      <c r="P193" s="43"/>
      <c r="Q193" s="42" t="s">
        <v>1060</v>
      </c>
      <c r="R193" s="26" t="s">
        <v>820</v>
      </c>
    </row>
    <row r="194" spans="1:18" ht="18" customHeight="1">
      <c r="A194" s="40">
        <v>197</v>
      </c>
      <c r="B194" s="26" t="s">
        <v>14</v>
      </c>
      <c r="C194" s="26" t="s">
        <v>564</v>
      </c>
      <c r="D194" s="24" t="s">
        <v>565</v>
      </c>
      <c r="E194" s="26" t="s">
        <v>566</v>
      </c>
      <c r="F194" s="23">
        <v>33</v>
      </c>
      <c r="G194" s="26" t="s">
        <v>759</v>
      </c>
      <c r="H194" s="26">
        <v>159</v>
      </c>
      <c r="I194" s="26" t="s">
        <v>2371</v>
      </c>
      <c r="J194" s="26" t="s">
        <v>59</v>
      </c>
      <c r="K194" s="26" t="s">
        <v>10</v>
      </c>
      <c r="L194" s="25" t="s">
        <v>49</v>
      </c>
      <c r="M194" s="26" t="s">
        <v>10</v>
      </c>
      <c r="N194" s="26" t="s">
        <v>567</v>
      </c>
      <c r="O194" s="26" t="s">
        <v>568</v>
      </c>
      <c r="P194" s="43" t="s">
        <v>569</v>
      </c>
      <c r="Q194" s="42"/>
      <c r="R194" s="26" t="s">
        <v>820</v>
      </c>
    </row>
    <row r="195" spans="1:18" ht="18" customHeight="1">
      <c r="A195" s="40">
        <v>198</v>
      </c>
      <c r="B195" s="26" t="s">
        <v>14</v>
      </c>
      <c r="C195" s="26" t="s">
        <v>1086</v>
      </c>
      <c r="D195" s="24" t="s">
        <v>1087</v>
      </c>
      <c r="E195" s="26" t="s">
        <v>1088</v>
      </c>
      <c r="F195" s="23">
        <v>39</v>
      </c>
      <c r="G195" s="26" t="s">
        <v>444</v>
      </c>
      <c r="H195" s="26">
        <v>160</v>
      </c>
      <c r="I195" s="26" t="s">
        <v>453</v>
      </c>
      <c r="J195" s="26" t="s">
        <v>23</v>
      </c>
      <c r="K195" s="26" t="s">
        <v>10</v>
      </c>
      <c r="L195" s="25" t="s">
        <v>75</v>
      </c>
      <c r="M195" s="26" t="s">
        <v>29</v>
      </c>
      <c r="N195" s="26" t="s">
        <v>1089</v>
      </c>
      <c r="O195" s="26" t="s">
        <v>1090</v>
      </c>
      <c r="P195" s="43" t="s">
        <v>10</v>
      </c>
      <c r="Q195" s="42"/>
      <c r="R195" s="26" t="s">
        <v>820</v>
      </c>
    </row>
    <row r="196" spans="1:18" ht="18" customHeight="1">
      <c r="A196" s="40">
        <v>199</v>
      </c>
      <c r="B196" s="26" t="s">
        <v>14</v>
      </c>
      <c r="C196" s="26" t="s">
        <v>730</v>
      </c>
      <c r="D196" s="24">
        <v>1046492452</v>
      </c>
      <c r="E196" s="26" t="s">
        <v>731</v>
      </c>
      <c r="F196" s="23">
        <v>28</v>
      </c>
      <c r="G196" s="26" t="s">
        <v>439</v>
      </c>
      <c r="H196" s="26">
        <v>162</v>
      </c>
      <c r="I196" s="26" t="s">
        <v>2368</v>
      </c>
      <c r="J196" s="26" t="s">
        <v>35</v>
      </c>
      <c r="K196" s="26" t="s">
        <v>10</v>
      </c>
      <c r="L196" s="25" t="s">
        <v>9</v>
      </c>
      <c r="M196" s="26" t="s">
        <v>10</v>
      </c>
      <c r="N196" s="26" t="s">
        <v>733</v>
      </c>
      <c r="O196" s="26" t="s">
        <v>734</v>
      </c>
      <c r="P196" s="43" t="s">
        <v>10</v>
      </c>
      <c r="Q196" s="42"/>
      <c r="R196" s="26" t="s">
        <v>820</v>
      </c>
    </row>
    <row r="197" spans="1:18" ht="18" customHeight="1">
      <c r="A197" s="40">
        <v>200</v>
      </c>
      <c r="B197" s="26" t="s">
        <v>14</v>
      </c>
      <c r="C197" s="26" t="s">
        <v>227</v>
      </c>
      <c r="D197" s="24">
        <v>1077390356</v>
      </c>
      <c r="E197" s="26" t="s">
        <v>228</v>
      </c>
      <c r="F197" s="23">
        <v>38</v>
      </c>
      <c r="G197" s="26" t="s">
        <v>442</v>
      </c>
      <c r="H197" s="26">
        <v>159</v>
      </c>
      <c r="I197" s="26" t="s">
        <v>1120</v>
      </c>
      <c r="J197" s="26" t="s">
        <v>66</v>
      </c>
      <c r="K197" s="26" t="s">
        <v>10</v>
      </c>
      <c r="L197" s="25" t="s">
        <v>49</v>
      </c>
      <c r="M197" s="26" t="s">
        <v>10</v>
      </c>
      <c r="N197" s="26" t="s">
        <v>229</v>
      </c>
      <c r="O197" s="26" t="s">
        <v>230</v>
      </c>
      <c r="P197" s="43" t="s">
        <v>10</v>
      </c>
      <c r="Q197" s="42"/>
      <c r="R197" s="26" t="s">
        <v>820</v>
      </c>
    </row>
    <row r="198" spans="1:18" ht="18" customHeight="1">
      <c r="A198" s="40">
        <v>201</v>
      </c>
      <c r="B198" s="26" t="s">
        <v>8</v>
      </c>
      <c r="C198" s="26" t="s">
        <v>270</v>
      </c>
      <c r="D198" s="24">
        <v>1085932022</v>
      </c>
      <c r="E198" s="26" t="s">
        <v>147</v>
      </c>
      <c r="F198" s="23">
        <v>34</v>
      </c>
      <c r="G198" s="26" t="s">
        <v>439</v>
      </c>
      <c r="H198" s="26">
        <v>177</v>
      </c>
      <c r="I198" s="26" t="s">
        <v>2380</v>
      </c>
      <c r="J198" s="26" t="s">
        <v>18</v>
      </c>
      <c r="K198" s="26" t="s">
        <v>10</v>
      </c>
      <c r="L198" s="25" t="s">
        <v>9</v>
      </c>
      <c r="M198" s="26" t="s">
        <v>29</v>
      </c>
      <c r="N198" s="26" t="s">
        <v>271</v>
      </c>
      <c r="O198" s="26" t="s">
        <v>272</v>
      </c>
      <c r="P198" s="43" t="s">
        <v>10</v>
      </c>
      <c r="Q198" s="42"/>
      <c r="R198" s="26" t="s">
        <v>820</v>
      </c>
    </row>
    <row r="199" spans="1:18" ht="18" customHeight="1">
      <c r="A199" s="40">
        <v>202</v>
      </c>
      <c r="B199" s="26" t="s">
        <v>14</v>
      </c>
      <c r="C199" s="26" t="s">
        <v>831</v>
      </c>
      <c r="D199" s="24">
        <v>1042264256</v>
      </c>
      <c r="E199" s="26" t="s">
        <v>832</v>
      </c>
      <c r="F199" s="23">
        <v>31</v>
      </c>
      <c r="G199" s="26" t="s">
        <v>441</v>
      </c>
      <c r="H199" s="26">
        <v>165</v>
      </c>
      <c r="I199" s="26" t="s">
        <v>452</v>
      </c>
      <c r="J199" s="26" t="s">
        <v>12</v>
      </c>
      <c r="K199" s="26" t="s">
        <v>833</v>
      </c>
      <c r="L199" s="25" t="s">
        <v>9</v>
      </c>
      <c r="M199" s="26" t="s">
        <v>10</v>
      </c>
      <c r="N199" s="26" t="s">
        <v>834</v>
      </c>
      <c r="O199" s="26" t="s">
        <v>835</v>
      </c>
      <c r="P199" s="43" t="s">
        <v>10</v>
      </c>
      <c r="Q199" s="42" t="s">
        <v>836</v>
      </c>
      <c r="R199" s="26" t="s">
        <v>820</v>
      </c>
    </row>
    <row r="200" spans="1:18" ht="18" customHeight="1">
      <c r="A200" s="40">
        <v>203</v>
      </c>
      <c r="B200" s="26" t="s">
        <v>14</v>
      </c>
      <c r="C200" s="26" t="s">
        <v>197</v>
      </c>
      <c r="D200" s="24">
        <v>1028150132</v>
      </c>
      <c r="E200" s="26" t="s">
        <v>198</v>
      </c>
      <c r="F200" s="23">
        <v>36</v>
      </c>
      <c r="G200" s="26" t="s">
        <v>438</v>
      </c>
      <c r="H200" s="26">
        <v>161</v>
      </c>
      <c r="I200" s="26" t="s">
        <v>452</v>
      </c>
      <c r="J200" s="26" t="s">
        <v>12</v>
      </c>
      <c r="K200" s="26" t="s">
        <v>10</v>
      </c>
      <c r="L200" s="25" t="s">
        <v>9</v>
      </c>
      <c r="M200" s="26" t="s">
        <v>10</v>
      </c>
      <c r="N200" s="26" t="s">
        <v>199</v>
      </c>
      <c r="O200" s="26" t="s">
        <v>200</v>
      </c>
      <c r="P200" s="43" t="s">
        <v>11</v>
      </c>
      <c r="Q200" s="42"/>
      <c r="R200" s="26" t="s">
        <v>820</v>
      </c>
    </row>
    <row r="201" spans="1:18" ht="18" customHeight="1">
      <c r="A201" s="40">
        <v>204</v>
      </c>
      <c r="B201" s="26" t="s">
        <v>14</v>
      </c>
      <c r="C201" s="26" t="s">
        <v>127</v>
      </c>
      <c r="D201" s="24">
        <v>1075395793</v>
      </c>
      <c r="E201" s="26" t="s">
        <v>128</v>
      </c>
      <c r="F201" s="23">
        <v>38</v>
      </c>
      <c r="G201" s="26" t="s">
        <v>438</v>
      </c>
      <c r="H201" s="26">
        <v>164</v>
      </c>
      <c r="I201" s="26" t="s">
        <v>2378</v>
      </c>
      <c r="J201" s="26" t="s">
        <v>59</v>
      </c>
      <c r="K201" s="26" t="s">
        <v>114</v>
      </c>
      <c r="L201" s="25" t="s">
        <v>9</v>
      </c>
      <c r="M201" s="26" t="s">
        <v>29</v>
      </c>
      <c r="N201" s="26" t="s">
        <v>129</v>
      </c>
      <c r="O201" s="26" t="s">
        <v>130</v>
      </c>
      <c r="P201" s="43" t="s">
        <v>11</v>
      </c>
      <c r="Q201" s="34" t="s">
        <v>131</v>
      </c>
      <c r="R201" s="26" t="s">
        <v>820</v>
      </c>
    </row>
    <row r="202" spans="1:18" ht="18" customHeight="1">
      <c r="A202" s="40">
        <v>205</v>
      </c>
      <c r="B202" s="26" t="s">
        <v>8</v>
      </c>
      <c r="C202" s="26" t="s">
        <v>146</v>
      </c>
      <c r="D202" s="24">
        <v>1082806215</v>
      </c>
      <c r="E202" s="26" t="s">
        <v>147</v>
      </c>
      <c r="F202" s="23">
        <v>40</v>
      </c>
      <c r="G202" s="26" t="s">
        <v>2377</v>
      </c>
      <c r="H202" s="26">
        <v>167</v>
      </c>
      <c r="I202" s="26" t="s">
        <v>2399</v>
      </c>
      <c r="J202" s="26" t="s">
        <v>59</v>
      </c>
      <c r="K202" s="26" t="s">
        <v>10</v>
      </c>
      <c r="L202" s="25" t="s">
        <v>31</v>
      </c>
      <c r="M202" s="26" t="s">
        <v>10</v>
      </c>
      <c r="N202" s="26" t="s">
        <v>149</v>
      </c>
      <c r="O202" s="26"/>
      <c r="P202" s="43" t="s">
        <v>10</v>
      </c>
      <c r="Q202" s="42"/>
      <c r="R202" s="26" t="s">
        <v>820</v>
      </c>
    </row>
    <row r="203" spans="1:18" ht="18" customHeight="1">
      <c r="A203" s="40">
        <v>206</v>
      </c>
      <c r="B203" s="26" t="s">
        <v>14</v>
      </c>
      <c r="C203" s="26" t="s">
        <v>483</v>
      </c>
      <c r="D203" s="24">
        <v>1036253872</v>
      </c>
      <c r="E203" s="26" t="s">
        <v>484</v>
      </c>
      <c r="F203" s="23">
        <v>37</v>
      </c>
      <c r="G203" s="26" t="s">
        <v>443</v>
      </c>
      <c r="H203" s="26">
        <v>162</v>
      </c>
      <c r="I203" s="26" t="s">
        <v>1120</v>
      </c>
      <c r="J203" s="26" t="s">
        <v>59</v>
      </c>
      <c r="K203" s="26" t="s">
        <v>10</v>
      </c>
      <c r="L203" s="25" t="s">
        <v>31</v>
      </c>
      <c r="M203" s="26" t="s">
        <v>10</v>
      </c>
      <c r="N203" s="26" t="s">
        <v>485</v>
      </c>
      <c r="O203" s="26" t="s">
        <v>486</v>
      </c>
      <c r="P203" s="43" t="s">
        <v>10</v>
      </c>
      <c r="Q203" s="42"/>
      <c r="R203" s="26" t="s">
        <v>820</v>
      </c>
    </row>
    <row r="204" spans="1:18" ht="18" customHeight="1" thickBot="1">
      <c r="A204" s="40">
        <v>207</v>
      </c>
      <c r="B204" s="26" t="s">
        <v>14</v>
      </c>
      <c r="C204" s="26" t="s">
        <v>838</v>
      </c>
      <c r="D204" s="24" t="s">
        <v>839</v>
      </c>
      <c r="E204" s="26" t="s">
        <v>840</v>
      </c>
      <c r="F204" s="23">
        <v>40</v>
      </c>
      <c r="G204" s="26" t="s">
        <v>2389</v>
      </c>
      <c r="H204" s="26">
        <v>155</v>
      </c>
      <c r="I204" s="26" t="s">
        <v>1120</v>
      </c>
      <c r="J204" s="26" t="s">
        <v>37</v>
      </c>
      <c r="K204" s="26" t="s">
        <v>10</v>
      </c>
      <c r="L204" s="25" t="s">
        <v>20</v>
      </c>
      <c r="M204" s="26" t="s">
        <v>10</v>
      </c>
      <c r="N204" s="26" t="s">
        <v>841</v>
      </c>
      <c r="O204" s="26" t="s">
        <v>842</v>
      </c>
      <c r="P204" s="43" t="s">
        <v>32</v>
      </c>
      <c r="Q204" s="42"/>
      <c r="R204" s="26" t="s">
        <v>820</v>
      </c>
    </row>
    <row r="205" spans="1:18" ht="18" customHeight="1" thickBot="1">
      <c r="A205" s="40">
        <v>208</v>
      </c>
      <c r="B205" s="57" t="s">
        <v>1148</v>
      </c>
      <c r="C205" s="51" t="s">
        <v>1124</v>
      </c>
      <c r="D205" s="53">
        <v>1092986844</v>
      </c>
      <c r="E205" s="17" t="s">
        <v>1128</v>
      </c>
      <c r="F205" s="52">
        <v>29</v>
      </c>
      <c r="G205" s="51" t="s">
        <v>82</v>
      </c>
      <c r="H205" s="17">
        <v>164</v>
      </c>
      <c r="I205" s="52" t="s">
        <v>452</v>
      </c>
      <c r="J205" s="51" t="s">
        <v>13</v>
      </c>
      <c r="K205" s="51" t="s">
        <v>1126</v>
      </c>
      <c r="L205" s="51" t="s">
        <v>20</v>
      </c>
      <c r="M205" s="17" t="s">
        <v>456</v>
      </c>
      <c r="N205" s="54" t="s">
        <v>2400</v>
      </c>
      <c r="O205" s="17" t="s">
        <v>1129</v>
      </c>
      <c r="P205" s="51" t="s">
        <v>69</v>
      </c>
      <c r="Q205" s="51" t="s">
        <v>1127</v>
      </c>
      <c r="R205" s="55" t="s">
        <v>820</v>
      </c>
    </row>
    <row r="206" spans="1:18" ht="18" customHeight="1">
      <c r="A206" s="40">
        <v>209</v>
      </c>
      <c r="B206" s="51" t="s">
        <v>14</v>
      </c>
      <c r="C206" s="51" t="s">
        <v>1130</v>
      </c>
      <c r="D206" s="53">
        <v>1047658161</v>
      </c>
      <c r="E206" s="17" t="s">
        <v>1131</v>
      </c>
      <c r="F206" s="52">
        <v>34</v>
      </c>
      <c r="G206" s="51" t="s">
        <v>82</v>
      </c>
      <c r="H206" s="17">
        <v>165</v>
      </c>
      <c r="I206" s="51" t="s">
        <v>453</v>
      </c>
      <c r="J206" s="51" t="s">
        <v>28</v>
      </c>
      <c r="K206" s="51" t="s">
        <v>10</v>
      </c>
      <c r="L206" s="51" t="s">
        <v>9</v>
      </c>
      <c r="M206" s="17" t="s">
        <v>29</v>
      </c>
      <c r="N206" s="54" t="s">
        <v>1132</v>
      </c>
      <c r="O206" s="17" t="s">
        <v>1133</v>
      </c>
      <c r="P206" s="51" t="s">
        <v>11</v>
      </c>
      <c r="Q206" s="51" t="s">
        <v>1127</v>
      </c>
      <c r="R206" s="34" t="s">
        <v>820</v>
      </c>
    </row>
    <row r="207" spans="1:18" ht="18" customHeight="1">
      <c r="A207" s="40">
        <v>210</v>
      </c>
      <c r="B207" s="51" t="s">
        <v>14</v>
      </c>
      <c r="C207" s="23" t="s">
        <v>1134</v>
      </c>
      <c r="D207" s="53" t="s">
        <v>1135</v>
      </c>
      <c r="E207" s="17" t="s">
        <v>1136</v>
      </c>
      <c r="F207" s="52">
        <v>27</v>
      </c>
      <c r="G207" s="51" t="s">
        <v>2401</v>
      </c>
      <c r="H207" s="17">
        <v>156</v>
      </c>
      <c r="I207" s="51" t="s">
        <v>453</v>
      </c>
      <c r="J207" s="17" t="s">
        <v>28</v>
      </c>
      <c r="K207" s="51" t="s">
        <v>10</v>
      </c>
      <c r="L207" s="51" t="s">
        <v>9</v>
      </c>
      <c r="M207" s="51" t="s">
        <v>29</v>
      </c>
      <c r="N207" s="17" t="s">
        <v>1137</v>
      </c>
      <c r="O207" s="21"/>
      <c r="P207" s="21"/>
      <c r="Q207" s="56"/>
      <c r="R207" s="21"/>
    </row>
    <row r="208" spans="1:18" ht="18" customHeight="1">
      <c r="A208" s="40">
        <v>211</v>
      </c>
      <c r="B208" s="52" t="s">
        <v>14</v>
      </c>
      <c r="C208" s="52" t="s">
        <v>1138</v>
      </c>
      <c r="D208" s="24">
        <v>1063838103</v>
      </c>
      <c r="E208" s="17" t="s">
        <v>1139</v>
      </c>
      <c r="F208" s="52">
        <v>33</v>
      </c>
      <c r="G208" s="52" t="s">
        <v>17</v>
      </c>
      <c r="H208" s="17">
        <v>159</v>
      </c>
      <c r="I208" s="52" t="s">
        <v>2368</v>
      </c>
      <c r="J208" s="17" t="s">
        <v>37</v>
      </c>
      <c r="K208" s="52" t="s">
        <v>1142</v>
      </c>
      <c r="L208" s="52" t="s">
        <v>9</v>
      </c>
      <c r="M208" s="52" t="s">
        <v>29</v>
      </c>
      <c r="N208" s="54" t="s">
        <v>1140</v>
      </c>
      <c r="O208" s="52"/>
      <c r="P208" s="21"/>
      <c r="Q208" s="21"/>
      <c r="R208" s="21"/>
    </row>
    <row r="209" spans="1:18" ht="18" customHeight="1">
      <c r="A209" s="40">
        <v>212</v>
      </c>
      <c r="B209" s="52" t="s">
        <v>14</v>
      </c>
      <c r="C209" s="52" t="s">
        <v>1143</v>
      </c>
      <c r="D209" s="24">
        <v>1041987587</v>
      </c>
      <c r="E209" s="17" t="s">
        <v>1144</v>
      </c>
      <c r="F209" s="52">
        <v>28</v>
      </c>
      <c r="G209" s="52" t="s">
        <v>1145</v>
      </c>
      <c r="H209" s="17">
        <v>158</v>
      </c>
      <c r="I209" s="52" t="s">
        <v>1146</v>
      </c>
      <c r="J209" s="17" t="s">
        <v>19</v>
      </c>
      <c r="K209" s="52" t="s">
        <v>1147</v>
      </c>
      <c r="L209" s="52" t="s">
        <v>9</v>
      </c>
      <c r="M209" s="52" t="s">
        <v>29</v>
      </c>
      <c r="N209" s="54" t="s">
        <v>2402</v>
      </c>
      <c r="O209" s="52"/>
      <c r="P209" s="21"/>
      <c r="Q209" s="21"/>
      <c r="R209" s="21"/>
    </row>
    <row r="210" spans="1:18" ht="18" customHeight="1">
      <c r="A210" s="40">
        <v>213</v>
      </c>
      <c r="B210" s="52" t="s">
        <v>14</v>
      </c>
      <c r="C210" s="52" t="s">
        <v>1165</v>
      </c>
      <c r="D210" s="24" t="s">
        <v>1166</v>
      </c>
      <c r="E210" s="17" t="s">
        <v>1173</v>
      </c>
      <c r="F210" s="52">
        <v>30</v>
      </c>
      <c r="G210" s="52" t="s">
        <v>439</v>
      </c>
      <c r="H210" s="17">
        <v>170</v>
      </c>
      <c r="I210" s="52" t="s">
        <v>2378</v>
      </c>
      <c r="J210" s="17" t="s">
        <v>30</v>
      </c>
      <c r="K210" s="52" t="s">
        <v>10</v>
      </c>
      <c r="L210" s="52" t="s">
        <v>31</v>
      </c>
      <c r="M210" s="52" t="s">
        <v>29</v>
      </c>
      <c r="N210" s="54" t="s">
        <v>1174</v>
      </c>
      <c r="O210" s="52" t="s">
        <v>1168</v>
      </c>
      <c r="P210" s="21" t="s">
        <v>10</v>
      </c>
      <c r="Q210" s="21"/>
      <c r="R210" s="21" t="s">
        <v>820</v>
      </c>
    </row>
    <row r="211" spans="1:18" ht="18" customHeight="1">
      <c r="A211" s="40">
        <v>214</v>
      </c>
      <c r="B211" s="52" t="s">
        <v>14</v>
      </c>
      <c r="C211" s="52" t="s">
        <v>1169</v>
      </c>
      <c r="D211" s="24">
        <v>1045649492</v>
      </c>
      <c r="E211" s="17" t="s">
        <v>2403</v>
      </c>
      <c r="F211" s="52">
        <v>32</v>
      </c>
      <c r="G211" s="52" t="s">
        <v>2381</v>
      </c>
      <c r="H211" s="17">
        <v>168</v>
      </c>
      <c r="I211" s="52" t="s">
        <v>453</v>
      </c>
      <c r="J211" s="17" t="s">
        <v>59</v>
      </c>
      <c r="K211" s="52" t="s">
        <v>10</v>
      </c>
      <c r="L211" s="52" t="s">
        <v>9</v>
      </c>
      <c r="M211" s="52" t="s">
        <v>29</v>
      </c>
      <c r="N211" s="54" t="s">
        <v>1171</v>
      </c>
      <c r="O211" s="52" t="s">
        <v>1172</v>
      </c>
      <c r="P211" s="21" t="s">
        <v>10</v>
      </c>
      <c r="Q211" s="21" t="s">
        <v>1127</v>
      </c>
      <c r="R211" s="21" t="s">
        <v>820</v>
      </c>
    </row>
    <row r="212" spans="1:18" ht="18" customHeight="1">
      <c r="A212" s="40">
        <v>215</v>
      </c>
      <c r="B212" s="52" t="s">
        <v>14</v>
      </c>
      <c r="C212" s="52" t="s">
        <v>1177</v>
      </c>
      <c r="D212" s="24" t="s">
        <v>1178</v>
      </c>
      <c r="E212" s="17" t="s">
        <v>1257</v>
      </c>
      <c r="F212" s="52">
        <v>31</v>
      </c>
      <c r="G212" s="52" t="s">
        <v>761</v>
      </c>
      <c r="H212" s="17">
        <v>167</v>
      </c>
      <c r="I212" s="52" t="s">
        <v>2371</v>
      </c>
      <c r="J212" s="17" t="s">
        <v>59</v>
      </c>
      <c r="K212" s="52" t="s">
        <v>35</v>
      </c>
      <c r="L212" s="52" t="s">
        <v>9</v>
      </c>
      <c r="M212" s="52" t="s">
        <v>29</v>
      </c>
      <c r="N212" s="54" t="s">
        <v>1258</v>
      </c>
      <c r="O212" s="52" t="s">
        <v>1181</v>
      </c>
      <c r="P212" s="21" t="s">
        <v>10</v>
      </c>
      <c r="Q212" s="21" t="s">
        <v>1182</v>
      </c>
      <c r="R212" s="21" t="s">
        <v>820</v>
      </c>
    </row>
    <row r="213" spans="1:18" ht="18" customHeight="1">
      <c r="A213" s="40">
        <v>216</v>
      </c>
      <c r="B213" s="52" t="s">
        <v>14</v>
      </c>
      <c r="C213" s="52" t="s">
        <v>1183</v>
      </c>
      <c r="D213" s="24">
        <v>1099468510</v>
      </c>
      <c r="E213" s="17" t="s">
        <v>1259</v>
      </c>
      <c r="F213" s="52">
        <v>39</v>
      </c>
      <c r="G213" s="52" t="s">
        <v>2374</v>
      </c>
      <c r="H213" s="17">
        <v>166</v>
      </c>
      <c r="I213" s="52" t="s">
        <v>763</v>
      </c>
      <c r="J213" s="17" t="s">
        <v>12</v>
      </c>
      <c r="K213" s="52" t="s">
        <v>1185</v>
      </c>
      <c r="L213" s="52" t="s">
        <v>9</v>
      </c>
      <c r="M213" s="52" t="s">
        <v>29</v>
      </c>
      <c r="N213" s="54" t="s">
        <v>2404</v>
      </c>
      <c r="O213" s="52" t="s">
        <v>1187</v>
      </c>
      <c r="P213" s="21" t="s">
        <v>73</v>
      </c>
      <c r="Q213" s="21" t="s">
        <v>1188</v>
      </c>
      <c r="R213" s="21" t="s">
        <v>820</v>
      </c>
    </row>
    <row r="214" spans="1:18" ht="18" customHeight="1">
      <c r="A214" s="40">
        <v>217</v>
      </c>
      <c r="B214" s="52" t="s">
        <v>14</v>
      </c>
      <c r="C214" s="52" t="s">
        <v>1189</v>
      </c>
      <c r="D214" s="24">
        <v>1096361865</v>
      </c>
      <c r="E214" s="17" t="s">
        <v>2405</v>
      </c>
      <c r="F214" s="52">
        <v>28</v>
      </c>
      <c r="G214" s="52" t="s">
        <v>439</v>
      </c>
      <c r="H214" s="17">
        <v>171.8</v>
      </c>
      <c r="I214" s="52" t="s">
        <v>453</v>
      </c>
      <c r="J214" s="17" t="s">
        <v>30</v>
      </c>
      <c r="K214" s="52" t="s">
        <v>1191</v>
      </c>
      <c r="L214" s="52" t="s">
        <v>31</v>
      </c>
      <c r="M214" s="52" t="s">
        <v>10</v>
      </c>
      <c r="N214" s="54" t="s">
        <v>1260</v>
      </c>
      <c r="O214" s="52" t="s">
        <v>1193</v>
      </c>
      <c r="P214" s="21" t="s">
        <v>707</v>
      </c>
      <c r="Q214" s="21"/>
      <c r="R214" s="21" t="s">
        <v>820</v>
      </c>
    </row>
    <row r="215" spans="1:18" ht="18" customHeight="1">
      <c r="A215" s="40">
        <v>218</v>
      </c>
      <c r="B215" s="52" t="s">
        <v>14</v>
      </c>
      <c r="C215" s="52" t="s">
        <v>1194</v>
      </c>
      <c r="D215" s="24">
        <v>1047259793</v>
      </c>
      <c r="E215" s="17" t="s">
        <v>1261</v>
      </c>
      <c r="F215" s="52">
        <v>28</v>
      </c>
      <c r="G215" s="52" t="s">
        <v>766</v>
      </c>
      <c r="H215" s="17">
        <v>168</v>
      </c>
      <c r="I215" s="52" t="s">
        <v>2368</v>
      </c>
      <c r="J215" s="17" t="s">
        <v>12</v>
      </c>
      <c r="K215" s="52" t="s">
        <v>10</v>
      </c>
      <c r="L215" s="52" t="s">
        <v>9</v>
      </c>
      <c r="M215" s="52" t="s">
        <v>10</v>
      </c>
      <c r="N215" s="54" t="s">
        <v>2406</v>
      </c>
      <c r="O215" s="52" t="s">
        <v>1197</v>
      </c>
      <c r="P215" s="21" t="s">
        <v>10</v>
      </c>
      <c r="Q215" s="21" t="s">
        <v>1198</v>
      </c>
      <c r="R215" s="21" t="s">
        <v>820</v>
      </c>
    </row>
    <row r="216" spans="1:18" ht="18" customHeight="1">
      <c r="A216" s="40">
        <v>219</v>
      </c>
      <c r="B216" s="52" t="s">
        <v>14</v>
      </c>
      <c r="C216" s="52" t="s">
        <v>904</v>
      </c>
      <c r="D216" s="24">
        <v>1075679796</v>
      </c>
      <c r="E216" s="17" t="s">
        <v>1262</v>
      </c>
      <c r="F216" s="52">
        <v>28</v>
      </c>
      <c r="G216" s="52" t="s">
        <v>2379</v>
      </c>
      <c r="H216" s="17">
        <v>169</v>
      </c>
      <c r="I216" s="52" t="s">
        <v>453</v>
      </c>
      <c r="J216" s="17" t="s">
        <v>68</v>
      </c>
      <c r="K216" s="52" t="s">
        <v>364</v>
      </c>
      <c r="L216" s="52" t="s">
        <v>61</v>
      </c>
      <c r="M216" s="52" t="s">
        <v>10</v>
      </c>
      <c r="N216" s="54" t="s">
        <v>1263</v>
      </c>
      <c r="O216" s="52" t="s">
        <v>1201</v>
      </c>
      <c r="P216" s="21" t="s">
        <v>69</v>
      </c>
      <c r="Q216" s="21"/>
      <c r="R216" s="21" t="s">
        <v>820</v>
      </c>
    </row>
    <row r="217" spans="1:18" ht="18" customHeight="1">
      <c r="A217" s="40">
        <v>220</v>
      </c>
      <c r="B217" s="52" t="s">
        <v>8</v>
      </c>
      <c r="C217" s="52" t="s">
        <v>1202</v>
      </c>
      <c r="D217" s="24">
        <v>1064331149</v>
      </c>
      <c r="E217" s="17" t="s">
        <v>1264</v>
      </c>
      <c r="F217" s="52">
        <v>29</v>
      </c>
      <c r="G217" s="52" t="s">
        <v>2364</v>
      </c>
      <c r="H217" s="17">
        <v>174</v>
      </c>
      <c r="I217" s="52" t="s">
        <v>771</v>
      </c>
      <c r="J217" s="17" t="s">
        <v>28</v>
      </c>
      <c r="K217" s="52" t="s">
        <v>10</v>
      </c>
      <c r="L217" s="52" t="s">
        <v>9</v>
      </c>
      <c r="M217" s="52" t="s">
        <v>29</v>
      </c>
      <c r="N217" s="54" t="s">
        <v>2407</v>
      </c>
      <c r="O217" s="52" t="s">
        <v>1205</v>
      </c>
      <c r="P217" s="21" t="s">
        <v>10</v>
      </c>
      <c r="Q217" s="21"/>
      <c r="R217" s="21" t="s">
        <v>820</v>
      </c>
    </row>
    <row r="218" spans="1:18" ht="18" customHeight="1">
      <c r="A218" s="40">
        <v>221</v>
      </c>
      <c r="B218" s="52" t="s">
        <v>14</v>
      </c>
      <c r="C218" s="52" t="s">
        <v>1206</v>
      </c>
      <c r="D218" s="24">
        <v>1087010573</v>
      </c>
      <c r="E218" s="17" t="s">
        <v>1265</v>
      </c>
      <c r="F218" s="52">
        <v>29</v>
      </c>
      <c r="G218" s="52" t="s">
        <v>2364</v>
      </c>
      <c r="H218" s="17">
        <v>174</v>
      </c>
      <c r="I218" s="52" t="s">
        <v>2383</v>
      </c>
      <c r="J218" s="17" t="s">
        <v>66</v>
      </c>
      <c r="K218" s="52" t="s">
        <v>1208</v>
      </c>
      <c r="L218" s="52" t="s">
        <v>9</v>
      </c>
      <c r="M218" s="52" t="s">
        <v>29</v>
      </c>
      <c r="N218" s="54" t="s">
        <v>1266</v>
      </c>
      <c r="O218" s="52" t="s">
        <v>1210</v>
      </c>
      <c r="P218" s="21" t="s">
        <v>11</v>
      </c>
      <c r="Q218" s="21"/>
      <c r="R218" s="21" t="s">
        <v>820</v>
      </c>
    </row>
    <row r="219" spans="1:18" ht="18" customHeight="1">
      <c r="A219" s="40">
        <v>222</v>
      </c>
      <c r="B219" s="52" t="s">
        <v>14</v>
      </c>
      <c r="C219" s="52" t="s">
        <v>1211</v>
      </c>
      <c r="D219" s="24" t="s">
        <v>1212</v>
      </c>
      <c r="E219" s="17" t="s">
        <v>2408</v>
      </c>
      <c r="F219" s="52">
        <v>38</v>
      </c>
      <c r="G219" s="52" t="s">
        <v>442</v>
      </c>
      <c r="H219" s="17">
        <v>158</v>
      </c>
      <c r="I219" s="52" t="s">
        <v>2409</v>
      </c>
      <c r="J219" s="17" t="s">
        <v>68</v>
      </c>
      <c r="K219" s="52" t="s">
        <v>10</v>
      </c>
      <c r="L219" s="52" t="s">
        <v>224</v>
      </c>
      <c r="M219" s="52" t="s">
        <v>29</v>
      </c>
      <c r="N219" s="54" t="s">
        <v>1267</v>
      </c>
      <c r="O219" s="52" t="s">
        <v>271</v>
      </c>
      <c r="P219" s="21" t="s">
        <v>10</v>
      </c>
      <c r="Q219" s="21"/>
      <c r="R219" s="21" t="s">
        <v>820</v>
      </c>
    </row>
    <row r="220" spans="1:18" ht="18" customHeight="1">
      <c r="A220" s="40">
        <v>223</v>
      </c>
      <c r="B220" s="52" t="s">
        <v>8</v>
      </c>
      <c r="C220" s="52" t="s">
        <v>1215</v>
      </c>
      <c r="D220" s="24">
        <v>1020445322</v>
      </c>
      <c r="E220" s="17" t="s">
        <v>2410</v>
      </c>
      <c r="F220" s="52">
        <v>40</v>
      </c>
      <c r="G220" s="52" t="s">
        <v>443</v>
      </c>
      <c r="H220" s="17">
        <v>170</v>
      </c>
      <c r="I220" s="52" t="s">
        <v>456</v>
      </c>
      <c r="J220" s="17" t="s">
        <v>59</v>
      </c>
      <c r="K220" s="52" t="s">
        <v>10</v>
      </c>
      <c r="L220" s="52" t="s">
        <v>9</v>
      </c>
      <c r="M220" s="52" t="s">
        <v>10</v>
      </c>
      <c r="N220" s="54" t="s">
        <v>1268</v>
      </c>
      <c r="O220" s="52" t="s">
        <v>1218</v>
      </c>
      <c r="P220" s="21" t="s">
        <v>10</v>
      </c>
      <c r="Q220" s="21"/>
      <c r="R220" s="21" t="s">
        <v>820</v>
      </c>
    </row>
    <row r="221" spans="1:18" ht="18" customHeight="1">
      <c r="A221" s="40">
        <v>224</v>
      </c>
      <c r="B221" s="52" t="s">
        <v>14</v>
      </c>
      <c r="C221" s="52" t="s">
        <v>1219</v>
      </c>
      <c r="D221" s="24">
        <v>1045968090</v>
      </c>
      <c r="E221" s="17" t="s">
        <v>1269</v>
      </c>
      <c r="F221" s="52">
        <v>32</v>
      </c>
      <c r="G221" s="52" t="s">
        <v>759</v>
      </c>
      <c r="H221" s="17">
        <v>158</v>
      </c>
      <c r="I221" s="52" t="s">
        <v>454</v>
      </c>
      <c r="J221" s="17" t="s">
        <v>12</v>
      </c>
      <c r="K221" s="52" t="s">
        <v>10</v>
      </c>
      <c r="L221" s="52" t="s">
        <v>9</v>
      </c>
      <c r="M221" s="52" t="s">
        <v>29</v>
      </c>
      <c r="N221" s="54" t="s">
        <v>1270</v>
      </c>
      <c r="O221" s="52" t="s">
        <v>1222</v>
      </c>
      <c r="P221" s="21" t="s">
        <v>11</v>
      </c>
      <c r="Q221" s="21"/>
      <c r="R221" s="21" t="s">
        <v>820</v>
      </c>
    </row>
    <row r="222" spans="1:18" ht="18" customHeight="1">
      <c r="A222" s="40">
        <v>225</v>
      </c>
      <c r="B222" s="52" t="s">
        <v>14</v>
      </c>
      <c r="C222" s="52" t="s">
        <v>1223</v>
      </c>
      <c r="D222" s="24">
        <v>1036140839</v>
      </c>
      <c r="E222" s="17" t="s">
        <v>1271</v>
      </c>
      <c r="F222" s="52">
        <v>38</v>
      </c>
      <c r="G222" s="52" t="s">
        <v>444</v>
      </c>
      <c r="H222" s="17">
        <v>168</v>
      </c>
      <c r="I222" s="52" t="s">
        <v>452</v>
      </c>
      <c r="J222" s="17" t="s">
        <v>12</v>
      </c>
      <c r="K222" s="52" t="s">
        <v>10</v>
      </c>
      <c r="L222" s="52" t="s">
        <v>9</v>
      </c>
      <c r="M222" s="52" t="s">
        <v>29</v>
      </c>
      <c r="N222" s="54" t="s">
        <v>2411</v>
      </c>
      <c r="O222" s="52" t="s">
        <v>1226</v>
      </c>
      <c r="P222" s="21" t="s">
        <v>707</v>
      </c>
      <c r="Q222" s="21"/>
      <c r="R222" s="21" t="s">
        <v>820</v>
      </c>
    </row>
    <row r="223" spans="1:18" ht="18" customHeight="1">
      <c r="A223" s="40">
        <v>226</v>
      </c>
      <c r="B223" s="52" t="s">
        <v>14</v>
      </c>
      <c r="C223" s="52" t="s">
        <v>1227</v>
      </c>
      <c r="D223" s="24" t="s">
        <v>1228</v>
      </c>
      <c r="E223" s="17" t="s">
        <v>1272</v>
      </c>
      <c r="F223" s="52">
        <v>32</v>
      </c>
      <c r="G223" s="52" t="s">
        <v>2364</v>
      </c>
      <c r="H223" s="17">
        <v>158.80000000000001</v>
      </c>
      <c r="I223" s="52" t="s">
        <v>2412</v>
      </c>
      <c r="J223" s="17" t="s">
        <v>18</v>
      </c>
      <c r="K223" s="52" t="s">
        <v>1230</v>
      </c>
      <c r="L223" s="52" t="s">
        <v>9</v>
      </c>
      <c r="M223" s="52" t="s">
        <v>10</v>
      </c>
      <c r="N223" s="54" t="s">
        <v>1273</v>
      </c>
      <c r="O223" s="52" t="s">
        <v>1232</v>
      </c>
      <c r="P223" s="21" t="s">
        <v>10</v>
      </c>
      <c r="Q223" s="21"/>
      <c r="R223" s="21" t="s">
        <v>820</v>
      </c>
    </row>
    <row r="224" spans="1:18" ht="18" customHeight="1">
      <c r="A224" s="40">
        <v>227</v>
      </c>
      <c r="B224" s="52" t="s">
        <v>8</v>
      </c>
      <c r="C224" s="52" t="s">
        <v>1233</v>
      </c>
      <c r="D224" s="24">
        <v>1042535444</v>
      </c>
      <c r="E224" s="17" t="s">
        <v>1274</v>
      </c>
      <c r="F224" s="52">
        <v>34</v>
      </c>
      <c r="G224" s="52" t="s">
        <v>457</v>
      </c>
      <c r="H224" s="17">
        <v>167</v>
      </c>
      <c r="I224" s="52" t="s">
        <v>456</v>
      </c>
      <c r="J224" s="17" t="s">
        <v>66</v>
      </c>
      <c r="K224" s="52" t="s">
        <v>10</v>
      </c>
      <c r="L224" s="52" t="s">
        <v>20</v>
      </c>
      <c r="M224" s="52" t="s">
        <v>10</v>
      </c>
      <c r="N224" s="54" t="s">
        <v>1275</v>
      </c>
      <c r="O224" s="52" t="s">
        <v>1236</v>
      </c>
      <c r="P224" s="21" t="s">
        <v>10</v>
      </c>
      <c r="Q224" s="21" t="s">
        <v>1237</v>
      </c>
      <c r="R224" s="21" t="s">
        <v>820</v>
      </c>
    </row>
    <row r="225" spans="1:18" ht="18" customHeight="1">
      <c r="A225" s="40">
        <v>228</v>
      </c>
      <c r="B225" s="52" t="s">
        <v>14</v>
      </c>
      <c r="C225" s="52" t="s">
        <v>1238</v>
      </c>
      <c r="D225" s="24">
        <v>1031082616</v>
      </c>
      <c r="E225" s="17" t="s">
        <v>1276</v>
      </c>
      <c r="F225" s="52">
        <v>37</v>
      </c>
      <c r="G225" s="52" t="s">
        <v>442</v>
      </c>
      <c r="H225" s="17">
        <v>167</v>
      </c>
      <c r="I225" s="52" t="s">
        <v>2378</v>
      </c>
      <c r="J225" s="17" t="s">
        <v>28</v>
      </c>
      <c r="K225" s="52" t="s">
        <v>10</v>
      </c>
      <c r="L225" s="52" t="s">
        <v>9</v>
      </c>
      <c r="M225" s="52" t="s">
        <v>29</v>
      </c>
      <c r="N225" s="54" t="s">
        <v>2413</v>
      </c>
      <c r="O225" s="52" t="s">
        <v>1241</v>
      </c>
      <c r="P225" s="21" t="s">
        <v>11</v>
      </c>
      <c r="Q225" s="21"/>
      <c r="R225" s="21" t="s">
        <v>820</v>
      </c>
    </row>
    <row r="226" spans="1:18" ht="18" customHeight="1">
      <c r="A226" s="40">
        <v>229</v>
      </c>
      <c r="B226" s="52" t="s">
        <v>14</v>
      </c>
      <c r="C226" s="52" t="s">
        <v>1242</v>
      </c>
      <c r="D226" s="24">
        <v>1050042450</v>
      </c>
      <c r="E226" s="17" t="s">
        <v>1277</v>
      </c>
      <c r="F226" s="52">
        <v>36</v>
      </c>
      <c r="G226" s="52" t="s">
        <v>443</v>
      </c>
      <c r="H226" s="17">
        <v>161</v>
      </c>
      <c r="I226" s="52" t="s">
        <v>454</v>
      </c>
      <c r="J226" s="17" t="s">
        <v>13</v>
      </c>
      <c r="K226" s="52" t="s">
        <v>10</v>
      </c>
      <c r="L226" s="52" t="s">
        <v>9</v>
      </c>
      <c r="M226" s="52" t="s">
        <v>10</v>
      </c>
      <c r="N226" s="54" t="s">
        <v>1278</v>
      </c>
      <c r="O226" s="52" t="s">
        <v>1245</v>
      </c>
      <c r="P226" s="21" t="s">
        <v>10</v>
      </c>
      <c r="Q226" s="21"/>
      <c r="R226" s="21" t="s">
        <v>820</v>
      </c>
    </row>
    <row r="227" spans="1:18" ht="18" customHeight="1">
      <c r="A227" s="40">
        <v>230</v>
      </c>
      <c r="B227" s="52" t="s">
        <v>14</v>
      </c>
      <c r="C227" s="52" t="s">
        <v>1246</v>
      </c>
      <c r="D227" s="24">
        <v>1090219084</v>
      </c>
      <c r="E227" s="17" t="s">
        <v>2414</v>
      </c>
      <c r="F227" s="52">
        <v>37</v>
      </c>
      <c r="G227" s="52" t="s">
        <v>2369</v>
      </c>
      <c r="H227" s="17">
        <v>168</v>
      </c>
      <c r="I227" s="52" t="s">
        <v>452</v>
      </c>
      <c r="J227" s="17" t="s">
        <v>12</v>
      </c>
      <c r="K227" s="52" t="s">
        <v>219</v>
      </c>
      <c r="L227" s="52" t="s">
        <v>31</v>
      </c>
      <c r="M227" s="52" t="s">
        <v>57</v>
      </c>
      <c r="N227" s="54" t="s">
        <v>2415</v>
      </c>
      <c r="O227" s="52" t="s">
        <v>1249</v>
      </c>
      <c r="P227" s="21" t="s">
        <v>10</v>
      </c>
      <c r="Q227" s="21"/>
      <c r="R227" s="21" t="s">
        <v>820</v>
      </c>
    </row>
    <row r="228" spans="1:18" ht="18" customHeight="1">
      <c r="A228" s="40">
        <v>231</v>
      </c>
      <c r="B228" s="52" t="s">
        <v>14</v>
      </c>
      <c r="C228" s="52" t="s">
        <v>1250</v>
      </c>
      <c r="D228" s="24">
        <v>1041580601</v>
      </c>
      <c r="E228" s="17" t="s">
        <v>1279</v>
      </c>
      <c r="F228" s="52">
        <v>26</v>
      </c>
      <c r="G228" s="52" t="s">
        <v>2382</v>
      </c>
      <c r="H228" s="17">
        <v>168</v>
      </c>
      <c r="I228" s="52" t="s">
        <v>2378</v>
      </c>
      <c r="J228" s="17" t="s">
        <v>24</v>
      </c>
      <c r="K228" s="52" t="s">
        <v>10</v>
      </c>
      <c r="L228" s="52" t="s">
        <v>9</v>
      </c>
      <c r="M228" s="52" t="s">
        <v>10</v>
      </c>
      <c r="N228" s="54" t="s">
        <v>1280</v>
      </c>
      <c r="O228" s="52" t="s">
        <v>1253</v>
      </c>
      <c r="P228" s="21" t="s">
        <v>11</v>
      </c>
      <c r="Q228" s="21"/>
      <c r="R228" s="21" t="s">
        <v>820</v>
      </c>
    </row>
    <row r="229" spans="1:18" ht="18" customHeight="1">
      <c r="A229" s="40">
        <v>232</v>
      </c>
      <c r="B229" s="52" t="s">
        <v>14</v>
      </c>
      <c r="C229" s="52" t="s">
        <v>1254</v>
      </c>
      <c r="D229" s="24">
        <v>1043053529</v>
      </c>
      <c r="E229" s="17" t="s">
        <v>1281</v>
      </c>
      <c r="F229" s="52">
        <v>39</v>
      </c>
      <c r="G229" s="52" t="s">
        <v>444</v>
      </c>
      <c r="H229" s="17">
        <v>160</v>
      </c>
      <c r="I229" s="52" t="s">
        <v>453</v>
      </c>
      <c r="J229" s="17" t="s">
        <v>30</v>
      </c>
      <c r="K229" s="52" t="s">
        <v>10</v>
      </c>
      <c r="L229" s="52" t="s">
        <v>9</v>
      </c>
      <c r="M229" s="52" t="s">
        <v>10</v>
      </c>
      <c r="N229" s="54" t="s">
        <v>1282</v>
      </c>
      <c r="O229" s="52" t="s">
        <v>1256</v>
      </c>
      <c r="P229" s="21" t="s">
        <v>10</v>
      </c>
      <c r="Q229" s="21"/>
      <c r="R229" s="21" t="s">
        <v>820</v>
      </c>
    </row>
    <row r="230" spans="1:18" ht="18" customHeight="1">
      <c r="A230" s="40">
        <v>233</v>
      </c>
      <c r="B230" s="52" t="s">
        <v>8</v>
      </c>
      <c r="C230" s="52" t="s">
        <v>1283</v>
      </c>
      <c r="D230" s="24">
        <v>1020502472</v>
      </c>
      <c r="E230" s="17" t="s">
        <v>1302</v>
      </c>
      <c r="F230" s="52">
        <v>39</v>
      </c>
      <c r="G230" s="52" t="s">
        <v>442</v>
      </c>
      <c r="H230" s="17">
        <v>177</v>
      </c>
      <c r="I230" s="52" t="s">
        <v>450</v>
      </c>
      <c r="J230" s="17" t="s">
        <v>23</v>
      </c>
      <c r="K230" s="52" t="s">
        <v>10</v>
      </c>
      <c r="L230" s="52" t="s">
        <v>31</v>
      </c>
      <c r="M230" s="52" t="s">
        <v>10</v>
      </c>
      <c r="N230" s="54" t="s">
        <v>2416</v>
      </c>
      <c r="O230" s="52" t="s">
        <v>1286</v>
      </c>
      <c r="P230" s="21" t="s">
        <v>10</v>
      </c>
      <c r="Q230" s="21" t="s">
        <v>1287</v>
      </c>
      <c r="R230" s="21" t="s">
        <v>820</v>
      </c>
    </row>
    <row r="231" spans="1:18" ht="18" customHeight="1">
      <c r="A231" s="40">
        <v>234</v>
      </c>
      <c r="B231" s="52" t="s">
        <v>8</v>
      </c>
      <c r="C231" s="52" t="s">
        <v>1288</v>
      </c>
      <c r="D231" s="24">
        <v>1098845876</v>
      </c>
      <c r="E231" s="17" t="s">
        <v>2417</v>
      </c>
      <c r="F231" s="52">
        <v>29</v>
      </c>
      <c r="G231" s="52" t="s">
        <v>766</v>
      </c>
      <c r="H231" s="17">
        <v>166</v>
      </c>
      <c r="I231" s="52" t="s">
        <v>2375</v>
      </c>
      <c r="J231" s="17" t="s">
        <v>72</v>
      </c>
      <c r="K231" s="52" t="s">
        <v>10</v>
      </c>
      <c r="L231" s="52" t="s">
        <v>9</v>
      </c>
      <c r="M231" s="52" t="s">
        <v>10</v>
      </c>
      <c r="N231" s="54" t="s">
        <v>1303</v>
      </c>
      <c r="O231" s="52"/>
      <c r="P231" s="21"/>
      <c r="Q231" s="21"/>
      <c r="R231" s="21" t="s">
        <v>820</v>
      </c>
    </row>
    <row r="232" spans="1:18" ht="18" customHeight="1">
      <c r="A232" s="40">
        <v>235</v>
      </c>
      <c r="B232" s="52" t="s">
        <v>14</v>
      </c>
      <c r="C232" s="52" t="s">
        <v>1291</v>
      </c>
      <c r="D232" s="24">
        <v>1047838557</v>
      </c>
      <c r="E232" s="17" t="s">
        <v>2418</v>
      </c>
      <c r="F232" s="52">
        <v>30</v>
      </c>
      <c r="G232" s="52" t="s">
        <v>759</v>
      </c>
      <c r="H232" s="17">
        <v>158</v>
      </c>
      <c r="I232" s="52" t="s">
        <v>2376</v>
      </c>
      <c r="J232" s="17" t="s">
        <v>12</v>
      </c>
      <c r="K232" s="52" t="s">
        <v>10</v>
      </c>
      <c r="L232" s="52" t="s">
        <v>9</v>
      </c>
      <c r="M232" s="52" t="s">
        <v>29</v>
      </c>
      <c r="N232" s="54" t="s">
        <v>2419</v>
      </c>
      <c r="O232" s="52"/>
      <c r="P232" s="21"/>
      <c r="Q232" s="21"/>
      <c r="R232" s="21" t="s">
        <v>820</v>
      </c>
    </row>
    <row r="233" spans="1:18" ht="18" customHeight="1">
      <c r="A233" s="40">
        <v>236</v>
      </c>
      <c r="B233" s="52" t="s">
        <v>14</v>
      </c>
      <c r="C233" s="52" t="s">
        <v>1294</v>
      </c>
      <c r="D233" s="24">
        <v>1055943177</v>
      </c>
      <c r="E233" s="17" t="s">
        <v>2420</v>
      </c>
      <c r="F233" s="52">
        <v>31</v>
      </c>
      <c r="G233" s="52" t="s">
        <v>438</v>
      </c>
      <c r="H233" s="17">
        <v>156</v>
      </c>
      <c r="I233" s="52" t="s">
        <v>2371</v>
      </c>
      <c r="J233" s="17" t="s">
        <v>28</v>
      </c>
      <c r="K233" s="52" t="s">
        <v>10</v>
      </c>
      <c r="L233" s="52" t="s">
        <v>75</v>
      </c>
      <c r="M233" s="52" t="s">
        <v>57</v>
      </c>
      <c r="N233" s="54" t="s">
        <v>2421</v>
      </c>
      <c r="O233" s="52" t="s">
        <v>1297</v>
      </c>
      <c r="P233" s="21" t="s">
        <v>10</v>
      </c>
      <c r="Q233" s="21"/>
      <c r="R233" s="21" t="s">
        <v>820</v>
      </c>
    </row>
    <row r="234" spans="1:18" ht="18" customHeight="1">
      <c r="A234" s="40">
        <v>237</v>
      </c>
      <c r="B234" s="52" t="s">
        <v>14</v>
      </c>
      <c r="C234" s="52" t="s">
        <v>1298</v>
      </c>
      <c r="D234" s="24">
        <v>1076541090</v>
      </c>
      <c r="E234" s="17" t="s">
        <v>1304</v>
      </c>
      <c r="F234" s="52">
        <v>37</v>
      </c>
      <c r="G234" s="52" t="s">
        <v>442</v>
      </c>
      <c r="H234" s="17">
        <v>163</v>
      </c>
      <c r="I234" s="52" t="s">
        <v>452</v>
      </c>
      <c r="J234" s="17" t="s">
        <v>37</v>
      </c>
      <c r="K234" s="52" t="s">
        <v>10</v>
      </c>
      <c r="L234" s="52" t="s">
        <v>9</v>
      </c>
      <c r="M234" s="52" t="s">
        <v>29</v>
      </c>
      <c r="N234" s="54" t="s">
        <v>1305</v>
      </c>
      <c r="O234" s="52" t="s">
        <v>1301</v>
      </c>
      <c r="P234" s="21" t="s">
        <v>10</v>
      </c>
      <c r="Q234" s="21"/>
      <c r="R234" s="21" t="s">
        <v>820</v>
      </c>
    </row>
    <row r="235" spans="1:18" ht="18" customHeight="1">
      <c r="A235" s="40">
        <v>238</v>
      </c>
      <c r="B235" s="52" t="s">
        <v>8</v>
      </c>
      <c r="C235" s="52" t="s">
        <v>1306</v>
      </c>
      <c r="D235" s="24">
        <v>1039293112</v>
      </c>
      <c r="E235" s="17" t="s">
        <v>1341</v>
      </c>
      <c r="F235" s="52">
        <v>29</v>
      </c>
      <c r="G235" s="52" t="s">
        <v>1040</v>
      </c>
      <c r="H235" s="17">
        <v>175</v>
      </c>
      <c r="I235" s="52" t="s">
        <v>2367</v>
      </c>
      <c r="J235" s="17" t="s">
        <v>28</v>
      </c>
      <c r="K235" s="52" t="s">
        <v>10</v>
      </c>
      <c r="L235" s="52" t="s">
        <v>9</v>
      </c>
      <c r="M235" s="52" t="s">
        <v>10</v>
      </c>
      <c r="N235" s="54" t="s">
        <v>1342</v>
      </c>
      <c r="O235" s="52" t="s">
        <v>1309</v>
      </c>
      <c r="P235" s="21" t="s">
        <v>10</v>
      </c>
      <c r="Q235" s="21"/>
      <c r="R235" s="21" t="s">
        <v>820</v>
      </c>
    </row>
    <row r="236" spans="1:18" ht="18" customHeight="1">
      <c r="A236" s="40">
        <v>239</v>
      </c>
      <c r="B236" s="52" t="s">
        <v>14</v>
      </c>
      <c r="C236" s="52" t="s">
        <v>1310</v>
      </c>
      <c r="D236" s="24">
        <v>1057566287</v>
      </c>
      <c r="E236" s="17" t="s">
        <v>1343</v>
      </c>
      <c r="F236" s="52">
        <v>33</v>
      </c>
      <c r="G236" s="52" t="s">
        <v>438</v>
      </c>
      <c r="H236" s="17">
        <v>163</v>
      </c>
      <c r="I236" s="52" t="s">
        <v>2378</v>
      </c>
      <c r="J236" s="17" t="s">
        <v>68</v>
      </c>
      <c r="K236" s="52" t="s">
        <v>1311</v>
      </c>
      <c r="L236" s="52" t="s">
        <v>20</v>
      </c>
      <c r="M236" s="52" t="s">
        <v>10</v>
      </c>
      <c r="N236" s="54" t="s">
        <v>1344</v>
      </c>
      <c r="O236" s="52" t="s">
        <v>1313</v>
      </c>
      <c r="P236" s="21" t="s">
        <v>79</v>
      </c>
      <c r="Q236" s="21" t="s">
        <v>1314</v>
      </c>
      <c r="R236" s="21" t="s">
        <v>820</v>
      </c>
    </row>
    <row r="237" spans="1:18" ht="18" customHeight="1">
      <c r="A237" s="40">
        <v>240</v>
      </c>
      <c r="B237" s="52" t="s">
        <v>8</v>
      </c>
      <c r="C237" s="52" t="s">
        <v>1315</v>
      </c>
      <c r="D237" s="24">
        <v>1036490681</v>
      </c>
      <c r="E237" s="17" t="s">
        <v>2422</v>
      </c>
      <c r="F237" s="52">
        <v>31</v>
      </c>
      <c r="G237" s="52" t="s">
        <v>766</v>
      </c>
      <c r="H237" s="17">
        <v>174</v>
      </c>
      <c r="I237" s="52" t="s">
        <v>447</v>
      </c>
      <c r="J237" s="17" t="s">
        <v>12</v>
      </c>
      <c r="K237" s="52" t="s">
        <v>10</v>
      </c>
      <c r="L237" s="52" t="s">
        <v>9</v>
      </c>
      <c r="M237" s="52" t="s">
        <v>29</v>
      </c>
      <c r="N237" s="54" t="s">
        <v>1345</v>
      </c>
      <c r="O237" s="52" t="s">
        <v>1318</v>
      </c>
      <c r="P237" s="21" t="s">
        <v>10</v>
      </c>
      <c r="Q237" s="21"/>
      <c r="R237" s="21" t="s">
        <v>820</v>
      </c>
    </row>
    <row r="238" spans="1:18" ht="18" customHeight="1">
      <c r="A238" s="40">
        <v>241</v>
      </c>
      <c r="B238" s="52" t="s">
        <v>14</v>
      </c>
      <c r="C238" s="52" t="s">
        <v>1319</v>
      </c>
      <c r="D238" s="24">
        <v>1091591923</v>
      </c>
      <c r="E238" s="17" t="s">
        <v>1346</v>
      </c>
      <c r="F238" s="52">
        <v>32</v>
      </c>
      <c r="G238" s="52" t="s">
        <v>438</v>
      </c>
      <c r="H238" s="17">
        <v>162</v>
      </c>
      <c r="I238" s="52" t="s">
        <v>453</v>
      </c>
      <c r="J238" s="17" t="s">
        <v>252</v>
      </c>
      <c r="K238" s="52" t="s">
        <v>10</v>
      </c>
      <c r="L238" s="52" t="s">
        <v>75</v>
      </c>
      <c r="M238" s="52" t="s">
        <v>10</v>
      </c>
      <c r="N238" s="54" t="s">
        <v>1347</v>
      </c>
      <c r="O238" s="52" t="s">
        <v>1322</v>
      </c>
      <c r="P238" s="21" t="s">
        <v>11</v>
      </c>
      <c r="Q238" s="21"/>
      <c r="R238" s="21" t="s">
        <v>820</v>
      </c>
    </row>
    <row r="239" spans="1:18" ht="18" customHeight="1">
      <c r="A239" s="40">
        <v>242</v>
      </c>
      <c r="B239" s="52" t="s">
        <v>8</v>
      </c>
      <c r="C239" s="52" t="s">
        <v>1323</v>
      </c>
      <c r="D239" s="24">
        <v>1087684891</v>
      </c>
      <c r="E239" s="17" t="s">
        <v>1348</v>
      </c>
      <c r="F239" s="52">
        <v>34</v>
      </c>
      <c r="G239" s="52" t="s">
        <v>2364</v>
      </c>
      <c r="H239" s="17">
        <v>173</v>
      </c>
      <c r="I239" s="52" t="s">
        <v>2375</v>
      </c>
      <c r="J239" s="17" t="s">
        <v>252</v>
      </c>
      <c r="K239" s="52" t="s">
        <v>10</v>
      </c>
      <c r="L239" s="52" t="s">
        <v>31</v>
      </c>
      <c r="M239" s="52" t="s">
        <v>10</v>
      </c>
      <c r="N239" s="54" t="s">
        <v>2423</v>
      </c>
      <c r="O239" s="52" t="s">
        <v>1326</v>
      </c>
      <c r="P239" s="21" t="s">
        <v>10</v>
      </c>
      <c r="Q239" s="21" t="s">
        <v>1327</v>
      </c>
      <c r="R239" s="21" t="s">
        <v>820</v>
      </c>
    </row>
    <row r="240" spans="1:18" ht="18" customHeight="1">
      <c r="A240" s="40">
        <v>243</v>
      </c>
      <c r="B240" s="52" t="s">
        <v>8</v>
      </c>
      <c r="C240" s="52" t="s">
        <v>1328</v>
      </c>
      <c r="D240" s="24" t="s">
        <v>1329</v>
      </c>
      <c r="E240" s="17" t="s">
        <v>2424</v>
      </c>
      <c r="F240" s="52">
        <v>38</v>
      </c>
      <c r="G240" s="52" t="s">
        <v>438</v>
      </c>
      <c r="H240" s="17">
        <v>170</v>
      </c>
      <c r="I240" s="52" t="s">
        <v>760</v>
      </c>
      <c r="J240" s="17" t="s">
        <v>35</v>
      </c>
      <c r="K240" s="52" t="s">
        <v>10</v>
      </c>
      <c r="L240" s="52" t="s">
        <v>9</v>
      </c>
      <c r="M240" s="52" t="s">
        <v>10</v>
      </c>
      <c r="N240" s="54" t="s">
        <v>1349</v>
      </c>
      <c r="O240" s="52" t="s">
        <v>1332</v>
      </c>
      <c r="P240" s="21" t="s">
        <v>10</v>
      </c>
      <c r="Q240" s="21"/>
      <c r="R240" s="21" t="s">
        <v>820</v>
      </c>
    </row>
    <row r="241" spans="1:18" ht="18" customHeight="1">
      <c r="A241" s="40">
        <v>244</v>
      </c>
      <c r="B241" s="52" t="s">
        <v>8</v>
      </c>
      <c r="C241" s="52" t="s">
        <v>1333</v>
      </c>
      <c r="D241" s="24">
        <v>1055546766</v>
      </c>
      <c r="E241" s="17" t="s">
        <v>1350</v>
      </c>
      <c r="F241" s="52">
        <v>36</v>
      </c>
      <c r="G241" s="52" t="s">
        <v>759</v>
      </c>
      <c r="H241" s="17">
        <v>176</v>
      </c>
      <c r="I241" s="52" t="s">
        <v>760</v>
      </c>
      <c r="J241" s="17" t="s">
        <v>18</v>
      </c>
      <c r="K241" s="52" t="s">
        <v>219</v>
      </c>
      <c r="L241" s="52" t="s">
        <v>9</v>
      </c>
      <c r="M241" s="52" t="s">
        <v>10</v>
      </c>
      <c r="N241" s="54" t="s">
        <v>2425</v>
      </c>
      <c r="O241" s="52" t="s">
        <v>1337</v>
      </c>
      <c r="P241" s="21" t="s">
        <v>10</v>
      </c>
      <c r="Q241" s="21"/>
      <c r="R241" s="21" t="s">
        <v>820</v>
      </c>
    </row>
    <row r="242" spans="1:18" ht="18" customHeight="1">
      <c r="A242" s="40">
        <v>245</v>
      </c>
      <c r="B242" s="52" t="s">
        <v>8</v>
      </c>
      <c r="C242" s="52" t="s">
        <v>1338</v>
      </c>
      <c r="D242" s="24">
        <v>1026684618</v>
      </c>
      <c r="E242" s="17" t="s">
        <v>1351</v>
      </c>
      <c r="F242" s="52">
        <v>34</v>
      </c>
      <c r="G242" s="52" t="s">
        <v>439</v>
      </c>
      <c r="H242" s="17">
        <v>186</v>
      </c>
      <c r="I242" s="52" t="s">
        <v>2380</v>
      </c>
      <c r="J242" s="17" t="s">
        <v>12</v>
      </c>
      <c r="K242" s="52" t="s">
        <v>10</v>
      </c>
      <c r="L242" s="52" t="s">
        <v>20</v>
      </c>
      <c r="M242" s="52" t="s">
        <v>10</v>
      </c>
      <c r="N242" s="54" t="s">
        <v>1352</v>
      </c>
      <c r="O242" s="52"/>
      <c r="P242" s="21" t="s">
        <v>10</v>
      </c>
      <c r="Q242" s="21"/>
      <c r="R242" s="21" t="s">
        <v>820</v>
      </c>
    </row>
    <row r="243" spans="1:18" ht="18" customHeight="1">
      <c r="A243" s="40">
        <v>246</v>
      </c>
      <c r="B243" s="52" t="s">
        <v>8</v>
      </c>
      <c r="C243" s="52" t="s">
        <v>1354</v>
      </c>
      <c r="D243" s="24">
        <v>1076820602</v>
      </c>
      <c r="E243" s="17" t="s">
        <v>1413</v>
      </c>
      <c r="F243" s="52">
        <v>31</v>
      </c>
      <c r="G243" s="52" t="s">
        <v>766</v>
      </c>
      <c r="H243" s="17">
        <v>178</v>
      </c>
      <c r="I243" s="52" t="s">
        <v>2387</v>
      </c>
      <c r="J243" s="17" t="s">
        <v>37</v>
      </c>
      <c r="K243" s="52" t="s">
        <v>10</v>
      </c>
      <c r="L243" s="52" t="s">
        <v>9</v>
      </c>
      <c r="M243" s="52" t="s">
        <v>10</v>
      </c>
      <c r="N243" s="54" t="s">
        <v>1414</v>
      </c>
      <c r="O243" s="52" t="s">
        <v>1357</v>
      </c>
      <c r="P243" s="21" t="s">
        <v>10</v>
      </c>
      <c r="Q243" s="21"/>
      <c r="R243" s="21" t="s">
        <v>820</v>
      </c>
    </row>
    <row r="244" spans="1:18" ht="18" customHeight="1">
      <c r="A244" s="40">
        <v>247</v>
      </c>
      <c r="B244" s="52" t="s">
        <v>14</v>
      </c>
      <c r="C244" s="52" t="s">
        <v>1358</v>
      </c>
      <c r="D244" s="24">
        <v>1097450152</v>
      </c>
      <c r="E244" s="17" t="s">
        <v>1415</v>
      </c>
      <c r="F244" s="52">
        <v>39</v>
      </c>
      <c r="G244" s="52" t="s">
        <v>762</v>
      </c>
      <c r="H244" s="17">
        <v>163</v>
      </c>
      <c r="I244" s="52" t="s">
        <v>2378</v>
      </c>
      <c r="J244" s="17" t="s">
        <v>59</v>
      </c>
      <c r="K244" s="52" t="s">
        <v>10</v>
      </c>
      <c r="L244" s="52" t="s">
        <v>9</v>
      </c>
      <c r="M244" s="52" t="s">
        <v>10</v>
      </c>
      <c r="N244" s="54" t="s">
        <v>1416</v>
      </c>
      <c r="O244" s="52" t="s">
        <v>1361</v>
      </c>
      <c r="P244" s="21" t="s">
        <v>11</v>
      </c>
      <c r="Q244" s="21"/>
      <c r="R244" s="21" t="s">
        <v>820</v>
      </c>
    </row>
    <row r="245" spans="1:18" ht="18" customHeight="1">
      <c r="A245" s="40">
        <v>248</v>
      </c>
      <c r="B245" s="52" t="s">
        <v>14</v>
      </c>
      <c r="C245" s="52" t="s">
        <v>1362</v>
      </c>
      <c r="D245" s="24">
        <v>1066318626</v>
      </c>
      <c r="E245" s="17" t="s">
        <v>1417</v>
      </c>
      <c r="F245" s="52">
        <v>34</v>
      </c>
      <c r="G245" s="52" t="s">
        <v>438</v>
      </c>
      <c r="H245" s="17">
        <v>165</v>
      </c>
      <c r="I245" s="52" t="s">
        <v>453</v>
      </c>
      <c r="J245" s="17" t="s">
        <v>37</v>
      </c>
      <c r="K245" s="52" t="s">
        <v>1364</v>
      </c>
      <c r="L245" s="52" t="s">
        <v>9</v>
      </c>
      <c r="M245" s="52" t="s">
        <v>57</v>
      </c>
      <c r="N245" s="54" t="s">
        <v>2426</v>
      </c>
      <c r="O245" s="52" t="s">
        <v>1366</v>
      </c>
      <c r="P245" s="21" t="s">
        <v>1367</v>
      </c>
      <c r="Q245" s="21"/>
      <c r="R245" s="21" t="s">
        <v>820</v>
      </c>
    </row>
    <row r="246" spans="1:18" ht="18" customHeight="1">
      <c r="A246" s="40">
        <v>249</v>
      </c>
      <c r="B246" s="52" t="s">
        <v>8</v>
      </c>
      <c r="C246" s="52" t="s">
        <v>1368</v>
      </c>
      <c r="D246" s="24" t="s">
        <v>1369</v>
      </c>
      <c r="E246" s="17" t="s">
        <v>1418</v>
      </c>
      <c r="F246" s="52">
        <v>32</v>
      </c>
      <c r="G246" s="52" t="s">
        <v>457</v>
      </c>
      <c r="H246" s="17">
        <v>175</v>
      </c>
      <c r="I246" s="52" t="s">
        <v>2427</v>
      </c>
      <c r="J246" s="17" t="s">
        <v>23</v>
      </c>
      <c r="K246" s="52" t="s">
        <v>10</v>
      </c>
      <c r="L246" s="52" t="s">
        <v>9</v>
      </c>
      <c r="M246" s="52" t="s">
        <v>29</v>
      </c>
      <c r="N246" s="54" t="s">
        <v>2428</v>
      </c>
      <c r="O246" s="52" t="s">
        <v>1372</v>
      </c>
      <c r="P246" s="21"/>
      <c r="Q246" s="21"/>
      <c r="R246" s="21" t="s">
        <v>820</v>
      </c>
    </row>
    <row r="247" spans="1:18" ht="18" customHeight="1">
      <c r="A247" s="40">
        <v>250</v>
      </c>
      <c r="B247" s="52" t="s">
        <v>14</v>
      </c>
      <c r="C247" s="52" t="s">
        <v>1373</v>
      </c>
      <c r="D247" s="24">
        <v>1087518916</v>
      </c>
      <c r="E247" s="17" t="s">
        <v>1419</v>
      </c>
      <c r="F247" s="52">
        <v>35</v>
      </c>
      <c r="G247" s="52" t="s">
        <v>438</v>
      </c>
      <c r="H247" s="17">
        <v>158</v>
      </c>
      <c r="I247" s="52" t="s">
        <v>453</v>
      </c>
      <c r="J247" s="17" t="s">
        <v>12</v>
      </c>
      <c r="K247" s="52" t="s">
        <v>1375</v>
      </c>
      <c r="L247" s="52" t="s">
        <v>9</v>
      </c>
      <c r="M247" s="52" t="s">
        <v>29</v>
      </c>
      <c r="N247" s="54" t="s">
        <v>2429</v>
      </c>
      <c r="O247" s="52" t="s">
        <v>1377</v>
      </c>
      <c r="P247" s="21" t="s">
        <v>10</v>
      </c>
      <c r="Q247" s="21"/>
      <c r="R247" s="21" t="s">
        <v>820</v>
      </c>
    </row>
    <row r="248" spans="1:18" ht="18" customHeight="1">
      <c r="A248" s="40">
        <v>251</v>
      </c>
      <c r="B248" s="52" t="s">
        <v>14</v>
      </c>
      <c r="C248" s="52" t="s">
        <v>1378</v>
      </c>
      <c r="D248" s="24">
        <v>1089204218</v>
      </c>
      <c r="E248" s="17" t="s">
        <v>1420</v>
      </c>
      <c r="F248" s="52">
        <v>27</v>
      </c>
      <c r="G248" s="52" t="s">
        <v>457</v>
      </c>
      <c r="H248" s="17">
        <v>163</v>
      </c>
      <c r="I248" s="52" t="s">
        <v>1120</v>
      </c>
      <c r="J248" s="17" t="s">
        <v>30</v>
      </c>
      <c r="K248" s="52" t="s">
        <v>10</v>
      </c>
      <c r="L248" s="52" t="s">
        <v>9</v>
      </c>
      <c r="M248" s="52" t="s">
        <v>29</v>
      </c>
      <c r="N248" s="54" t="s">
        <v>1421</v>
      </c>
      <c r="O248" s="52" t="s">
        <v>1381</v>
      </c>
      <c r="P248" s="21" t="s">
        <v>1084</v>
      </c>
      <c r="Q248" s="21"/>
      <c r="R248" s="21" t="s">
        <v>820</v>
      </c>
    </row>
    <row r="249" spans="1:18" ht="18" customHeight="1">
      <c r="A249" s="40">
        <v>252</v>
      </c>
      <c r="B249" s="52" t="s">
        <v>14</v>
      </c>
      <c r="C249" s="52" t="s">
        <v>1382</v>
      </c>
      <c r="D249" s="24" t="s">
        <v>1383</v>
      </c>
      <c r="E249" s="17" t="s">
        <v>1422</v>
      </c>
      <c r="F249" s="52">
        <v>37</v>
      </c>
      <c r="G249" s="52" t="s">
        <v>442</v>
      </c>
      <c r="H249" s="17">
        <v>163.5</v>
      </c>
      <c r="I249" s="52" t="s">
        <v>2383</v>
      </c>
      <c r="J249" s="17" t="s">
        <v>12</v>
      </c>
      <c r="K249" s="52" t="s">
        <v>10</v>
      </c>
      <c r="L249" s="52" t="s">
        <v>9</v>
      </c>
      <c r="M249" s="52"/>
      <c r="N249" s="54" t="s">
        <v>1423</v>
      </c>
      <c r="O249" s="52"/>
      <c r="P249" s="21"/>
      <c r="Q249" s="21"/>
      <c r="R249" s="21" t="s">
        <v>820</v>
      </c>
    </row>
    <row r="250" spans="1:18" ht="18" customHeight="1">
      <c r="A250" s="40">
        <v>253</v>
      </c>
      <c r="B250" s="52" t="s">
        <v>14</v>
      </c>
      <c r="C250" s="52" t="s">
        <v>1386</v>
      </c>
      <c r="D250" s="24">
        <v>1075336849</v>
      </c>
      <c r="E250" s="17" t="s">
        <v>1424</v>
      </c>
      <c r="F250" s="52">
        <v>32</v>
      </c>
      <c r="G250" s="52" t="s">
        <v>439</v>
      </c>
      <c r="H250" s="17">
        <v>160</v>
      </c>
      <c r="I250" s="52" t="s">
        <v>454</v>
      </c>
      <c r="J250" s="17" t="s">
        <v>19</v>
      </c>
      <c r="K250" s="52" t="s">
        <v>10</v>
      </c>
      <c r="L250" s="52" t="s">
        <v>9</v>
      </c>
      <c r="M250" s="52" t="s">
        <v>29</v>
      </c>
      <c r="N250" s="54" t="s">
        <v>2430</v>
      </c>
      <c r="O250" s="52" t="s">
        <v>1389</v>
      </c>
      <c r="P250" s="21" t="s">
        <v>10</v>
      </c>
      <c r="Q250" s="21"/>
      <c r="R250" s="21" t="s">
        <v>820</v>
      </c>
    </row>
    <row r="251" spans="1:18" ht="18" customHeight="1">
      <c r="A251" s="40">
        <v>254</v>
      </c>
      <c r="B251" s="52" t="s">
        <v>14</v>
      </c>
      <c r="C251" s="52" t="s">
        <v>1390</v>
      </c>
      <c r="D251" s="24">
        <v>1093181085</v>
      </c>
      <c r="E251" s="17" t="s">
        <v>2431</v>
      </c>
      <c r="F251" s="52">
        <v>28</v>
      </c>
      <c r="G251" s="52" t="s">
        <v>439</v>
      </c>
      <c r="H251" s="17">
        <v>162</v>
      </c>
      <c r="I251" s="52" t="s">
        <v>453</v>
      </c>
      <c r="J251" s="17" t="s">
        <v>66</v>
      </c>
      <c r="K251" s="52" t="s">
        <v>219</v>
      </c>
      <c r="L251" s="52" t="s">
        <v>9</v>
      </c>
      <c r="M251" s="52" t="s">
        <v>10</v>
      </c>
      <c r="N251" s="54" t="s">
        <v>1425</v>
      </c>
      <c r="O251" s="52" t="s">
        <v>1393</v>
      </c>
      <c r="P251" s="21" t="s">
        <v>10</v>
      </c>
      <c r="Q251" s="21"/>
      <c r="R251" s="21" t="s">
        <v>820</v>
      </c>
    </row>
    <row r="252" spans="1:18" ht="18" customHeight="1">
      <c r="A252" s="40">
        <v>255</v>
      </c>
      <c r="B252" s="52" t="s">
        <v>14</v>
      </c>
      <c r="C252" s="52" t="s">
        <v>1394</v>
      </c>
      <c r="D252" s="24">
        <v>1028258135</v>
      </c>
      <c r="E252" s="17" t="s">
        <v>1426</v>
      </c>
      <c r="F252" s="52">
        <v>26</v>
      </c>
      <c r="G252" s="52" t="s">
        <v>2364</v>
      </c>
      <c r="H252" s="17">
        <v>160</v>
      </c>
      <c r="I252" s="52" t="s">
        <v>2378</v>
      </c>
      <c r="J252" s="17" t="s">
        <v>13</v>
      </c>
      <c r="K252" s="52" t="s">
        <v>10</v>
      </c>
      <c r="L252" s="52" t="s">
        <v>9</v>
      </c>
      <c r="M252" s="52" t="s">
        <v>10</v>
      </c>
      <c r="N252" s="54" t="s">
        <v>2432</v>
      </c>
      <c r="O252" s="52"/>
      <c r="P252" s="21" t="s">
        <v>79</v>
      </c>
      <c r="Q252" s="21"/>
      <c r="R252" s="21" t="s">
        <v>820</v>
      </c>
    </row>
    <row r="253" spans="1:18" ht="18" customHeight="1">
      <c r="A253" s="40">
        <v>256</v>
      </c>
      <c r="B253" s="52" t="s">
        <v>14</v>
      </c>
      <c r="C253" s="52" t="s">
        <v>1397</v>
      </c>
      <c r="D253" s="24" t="s">
        <v>1398</v>
      </c>
      <c r="E253" s="17" t="s">
        <v>1427</v>
      </c>
      <c r="F253" s="52">
        <v>40</v>
      </c>
      <c r="G253" s="52" t="s">
        <v>456</v>
      </c>
      <c r="H253" s="17">
        <v>167</v>
      </c>
      <c r="I253" s="52" t="s">
        <v>1120</v>
      </c>
      <c r="J253" s="17" t="s">
        <v>66</v>
      </c>
      <c r="K253" s="52" t="s">
        <v>10</v>
      </c>
      <c r="L253" s="52" t="s">
        <v>9</v>
      </c>
      <c r="M253" s="52" t="s">
        <v>10</v>
      </c>
      <c r="N253" s="54" t="s">
        <v>2433</v>
      </c>
      <c r="O253" s="52" t="s">
        <v>1401</v>
      </c>
      <c r="P253" s="21" t="s">
        <v>10</v>
      </c>
      <c r="Q253" s="21"/>
      <c r="R253" s="21" t="s">
        <v>820</v>
      </c>
    </row>
    <row r="254" spans="1:18" ht="18" customHeight="1">
      <c r="A254" s="40">
        <v>257</v>
      </c>
      <c r="B254" s="52" t="s">
        <v>14</v>
      </c>
      <c r="C254" s="52" t="s">
        <v>1402</v>
      </c>
      <c r="D254" s="24">
        <v>1095980204</v>
      </c>
      <c r="E254" s="17" t="s">
        <v>1428</v>
      </c>
      <c r="F254" s="52">
        <v>36</v>
      </c>
      <c r="G254" s="52" t="s">
        <v>442</v>
      </c>
      <c r="H254" s="17">
        <v>160</v>
      </c>
      <c r="I254" s="52" t="s">
        <v>2378</v>
      </c>
      <c r="J254" s="17" t="s">
        <v>59</v>
      </c>
      <c r="K254" s="52" t="s">
        <v>1403</v>
      </c>
      <c r="L254" s="52" t="s">
        <v>9</v>
      </c>
      <c r="M254" s="52" t="s">
        <v>29</v>
      </c>
      <c r="N254" s="54" t="s">
        <v>1429</v>
      </c>
      <c r="O254" s="52" t="s">
        <v>1405</v>
      </c>
      <c r="P254" s="21" t="s">
        <v>11</v>
      </c>
      <c r="Q254" s="21"/>
      <c r="R254" s="21" t="s">
        <v>820</v>
      </c>
    </row>
    <row r="255" spans="1:18" ht="18" customHeight="1">
      <c r="A255" s="40">
        <v>258</v>
      </c>
      <c r="B255" s="52" t="s">
        <v>14</v>
      </c>
      <c r="C255" s="52" t="s">
        <v>1406</v>
      </c>
      <c r="D255" s="24" t="s">
        <v>1407</v>
      </c>
      <c r="E255" s="17" t="s">
        <v>1430</v>
      </c>
      <c r="F255" s="52">
        <v>30</v>
      </c>
      <c r="G255" s="52" t="s">
        <v>2393</v>
      </c>
      <c r="H255" s="17">
        <v>156</v>
      </c>
      <c r="I255" s="52" t="s">
        <v>454</v>
      </c>
      <c r="J255" s="17" t="s">
        <v>1972</v>
      </c>
      <c r="K255" s="52" t="s">
        <v>10</v>
      </c>
      <c r="L255" s="52" t="s">
        <v>9</v>
      </c>
      <c r="M255" s="52" t="s">
        <v>10</v>
      </c>
      <c r="N255" s="54" t="s">
        <v>1431</v>
      </c>
      <c r="O255" s="52" t="s">
        <v>1411</v>
      </c>
      <c r="P255" s="21" t="s">
        <v>10</v>
      </c>
      <c r="Q255" s="21" t="s">
        <v>1412</v>
      </c>
      <c r="R255" s="21" t="s">
        <v>820</v>
      </c>
    </row>
    <row r="256" spans="1:18" ht="18" customHeight="1">
      <c r="A256" s="40">
        <v>259</v>
      </c>
      <c r="B256" s="52" t="s">
        <v>14</v>
      </c>
      <c r="C256" s="52" t="s">
        <v>216</v>
      </c>
      <c r="D256" s="24" t="s">
        <v>1432</v>
      </c>
      <c r="E256" s="17" t="s">
        <v>1572</v>
      </c>
      <c r="F256" s="52">
        <v>38</v>
      </c>
      <c r="G256" s="52" t="s">
        <v>2374</v>
      </c>
      <c r="H256" s="17">
        <v>161</v>
      </c>
      <c r="I256" s="52" t="s">
        <v>2376</v>
      </c>
      <c r="J256" s="17" t="s">
        <v>18</v>
      </c>
      <c r="K256" s="52" t="s">
        <v>1434</v>
      </c>
      <c r="L256" s="52" t="s">
        <v>9</v>
      </c>
      <c r="M256" s="52" t="s">
        <v>29</v>
      </c>
      <c r="N256" s="54" t="s">
        <v>1573</v>
      </c>
      <c r="O256" s="52" t="s">
        <v>1435</v>
      </c>
      <c r="P256" s="21" t="s">
        <v>133</v>
      </c>
      <c r="Q256" s="21"/>
      <c r="R256" s="21" t="s">
        <v>820</v>
      </c>
    </row>
    <row r="257" spans="1:18" ht="18" customHeight="1">
      <c r="A257" s="40">
        <v>260</v>
      </c>
      <c r="B257" s="52" t="s">
        <v>14</v>
      </c>
      <c r="C257" s="52" t="s">
        <v>1436</v>
      </c>
      <c r="D257" s="24">
        <v>1097428386</v>
      </c>
      <c r="E257" s="17" t="s">
        <v>1574</v>
      </c>
      <c r="F257" s="52">
        <v>34</v>
      </c>
      <c r="G257" s="52" t="s">
        <v>438</v>
      </c>
      <c r="H257" s="17">
        <v>161</v>
      </c>
      <c r="I257" s="52" t="s">
        <v>453</v>
      </c>
      <c r="J257" s="17" t="s">
        <v>23</v>
      </c>
      <c r="K257" s="52" t="s">
        <v>1004</v>
      </c>
      <c r="L257" s="52" t="s">
        <v>9</v>
      </c>
      <c r="M257" s="52" t="s">
        <v>10</v>
      </c>
      <c r="N257" s="54" t="s">
        <v>2434</v>
      </c>
      <c r="O257" s="52" t="s">
        <v>1439</v>
      </c>
      <c r="P257" s="21" t="s">
        <v>10</v>
      </c>
      <c r="Q257" s="21" t="s">
        <v>1440</v>
      </c>
      <c r="R257" s="21" t="s">
        <v>820</v>
      </c>
    </row>
    <row r="258" spans="1:18" ht="18" customHeight="1">
      <c r="A258" s="40">
        <v>261</v>
      </c>
      <c r="B258" s="52" t="s">
        <v>8</v>
      </c>
      <c r="C258" s="52" t="s">
        <v>1441</v>
      </c>
      <c r="D258" s="24">
        <v>1098966708</v>
      </c>
      <c r="E258" s="17" t="s">
        <v>1353</v>
      </c>
      <c r="F258" s="52">
        <v>37</v>
      </c>
      <c r="G258" s="52" t="s">
        <v>441</v>
      </c>
      <c r="H258" s="17">
        <v>183</v>
      </c>
      <c r="I258" s="52" t="s">
        <v>450</v>
      </c>
      <c r="J258" s="17" t="s">
        <v>66</v>
      </c>
      <c r="K258" s="52" t="s">
        <v>10</v>
      </c>
      <c r="L258" s="52" t="s">
        <v>9</v>
      </c>
      <c r="M258" s="52" t="s">
        <v>29</v>
      </c>
      <c r="N258" s="54" t="s">
        <v>1575</v>
      </c>
      <c r="O258" s="52" t="s">
        <v>1443</v>
      </c>
      <c r="P258" s="21" t="s">
        <v>10</v>
      </c>
      <c r="Q258" s="21"/>
      <c r="R258" s="21" t="s">
        <v>820</v>
      </c>
    </row>
    <row r="259" spans="1:18" ht="18" customHeight="1">
      <c r="A259" s="40">
        <v>262</v>
      </c>
      <c r="B259" s="52" t="s">
        <v>14</v>
      </c>
      <c r="C259" s="52" t="s">
        <v>1444</v>
      </c>
      <c r="D259" s="24">
        <v>1087754670</v>
      </c>
      <c r="E259" s="17" t="s">
        <v>1576</v>
      </c>
      <c r="F259" s="52">
        <v>43</v>
      </c>
      <c r="G259" s="52" t="s">
        <v>445</v>
      </c>
      <c r="H259" s="17">
        <v>163</v>
      </c>
      <c r="I259" s="52" t="s">
        <v>2378</v>
      </c>
      <c r="J259" s="17" t="s">
        <v>12</v>
      </c>
      <c r="K259" s="52" t="s">
        <v>1446</v>
      </c>
      <c r="L259" s="52" t="s">
        <v>9</v>
      </c>
      <c r="M259" s="52" t="s">
        <v>10</v>
      </c>
      <c r="N259" s="54" t="s">
        <v>1577</v>
      </c>
      <c r="O259" s="52" t="s">
        <v>1448</v>
      </c>
      <c r="P259" s="21" t="s">
        <v>11</v>
      </c>
      <c r="Q259" s="21"/>
      <c r="R259" s="21" t="s">
        <v>820</v>
      </c>
    </row>
    <row r="260" spans="1:18" ht="18" customHeight="1">
      <c r="A260" s="40">
        <v>263</v>
      </c>
      <c r="B260" s="52" t="s">
        <v>14</v>
      </c>
      <c r="C260" s="52" t="s">
        <v>1449</v>
      </c>
      <c r="D260" s="24">
        <v>1054183761</v>
      </c>
      <c r="E260" s="17" t="s">
        <v>1578</v>
      </c>
      <c r="F260" s="52">
        <v>32</v>
      </c>
      <c r="G260" s="52" t="s">
        <v>2364</v>
      </c>
      <c r="H260" s="17">
        <v>168</v>
      </c>
      <c r="I260" s="52" t="s">
        <v>453</v>
      </c>
      <c r="J260" s="17" t="s">
        <v>23</v>
      </c>
      <c r="K260" s="52" t="s">
        <v>1452</v>
      </c>
      <c r="L260" s="52" t="s">
        <v>9</v>
      </c>
      <c r="M260" s="52" t="s">
        <v>29</v>
      </c>
      <c r="N260" s="54" t="s">
        <v>1579</v>
      </c>
      <c r="O260" s="52" t="s">
        <v>1454</v>
      </c>
      <c r="P260" s="21" t="s">
        <v>11</v>
      </c>
      <c r="Q260" s="21"/>
      <c r="R260" s="21" t="s">
        <v>820</v>
      </c>
    </row>
    <row r="261" spans="1:18" ht="18" customHeight="1">
      <c r="A261" s="40">
        <v>264</v>
      </c>
      <c r="B261" s="52" t="s">
        <v>14</v>
      </c>
      <c r="C261" s="52" t="s">
        <v>1458</v>
      </c>
      <c r="D261" s="24">
        <v>1056390829</v>
      </c>
      <c r="E261" s="17" t="s">
        <v>1173</v>
      </c>
      <c r="F261" s="52">
        <v>39</v>
      </c>
      <c r="G261" s="52" t="s">
        <v>1617</v>
      </c>
      <c r="H261" s="17">
        <v>164</v>
      </c>
      <c r="I261" s="52" t="s">
        <v>2371</v>
      </c>
      <c r="J261" s="17" t="s">
        <v>19</v>
      </c>
      <c r="K261" s="52" t="s">
        <v>10</v>
      </c>
      <c r="L261" s="52" t="s">
        <v>20</v>
      </c>
      <c r="M261" s="52" t="s">
        <v>10</v>
      </c>
      <c r="N261" s="54" t="s">
        <v>1580</v>
      </c>
      <c r="O261" s="52" t="s">
        <v>249</v>
      </c>
      <c r="P261" s="21" t="s">
        <v>497</v>
      </c>
      <c r="Q261" s="21"/>
      <c r="R261" s="21" t="s">
        <v>820</v>
      </c>
    </row>
    <row r="262" spans="1:18" ht="18" customHeight="1">
      <c r="A262" s="40">
        <v>265</v>
      </c>
      <c r="B262" s="52" t="s">
        <v>8</v>
      </c>
      <c r="C262" s="52" t="s">
        <v>473</v>
      </c>
      <c r="D262" s="24">
        <v>1035395185</v>
      </c>
      <c r="E262" s="17" t="s">
        <v>2435</v>
      </c>
      <c r="F262" s="52">
        <v>39</v>
      </c>
      <c r="G262" s="52" t="s">
        <v>2397</v>
      </c>
      <c r="H262" s="17">
        <v>172</v>
      </c>
      <c r="I262" s="52" t="s">
        <v>449</v>
      </c>
      <c r="J262" s="17" t="s">
        <v>35</v>
      </c>
      <c r="K262" s="52" t="s">
        <v>10</v>
      </c>
      <c r="L262" s="52" t="s">
        <v>9</v>
      </c>
      <c r="M262" s="52" t="s">
        <v>10</v>
      </c>
      <c r="N262" s="54" t="s">
        <v>1581</v>
      </c>
      <c r="O262" s="52" t="s">
        <v>1462</v>
      </c>
      <c r="P262" s="21" t="s">
        <v>646</v>
      </c>
      <c r="Q262" s="21"/>
      <c r="R262" s="21" t="s">
        <v>820</v>
      </c>
    </row>
    <row r="263" spans="1:18" ht="18" customHeight="1">
      <c r="A263" s="40">
        <v>266</v>
      </c>
      <c r="B263" s="52" t="s">
        <v>14</v>
      </c>
      <c r="C263" s="52" t="s">
        <v>1463</v>
      </c>
      <c r="D263" s="24">
        <v>1029008327</v>
      </c>
      <c r="E263" s="17" t="s">
        <v>1582</v>
      </c>
      <c r="F263" s="52">
        <v>32</v>
      </c>
      <c r="G263" s="52" t="s">
        <v>2364</v>
      </c>
      <c r="H263" s="17">
        <v>161</v>
      </c>
      <c r="I263" s="52" t="s">
        <v>2378</v>
      </c>
      <c r="J263" s="17" t="s">
        <v>24</v>
      </c>
      <c r="K263" s="52" t="s">
        <v>10</v>
      </c>
      <c r="L263" s="52" t="s">
        <v>31</v>
      </c>
      <c r="M263" s="52" t="s">
        <v>10</v>
      </c>
      <c r="N263" s="54" t="s">
        <v>1583</v>
      </c>
      <c r="O263" s="52" t="s">
        <v>1466</v>
      </c>
      <c r="P263" s="21" t="s">
        <v>11</v>
      </c>
      <c r="Q263" s="21"/>
      <c r="R263" s="21" t="s">
        <v>820</v>
      </c>
    </row>
    <row r="264" spans="1:18" ht="18" customHeight="1">
      <c r="A264" s="40">
        <v>267</v>
      </c>
      <c r="B264" s="52" t="s">
        <v>8</v>
      </c>
      <c r="C264" s="52" t="s">
        <v>1467</v>
      </c>
      <c r="D264" s="24">
        <v>1040861814</v>
      </c>
      <c r="E264" s="17" t="s">
        <v>2436</v>
      </c>
      <c r="F264" s="52">
        <v>29</v>
      </c>
      <c r="G264" s="52" t="s">
        <v>1119</v>
      </c>
      <c r="H264" s="17">
        <v>171</v>
      </c>
      <c r="I264" s="52" t="s">
        <v>2367</v>
      </c>
      <c r="J264" s="17" t="s">
        <v>19</v>
      </c>
      <c r="K264" s="52" t="s">
        <v>10</v>
      </c>
      <c r="L264" s="52" t="s">
        <v>9</v>
      </c>
      <c r="M264" s="52" t="s">
        <v>10</v>
      </c>
      <c r="N264" s="54" t="s">
        <v>2437</v>
      </c>
      <c r="O264" s="52" t="s">
        <v>1470</v>
      </c>
      <c r="P264" s="21" t="s">
        <v>10</v>
      </c>
      <c r="Q264" s="21"/>
      <c r="R264" s="21" t="s">
        <v>820</v>
      </c>
    </row>
    <row r="265" spans="1:18" ht="18" customHeight="1">
      <c r="A265" s="40">
        <v>268</v>
      </c>
      <c r="B265" s="52" t="s">
        <v>8</v>
      </c>
      <c r="C265" s="52" t="s">
        <v>1471</v>
      </c>
      <c r="D265" s="24">
        <v>1050979974</v>
      </c>
      <c r="E265" s="17" t="s">
        <v>1584</v>
      </c>
      <c r="F265" s="52">
        <v>34</v>
      </c>
      <c r="G265" s="52" t="s">
        <v>439</v>
      </c>
      <c r="H265" s="17">
        <v>173</v>
      </c>
      <c r="I265" s="52" t="s">
        <v>449</v>
      </c>
      <c r="J265" s="17" t="s">
        <v>35</v>
      </c>
      <c r="K265" s="52" t="s">
        <v>10</v>
      </c>
      <c r="L265" s="52" t="s">
        <v>9</v>
      </c>
      <c r="M265" s="52" t="s">
        <v>10</v>
      </c>
      <c r="N265" s="54" t="s">
        <v>2438</v>
      </c>
      <c r="O265" s="52" t="s">
        <v>1474</v>
      </c>
      <c r="P265" s="21" t="s">
        <v>10</v>
      </c>
      <c r="Q265" s="21"/>
      <c r="R265" s="21" t="s">
        <v>820</v>
      </c>
    </row>
    <row r="266" spans="1:18" ht="18" customHeight="1">
      <c r="A266" s="40">
        <v>269</v>
      </c>
      <c r="B266" s="52" t="s">
        <v>14</v>
      </c>
      <c r="C266" s="52" t="s">
        <v>1475</v>
      </c>
      <c r="D266" s="24">
        <v>1045594516</v>
      </c>
      <c r="E266" s="17" t="s">
        <v>1585</v>
      </c>
      <c r="F266" s="52">
        <v>32</v>
      </c>
      <c r="G266" s="52" t="s">
        <v>438</v>
      </c>
      <c r="H266" s="17">
        <v>173</v>
      </c>
      <c r="I266" s="52" t="s">
        <v>453</v>
      </c>
      <c r="J266" s="17" t="s">
        <v>12</v>
      </c>
      <c r="K266" s="52" t="s">
        <v>10</v>
      </c>
      <c r="L266" s="52" t="s">
        <v>9</v>
      </c>
      <c r="M266" s="52" t="s">
        <v>29</v>
      </c>
      <c r="N266" s="54" t="s">
        <v>2439</v>
      </c>
      <c r="O266" s="52" t="s">
        <v>1478</v>
      </c>
      <c r="P266" s="21" t="s">
        <v>10</v>
      </c>
      <c r="Q266" s="21"/>
      <c r="R266" s="21" t="s">
        <v>820</v>
      </c>
    </row>
    <row r="267" spans="1:18" ht="18" customHeight="1">
      <c r="A267" s="40">
        <v>270</v>
      </c>
      <c r="B267" s="52" t="s">
        <v>14</v>
      </c>
      <c r="C267" s="52" t="s">
        <v>191</v>
      </c>
      <c r="D267" s="24">
        <v>1028410813</v>
      </c>
      <c r="E267" s="17" t="s">
        <v>1586</v>
      </c>
      <c r="F267" s="52">
        <v>37</v>
      </c>
      <c r="G267" s="52" t="s">
        <v>442</v>
      </c>
      <c r="H267" s="17">
        <v>164</v>
      </c>
      <c r="I267" s="52" t="s">
        <v>2371</v>
      </c>
      <c r="J267" s="17" t="s">
        <v>76</v>
      </c>
      <c r="K267" s="52" t="s">
        <v>35</v>
      </c>
      <c r="L267" s="52" t="s">
        <v>49</v>
      </c>
      <c r="M267" s="52" t="s">
        <v>29</v>
      </c>
      <c r="N267" s="54" t="s">
        <v>2440</v>
      </c>
      <c r="O267" s="52" t="s">
        <v>1481</v>
      </c>
      <c r="P267" s="21" t="s">
        <v>1482</v>
      </c>
      <c r="Q267" s="21"/>
      <c r="R267" s="21" t="s">
        <v>820</v>
      </c>
    </row>
    <row r="268" spans="1:18" ht="18" customHeight="1">
      <c r="A268" s="40">
        <v>271</v>
      </c>
      <c r="B268" s="52" t="s">
        <v>14</v>
      </c>
      <c r="C268" s="52" t="s">
        <v>1483</v>
      </c>
      <c r="D268" s="24" t="s">
        <v>1484</v>
      </c>
      <c r="E268" s="17" t="s">
        <v>1587</v>
      </c>
      <c r="F268" s="52">
        <v>37</v>
      </c>
      <c r="G268" s="52" t="s">
        <v>762</v>
      </c>
      <c r="H268" s="17">
        <v>163</v>
      </c>
      <c r="I268" s="52" t="s">
        <v>453</v>
      </c>
      <c r="J268" s="17" t="s">
        <v>68</v>
      </c>
      <c r="K268" s="52" t="s">
        <v>10</v>
      </c>
      <c r="L268" s="52" t="s">
        <v>224</v>
      </c>
      <c r="M268" s="52" t="s">
        <v>10</v>
      </c>
      <c r="N268" s="54" t="s">
        <v>1588</v>
      </c>
      <c r="O268" s="52" t="s">
        <v>1487</v>
      </c>
      <c r="P268" s="21" t="s">
        <v>11</v>
      </c>
      <c r="Q268" s="21"/>
      <c r="R268" s="21" t="s">
        <v>820</v>
      </c>
    </row>
    <row r="269" spans="1:18" ht="18" customHeight="1">
      <c r="A269" s="40">
        <v>272</v>
      </c>
      <c r="B269" s="52" t="s">
        <v>8</v>
      </c>
      <c r="C269" s="52" t="s">
        <v>401</v>
      </c>
      <c r="D269" s="24">
        <v>1085686931</v>
      </c>
      <c r="E269" s="17" t="s">
        <v>2441</v>
      </c>
      <c r="F269" s="52">
        <v>34</v>
      </c>
      <c r="G269" s="52" t="s">
        <v>439</v>
      </c>
      <c r="H269" s="17">
        <v>168</v>
      </c>
      <c r="I269" s="52" t="s">
        <v>771</v>
      </c>
      <c r="J269" s="17" t="s">
        <v>252</v>
      </c>
      <c r="K269" s="52" t="s">
        <v>10</v>
      </c>
      <c r="L269" s="52" t="s">
        <v>9</v>
      </c>
      <c r="M269" s="52" t="s">
        <v>10</v>
      </c>
      <c r="N269" s="54" t="s">
        <v>1589</v>
      </c>
      <c r="O269" s="52" t="s">
        <v>1490</v>
      </c>
      <c r="P269" s="21" t="s">
        <v>10</v>
      </c>
      <c r="Q269" s="21" t="s">
        <v>1491</v>
      </c>
      <c r="R269" s="21" t="s">
        <v>820</v>
      </c>
    </row>
    <row r="270" spans="1:18" ht="18" customHeight="1">
      <c r="A270" s="40">
        <v>273</v>
      </c>
      <c r="B270" s="52" t="s">
        <v>14</v>
      </c>
      <c r="C270" s="52" t="s">
        <v>1492</v>
      </c>
      <c r="D270" s="24">
        <v>1028418505</v>
      </c>
      <c r="E270" s="17" t="s">
        <v>1590</v>
      </c>
      <c r="F270" s="52">
        <v>27</v>
      </c>
      <c r="G270" s="52" t="s">
        <v>2393</v>
      </c>
      <c r="H270" s="17">
        <v>166</v>
      </c>
      <c r="I270" s="52" t="s">
        <v>453</v>
      </c>
      <c r="J270" s="17" t="s">
        <v>76</v>
      </c>
      <c r="K270" s="52" t="s">
        <v>10</v>
      </c>
      <c r="L270" s="52" t="s">
        <v>9</v>
      </c>
      <c r="M270" s="52" t="s">
        <v>10</v>
      </c>
      <c r="N270" s="54" t="s">
        <v>2442</v>
      </c>
      <c r="O270" s="52" t="s">
        <v>1495</v>
      </c>
      <c r="P270" s="21" t="s">
        <v>10</v>
      </c>
      <c r="Q270" s="21"/>
      <c r="R270" s="21" t="s">
        <v>820</v>
      </c>
    </row>
    <row r="271" spans="1:18" ht="18" customHeight="1">
      <c r="A271" s="40">
        <v>274</v>
      </c>
      <c r="B271" s="52" t="s">
        <v>14</v>
      </c>
      <c r="C271" s="52" t="s">
        <v>1496</v>
      </c>
      <c r="D271" s="24">
        <v>1054683970</v>
      </c>
      <c r="E271" s="17" t="s">
        <v>1591</v>
      </c>
      <c r="F271" s="52">
        <v>28</v>
      </c>
      <c r="G271" s="52" t="s">
        <v>439</v>
      </c>
      <c r="H271" s="17">
        <v>156</v>
      </c>
      <c r="I271" s="52" t="s">
        <v>1120</v>
      </c>
      <c r="J271" s="17" t="s">
        <v>28</v>
      </c>
      <c r="K271" s="52" t="s">
        <v>971</v>
      </c>
      <c r="L271" s="52" t="s">
        <v>31</v>
      </c>
      <c r="M271" s="52" t="s">
        <v>10</v>
      </c>
      <c r="N271" s="54" t="s">
        <v>1592</v>
      </c>
      <c r="O271" s="52" t="s">
        <v>1499</v>
      </c>
      <c r="P271" s="21" t="s">
        <v>10</v>
      </c>
      <c r="Q271" s="21"/>
      <c r="R271" s="21" t="s">
        <v>820</v>
      </c>
    </row>
    <row r="272" spans="1:18" ht="18" customHeight="1">
      <c r="A272" s="40">
        <v>275</v>
      </c>
      <c r="B272" s="52" t="s">
        <v>14</v>
      </c>
      <c r="C272" s="52" t="s">
        <v>1500</v>
      </c>
      <c r="D272" s="24">
        <v>1093645553</v>
      </c>
      <c r="E272" s="17" t="s">
        <v>1593</v>
      </c>
      <c r="F272" s="52">
        <v>43</v>
      </c>
      <c r="G272" s="52" t="s">
        <v>444</v>
      </c>
      <c r="H272" s="17">
        <v>159</v>
      </c>
      <c r="I272" s="52" t="s">
        <v>1120</v>
      </c>
      <c r="J272" s="17" t="s">
        <v>35</v>
      </c>
      <c r="K272" s="52" t="s">
        <v>1502</v>
      </c>
      <c r="L272" s="52" t="s">
        <v>9</v>
      </c>
      <c r="M272" s="52" t="s">
        <v>10</v>
      </c>
      <c r="N272" s="54" t="s">
        <v>1594</v>
      </c>
      <c r="O272" s="52" t="s">
        <v>1504</v>
      </c>
      <c r="P272" s="21" t="s">
        <v>10</v>
      </c>
      <c r="Q272" s="21" t="s">
        <v>1505</v>
      </c>
      <c r="R272" s="21" t="s">
        <v>820</v>
      </c>
    </row>
    <row r="273" spans="1:18" ht="18" customHeight="1">
      <c r="A273" s="40">
        <v>276</v>
      </c>
      <c r="B273" s="52" t="s">
        <v>14</v>
      </c>
      <c r="C273" s="52" t="s">
        <v>1310</v>
      </c>
      <c r="D273" s="24">
        <v>1057566287</v>
      </c>
      <c r="E273" s="17" t="s">
        <v>1343</v>
      </c>
      <c r="F273" s="52">
        <v>33</v>
      </c>
      <c r="G273" s="52" t="s">
        <v>438</v>
      </c>
      <c r="H273" s="17">
        <v>163</v>
      </c>
      <c r="I273" s="52" t="s">
        <v>454</v>
      </c>
      <c r="J273" s="17" t="s">
        <v>68</v>
      </c>
      <c r="K273" s="52" t="s">
        <v>10</v>
      </c>
      <c r="L273" s="52" t="s">
        <v>20</v>
      </c>
      <c r="M273" s="52" t="s">
        <v>10</v>
      </c>
      <c r="N273" s="54" t="s">
        <v>1595</v>
      </c>
      <c r="O273" s="52" t="s">
        <v>1507</v>
      </c>
      <c r="P273" s="21" t="s">
        <v>79</v>
      </c>
      <c r="Q273" s="21" t="s">
        <v>1314</v>
      </c>
      <c r="R273" s="21" t="s">
        <v>820</v>
      </c>
    </row>
    <row r="274" spans="1:18" ht="18" customHeight="1">
      <c r="A274" s="40">
        <v>277</v>
      </c>
      <c r="B274" s="52" t="s">
        <v>14</v>
      </c>
      <c r="C274" s="52" t="s">
        <v>1508</v>
      </c>
      <c r="D274" s="24">
        <v>1038255286</v>
      </c>
      <c r="E274" s="17" t="s">
        <v>1596</v>
      </c>
      <c r="F274" s="52">
        <v>33</v>
      </c>
      <c r="G274" s="52" t="s">
        <v>438</v>
      </c>
      <c r="H274" s="17">
        <v>160</v>
      </c>
      <c r="I274" s="52" t="s">
        <v>452</v>
      </c>
      <c r="J274" s="17" t="s">
        <v>68</v>
      </c>
      <c r="K274" s="52" t="s">
        <v>1510</v>
      </c>
      <c r="L274" s="52" t="s">
        <v>9</v>
      </c>
      <c r="M274" s="52" t="s">
        <v>57</v>
      </c>
      <c r="N274" s="54" t="s">
        <v>1597</v>
      </c>
      <c r="O274" s="52" t="s">
        <v>1512</v>
      </c>
      <c r="P274" s="21" t="s">
        <v>10</v>
      </c>
      <c r="Q274" s="21"/>
      <c r="R274" s="21" t="s">
        <v>820</v>
      </c>
    </row>
    <row r="275" spans="1:18" ht="18" customHeight="1">
      <c r="A275" s="40">
        <v>278</v>
      </c>
      <c r="B275" s="52" t="s">
        <v>14</v>
      </c>
      <c r="C275" s="52" t="s">
        <v>1513</v>
      </c>
      <c r="D275" s="24" t="s">
        <v>1514</v>
      </c>
      <c r="E275" s="17" t="s">
        <v>2443</v>
      </c>
      <c r="F275" s="52">
        <v>34</v>
      </c>
      <c r="G275" s="52" t="s">
        <v>441</v>
      </c>
      <c r="H275" s="17">
        <v>167</v>
      </c>
      <c r="I275" s="52" t="s">
        <v>453</v>
      </c>
      <c r="J275" s="17" t="s">
        <v>24</v>
      </c>
      <c r="K275" s="52" t="s">
        <v>10</v>
      </c>
      <c r="L275" s="52" t="s">
        <v>20</v>
      </c>
      <c r="M275" s="52" t="s">
        <v>10</v>
      </c>
      <c r="N275" s="54" t="s">
        <v>1598</v>
      </c>
      <c r="O275" s="52" t="s">
        <v>1517</v>
      </c>
      <c r="P275" s="21" t="s">
        <v>10</v>
      </c>
      <c r="Q275" s="21"/>
      <c r="R275" s="21" t="s">
        <v>820</v>
      </c>
    </row>
    <row r="276" spans="1:18" ht="18" customHeight="1">
      <c r="A276" s="40">
        <v>279</v>
      </c>
      <c r="B276" s="52" t="s">
        <v>14</v>
      </c>
      <c r="C276" s="52" t="s">
        <v>1518</v>
      </c>
      <c r="D276" s="24">
        <v>1055781353</v>
      </c>
      <c r="E276" s="17" t="s">
        <v>1599</v>
      </c>
      <c r="F276" s="52">
        <v>33</v>
      </c>
      <c r="G276" s="52" t="s">
        <v>2370</v>
      </c>
      <c r="H276" s="17">
        <v>156</v>
      </c>
      <c r="I276" s="52" t="s">
        <v>456</v>
      </c>
      <c r="J276" s="17" t="s">
        <v>37</v>
      </c>
      <c r="K276" s="52" t="s">
        <v>1520</v>
      </c>
      <c r="L276" s="52" t="s">
        <v>9</v>
      </c>
      <c r="M276" s="52" t="s">
        <v>10</v>
      </c>
      <c r="N276" s="54" t="s">
        <v>2444</v>
      </c>
      <c r="O276" s="52" t="s">
        <v>1522</v>
      </c>
      <c r="P276" s="21" t="s">
        <v>10</v>
      </c>
      <c r="Q276" s="21"/>
      <c r="R276" s="21" t="s">
        <v>820</v>
      </c>
    </row>
    <row r="277" spans="1:18" ht="18" customHeight="1">
      <c r="A277" s="40">
        <v>280</v>
      </c>
      <c r="B277" s="52" t="s">
        <v>8</v>
      </c>
      <c r="C277" s="77" t="s">
        <v>1757</v>
      </c>
      <c r="D277" s="24" t="s">
        <v>1523</v>
      </c>
      <c r="E277" s="17" t="s">
        <v>1600</v>
      </c>
      <c r="F277" s="52">
        <v>32</v>
      </c>
      <c r="G277" s="52" t="s">
        <v>439</v>
      </c>
      <c r="H277" s="17">
        <v>170</v>
      </c>
      <c r="I277" s="52" t="s">
        <v>448</v>
      </c>
      <c r="J277" s="17" t="s">
        <v>59</v>
      </c>
      <c r="K277" s="52" t="s">
        <v>10</v>
      </c>
      <c r="L277" s="52" t="s">
        <v>9</v>
      </c>
      <c r="M277" s="52" t="s">
        <v>10</v>
      </c>
      <c r="N277" s="54" t="s">
        <v>1601</v>
      </c>
      <c r="O277" s="52" t="s">
        <v>1526</v>
      </c>
      <c r="P277" s="21" t="s">
        <v>11</v>
      </c>
      <c r="Q277" s="21" t="s">
        <v>1527</v>
      </c>
      <c r="R277" s="21" t="s">
        <v>820</v>
      </c>
    </row>
    <row r="278" spans="1:18" ht="18" customHeight="1">
      <c r="A278" s="40">
        <v>281</v>
      </c>
      <c r="B278" s="52" t="s">
        <v>8</v>
      </c>
      <c r="C278" s="52" t="s">
        <v>1528</v>
      </c>
      <c r="D278" s="24" t="s">
        <v>1529</v>
      </c>
      <c r="E278" s="17" t="s">
        <v>1602</v>
      </c>
      <c r="F278" s="52">
        <v>24</v>
      </c>
      <c r="G278" s="52" t="s">
        <v>1040</v>
      </c>
      <c r="H278" s="17">
        <v>168</v>
      </c>
      <c r="I278" s="52" t="s">
        <v>448</v>
      </c>
      <c r="J278" s="17" t="s">
        <v>18</v>
      </c>
      <c r="K278" s="52" t="s">
        <v>10</v>
      </c>
      <c r="L278" s="52"/>
      <c r="M278" s="52" t="s">
        <v>10</v>
      </c>
      <c r="N278" s="54" t="s">
        <v>1603</v>
      </c>
      <c r="O278" s="52" t="s">
        <v>1405</v>
      </c>
      <c r="P278" s="21" t="s">
        <v>10</v>
      </c>
      <c r="Q278" s="21"/>
      <c r="R278" s="21" t="s">
        <v>820</v>
      </c>
    </row>
    <row r="279" spans="1:18" ht="18" customHeight="1">
      <c r="A279" s="40">
        <v>282</v>
      </c>
      <c r="B279" s="52" t="s">
        <v>8</v>
      </c>
      <c r="C279" s="52" t="s">
        <v>1532</v>
      </c>
      <c r="D279" s="24">
        <v>1033736335</v>
      </c>
      <c r="E279" s="17" t="s">
        <v>1604</v>
      </c>
      <c r="F279" s="52">
        <v>36</v>
      </c>
      <c r="G279" s="52" t="s">
        <v>439</v>
      </c>
      <c r="H279" s="17">
        <v>177</v>
      </c>
      <c r="I279" s="52" t="s">
        <v>2375</v>
      </c>
      <c r="J279" s="17" t="s">
        <v>35</v>
      </c>
      <c r="K279" s="52" t="s">
        <v>10</v>
      </c>
      <c r="L279" s="52" t="s">
        <v>9</v>
      </c>
      <c r="M279" s="52" t="s">
        <v>29</v>
      </c>
      <c r="N279" s="54" t="s">
        <v>1605</v>
      </c>
      <c r="O279" s="52" t="s">
        <v>1535</v>
      </c>
      <c r="P279" s="21" t="s">
        <v>1536</v>
      </c>
      <c r="Q279" s="21"/>
      <c r="R279" s="21" t="s">
        <v>820</v>
      </c>
    </row>
    <row r="280" spans="1:18" ht="18" customHeight="1">
      <c r="A280" s="40">
        <v>283</v>
      </c>
      <c r="B280" s="52" t="s">
        <v>8</v>
      </c>
      <c r="C280" s="52" t="s">
        <v>1323</v>
      </c>
      <c r="D280" s="24">
        <v>1087684891</v>
      </c>
      <c r="E280" s="17" t="s">
        <v>1606</v>
      </c>
      <c r="F280" s="52">
        <v>34</v>
      </c>
      <c r="G280" s="52" t="s">
        <v>439</v>
      </c>
      <c r="H280" s="17">
        <v>173</v>
      </c>
      <c r="I280" s="52" t="s">
        <v>451</v>
      </c>
      <c r="J280" s="17" t="s">
        <v>252</v>
      </c>
      <c r="K280" s="52" t="s">
        <v>10</v>
      </c>
      <c r="L280" s="52" t="s">
        <v>31</v>
      </c>
      <c r="M280" s="52" t="s">
        <v>10</v>
      </c>
      <c r="N280" s="54" t="s">
        <v>2445</v>
      </c>
      <c r="O280" s="52" t="s">
        <v>1539</v>
      </c>
      <c r="P280" s="21" t="s">
        <v>10</v>
      </c>
      <c r="Q280" s="21"/>
      <c r="R280" s="21" t="s">
        <v>820</v>
      </c>
    </row>
    <row r="281" spans="1:18" ht="18" customHeight="1">
      <c r="A281" s="40">
        <v>284</v>
      </c>
      <c r="B281" s="52" t="s">
        <v>8</v>
      </c>
      <c r="C281" s="52" t="s">
        <v>1540</v>
      </c>
      <c r="D281" s="24">
        <v>1041868765</v>
      </c>
      <c r="E281" s="17" t="s">
        <v>1607</v>
      </c>
      <c r="F281" s="52">
        <v>36</v>
      </c>
      <c r="G281" s="52" t="s">
        <v>766</v>
      </c>
      <c r="H281" s="17">
        <v>185</v>
      </c>
      <c r="I281" s="52" t="s">
        <v>1622</v>
      </c>
      <c r="J281" s="17" t="s">
        <v>28</v>
      </c>
      <c r="K281" s="52" t="s">
        <v>10</v>
      </c>
      <c r="L281" s="52" t="s">
        <v>9</v>
      </c>
      <c r="M281" s="52" t="s">
        <v>10</v>
      </c>
      <c r="N281" s="54" t="s">
        <v>2446</v>
      </c>
      <c r="O281" s="52" t="s">
        <v>1543</v>
      </c>
      <c r="P281" s="21" t="s">
        <v>10</v>
      </c>
      <c r="Q281" s="21"/>
      <c r="R281" s="21" t="s">
        <v>820</v>
      </c>
    </row>
    <row r="282" spans="1:18" ht="18" customHeight="1">
      <c r="A282" s="40">
        <v>285</v>
      </c>
      <c r="B282" s="52" t="s">
        <v>14</v>
      </c>
      <c r="C282" s="52" t="s">
        <v>1397</v>
      </c>
      <c r="D282" s="24" t="s">
        <v>1398</v>
      </c>
      <c r="E282" s="17" t="s">
        <v>1428</v>
      </c>
      <c r="F282" s="52">
        <v>40</v>
      </c>
      <c r="G282" s="52" t="s">
        <v>1619</v>
      </c>
      <c r="H282" s="17">
        <v>167</v>
      </c>
      <c r="I282" s="52" t="s">
        <v>1120</v>
      </c>
      <c r="J282" s="17" t="s">
        <v>66</v>
      </c>
      <c r="K282" s="52" t="s">
        <v>10</v>
      </c>
      <c r="L282" s="52" t="s">
        <v>9</v>
      </c>
      <c r="M282" s="52" t="s">
        <v>10</v>
      </c>
      <c r="N282" s="54" t="s">
        <v>2447</v>
      </c>
      <c r="O282" s="52" t="s">
        <v>1544</v>
      </c>
      <c r="P282" s="21" t="s">
        <v>10</v>
      </c>
      <c r="Q282" s="21"/>
      <c r="R282" s="21" t="s">
        <v>820</v>
      </c>
    </row>
    <row r="283" spans="1:18" ht="18" customHeight="1">
      <c r="A283" s="40">
        <v>286</v>
      </c>
      <c r="B283" s="52" t="s">
        <v>8</v>
      </c>
      <c r="C283" s="52" t="s">
        <v>1545</v>
      </c>
      <c r="D283" s="24">
        <v>1024708131</v>
      </c>
      <c r="E283" s="17" t="s">
        <v>1608</v>
      </c>
      <c r="F283" s="52">
        <v>28</v>
      </c>
      <c r="G283" s="52" t="s">
        <v>1119</v>
      </c>
      <c r="H283" s="17">
        <v>187</v>
      </c>
      <c r="I283" s="52" t="s">
        <v>2448</v>
      </c>
      <c r="J283" s="17" t="s">
        <v>28</v>
      </c>
      <c r="K283" s="52" t="s">
        <v>10</v>
      </c>
      <c r="L283" s="52" t="s">
        <v>9</v>
      </c>
      <c r="M283" s="52" t="s">
        <v>10</v>
      </c>
      <c r="N283" s="54" t="s">
        <v>1609</v>
      </c>
      <c r="O283" s="52"/>
      <c r="P283" s="21" t="s">
        <v>10</v>
      </c>
      <c r="Q283" s="21"/>
      <c r="R283" s="21" t="s">
        <v>820</v>
      </c>
    </row>
    <row r="284" spans="1:18" ht="18" customHeight="1">
      <c r="A284" s="40">
        <v>287</v>
      </c>
      <c r="B284" s="52" t="s">
        <v>14</v>
      </c>
      <c r="C284" s="52" t="s">
        <v>1358</v>
      </c>
      <c r="D284" s="24">
        <v>1097450152</v>
      </c>
      <c r="E284" s="17" t="s">
        <v>1610</v>
      </c>
      <c r="F284" s="52">
        <v>40</v>
      </c>
      <c r="G284" s="52" t="s">
        <v>2449</v>
      </c>
      <c r="H284" s="17">
        <v>163</v>
      </c>
      <c r="I284" s="52" t="s">
        <v>453</v>
      </c>
      <c r="J284" s="17" t="s">
        <v>59</v>
      </c>
      <c r="K284" s="52" t="s">
        <v>10</v>
      </c>
      <c r="L284" s="52" t="s">
        <v>9</v>
      </c>
      <c r="M284" s="52" t="s">
        <v>10</v>
      </c>
      <c r="N284" s="54" t="s">
        <v>2450</v>
      </c>
      <c r="O284" s="52" t="s">
        <v>1550</v>
      </c>
      <c r="P284" s="21" t="s">
        <v>1536</v>
      </c>
      <c r="Q284" s="21"/>
      <c r="R284" s="21" t="s">
        <v>820</v>
      </c>
    </row>
    <row r="285" spans="1:18" ht="18" customHeight="1">
      <c r="A285" s="40">
        <v>288</v>
      </c>
      <c r="B285" s="52" t="s">
        <v>8</v>
      </c>
      <c r="C285" s="52" t="s">
        <v>1551</v>
      </c>
      <c r="D285" s="24">
        <v>1043029966</v>
      </c>
      <c r="E285" s="17" t="s">
        <v>2451</v>
      </c>
      <c r="F285" s="52">
        <v>32</v>
      </c>
      <c r="G285" s="52" t="s">
        <v>2396</v>
      </c>
      <c r="H285" s="17">
        <v>185</v>
      </c>
      <c r="I285" s="52" t="s">
        <v>449</v>
      </c>
      <c r="J285" s="17" t="s">
        <v>19</v>
      </c>
      <c r="K285" s="52" t="s">
        <v>10</v>
      </c>
      <c r="L285" s="52" t="s">
        <v>20</v>
      </c>
      <c r="M285" s="52" t="s">
        <v>10</v>
      </c>
      <c r="N285" s="54" t="s">
        <v>2452</v>
      </c>
      <c r="O285" s="52" t="s">
        <v>1554</v>
      </c>
      <c r="P285" s="21" t="s">
        <v>10</v>
      </c>
      <c r="Q285" s="21"/>
      <c r="R285" s="21" t="s">
        <v>820</v>
      </c>
    </row>
    <row r="286" spans="1:18" ht="18" customHeight="1">
      <c r="A286" s="40">
        <v>289</v>
      </c>
      <c r="B286" s="52" t="s">
        <v>8</v>
      </c>
      <c r="C286" s="52" t="s">
        <v>1555</v>
      </c>
      <c r="D286" s="24">
        <v>1021821308</v>
      </c>
      <c r="E286" s="17" t="s">
        <v>1611</v>
      </c>
      <c r="F286" s="52">
        <v>39</v>
      </c>
      <c r="G286" s="52" t="s">
        <v>441</v>
      </c>
      <c r="H286" s="17">
        <v>165</v>
      </c>
      <c r="I286" s="52" t="s">
        <v>2386</v>
      </c>
      <c r="J286" s="17" t="s">
        <v>13</v>
      </c>
      <c r="K286" s="52" t="s">
        <v>10</v>
      </c>
      <c r="L286" s="52" t="s">
        <v>9</v>
      </c>
      <c r="M286" s="52" t="s">
        <v>10</v>
      </c>
      <c r="N286" s="54" t="s">
        <v>1612</v>
      </c>
      <c r="O286" s="52" t="s">
        <v>1557</v>
      </c>
      <c r="P286" s="21" t="s">
        <v>10</v>
      </c>
      <c r="Q286" s="21"/>
      <c r="R286" s="21" t="s">
        <v>820</v>
      </c>
    </row>
    <row r="287" spans="1:18" ht="18" customHeight="1">
      <c r="A287" s="40">
        <v>290</v>
      </c>
      <c r="B287" s="52" t="s">
        <v>14</v>
      </c>
      <c r="C287" s="52" t="s">
        <v>1558</v>
      </c>
      <c r="D287" s="24" t="s">
        <v>1559</v>
      </c>
      <c r="E287" s="17" t="s">
        <v>1613</v>
      </c>
      <c r="F287" s="52">
        <v>31</v>
      </c>
      <c r="G287" s="52" t="s">
        <v>759</v>
      </c>
      <c r="H287" s="17">
        <v>162</v>
      </c>
      <c r="I287" s="52" t="s">
        <v>2368</v>
      </c>
      <c r="J287" s="17" t="s">
        <v>12</v>
      </c>
      <c r="K287" s="52" t="s">
        <v>10</v>
      </c>
      <c r="L287" s="52" t="s">
        <v>9</v>
      </c>
      <c r="M287" s="52" t="s">
        <v>29</v>
      </c>
      <c r="N287" s="54" t="s">
        <v>2453</v>
      </c>
      <c r="O287" s="52" t="s">
        <v>1562</v>
      </c>
      <c r="P287" s="21" t="s">
        <v>60</v>
      </c>
      <c r="Q287" s="21"/>
      <c r="R287" s="21" t="s">
        <v>820</v>
      </c>
    </row>
    <row r="288" spans="1:18" ht="18" customHeight="1">
      <c r="A288" s="40">
        <v>291</v>
      </c>
      <c r="B288" s="52" t="s">
        <v>14</v>
      </c>
      <c r="C288" s="52" t="s">
        <v>1563</v>
      </c>
      <c r="D288" s="24">
        <v>1040256371</v>
      </c>
      <c r="E288" s="17" t="s">
        <v>2454</v>
      </c>
      <c r="F288" s="52">
        <v>34</v>
      </c>
      <c r="G288" s="52" t="s">
        <v>2381</v>
      </c>
      <c r="H288" s="17">
        <v>164</v>
      </c>
      <c r="I288" s="52" t="s">
        <v>453</v>
      </c>
      <c r="J288" s="17" t="s">
        <v>59</v>
      </c>
      <c r="K288" s="52" t="s">
        <v>10</v>
      </c>
      <c r="L288" s="52" t="s">
        <v>9</v>
      </c>
      <c r="M288" s="52" t="s">
        <v>29</v>
      </c>
      <c r="N288" s="54" t="s">
        <v>1615</v>
      </c>
      <c r="O288" s="52"/>
      <c r="P288" s="21" t="s">
        <v>10</v>
      </c>
      <c r="Q288" s="21"/>
      <c r="R288" s="21" t="s">
        <v>820</v>
      </c>
    </row>
    <row r="289" spans="1:18" ht="18" customHeight="1">
      <c r="A289" s="40">
        <v>292</v>
      </c>
      <c r="B289" s="52" t="s">
        <v>8</v>
      </c>
      <c r="C289" s="52" t="s">
        <v>270</v>
      </c>
      <c r="D289" s="24">
        <v>1085932022</v>
      </c>
      <c r="E289" s="17" t="s">
        <v>2455</v>
      </c>
      <c r="F289" s="52">
        <v>34</v>
      </c>
      <c r="G289" s="52" t="s">
        <v>2364</v>
      </c>
      <c r="H289" s="17">
        <v>177</v>
      </c>
      <c r="I289" s="52" t="s">
        <v>2380</v>
      </c>
      <c r="J289" s="17" t="s">
        <v>18</v>
      </c>
      <c r="K289" s="52" t="s">
        <v>1434</v>
      </c>
      <c r="L289" s="52" t="s">
        <v>9</v>
      </c>
      <c r="M289" s="52" t="s">
        <v>10</v>
      </c>
      <c r="N289" s="54" t="s">
        <v>2456</v>
      </c>
      <c r="O289" s="52" t="s">
        <v>1566</v>
      </c>
      <c r="P289" s="21" t="s">
        <v>10</v>
      </c>
      <c r="Q289" s="21"/>
      <c r="R289" s="21" t="s">
        <v>820</v>
      </c>
    </row>
    <row r="290" spans="1:18" ht="18" customHeight="1">
      <c r="A290" s="40">
        <v>293</v>
      </c>
      <c r="B290" s="52" t="s">
        <v>14</v>
      </c>
      <c r="C290" s="52" t="s">
        <v>1567</v>
      </c>
      <c r="D290" s="24" t="s">
        <v>1568</v>
      </c>
      <c r="E290" s="17" t="s">
        <v>2457</v>
      </c>
      <c r="F290" s="52">
        <v>34</v>
      </c>
      <c r="G290" s="52" t="s">
        <v>1716</v>
      </c>
      <c r="H290" s="17">
        <v>162</v>
      </c>
      <c r="I290" s="52" t="s">
        <v>2378</v>
      </c>
      <c r="J290" s="17" t="s">
        <v>68</v>
      </c>
      <c r="K290" s="52" t="s">
        <v>10</v>
      </c>
      <c r="L290" s="52" t="s">
        <v>9</v>
      </c>
      <c r="M290" s="52" t="s">
        <v>29</v>
      </c>
      <c r="N290" s="54" t="s">
        <v>2458</v>
      </c>
      <c r="O290" s="52" t="s">
        <v>1571</v>
      </c>
      <c r="P290" s="21" t="s">
        <v>11</v>
      </c>
      <c r="Q290" s="21"/>
      <c r="R290" s="21" t="s">
        <v>820</v>
      </c>
    </row>
    <row r="291" spans="1:18" ht="18" customHeight="1">
      <c r="A291" s="40">
        <v>294</v>
      </c>
      <c r="B291" s="52" t="s">
        <v>8</v>
      </c>
      <c r="C291" s="52" t="s">
        <v>1623</v>
      </c>
      <c r="D291" s="24">
        <v>1065254330</v>
      </c>
      <c r="E291" s="17" t="s">
        <v>1717</v>
      </c>
      <c r="F291" s="52">
        <v>33</v>
      </c>
      <c r="G291" s="52" t="s">
        <v>440</v>
      </c>
      <c r="H291" s="17">
        <v>178</v>
      </c>
      <c r="I291" s="52" t="s">
        <v>448</v>
      </c>
      <c r="J291" s="17" t="s">
        <v>23</v>
      </c>
      <c r="K291" s="52" t="s">
        <v>10</v>
      </c>
      <c r="L291" s="52" t="s">
        <v>9</v>
      </c>
      <c r="M291" s="52" t="s">
        <v>10</v>
      </c>
      <c r="N291" s="54" t="s">
        <v>2459</v>
      </c>
      <c r="O291" s="52" t="s">
        <v>1668</v>
      </c>
      <c r="P291" s="21" t="s">
        <v>11</v>
      </c>
      <c r="Q291" s="21"/>
      <c r="R291" s="21" t="s">
        <v>820</v>
      </c>
    </row>
    <row r="292" spans="1:18" ht="18" customHeight="1">
      <c r="A292" s="40">
        <v>295</v>
      </c>
      <c r="B292" s="52" t="s">
        <v>8</v>
      </c>
      <c r="C292" s="52" t="s">
        <v>1625</v>
      </c>
      <c r="D292" s="24" t="s">
        <v>1626</v>
      </c>
      <c r="E292" s="17" t="s">
        <v>2460</v>
      </c>
      <c r="F292" s="52">
        <v>25</v>
      </c>
      <c r="G292" s="52" t="s">
        <v>997</v>
      </c>
      <c r="H292" s="17" t="s">
        <v>1627</v>
      </c>
      <c r="I292" s="52" t="s">
        <v>448</v>
      </c>
      <c r="J292" s="17" t="s">
        <v>12</v>
      </c>
      <c r="K292" s="52" t="s">
        <v>10</v>
      </c>
      <c r="L292" s="52" t="s">
        <v>9</v>
      </c>
      <c r="M292" s="52" t="s">
        <v>10</v>
      </c>
      <c r="N292" s="54" t="s">
        <v>1718</v>
      </c>
      <c r="O292" s="52" t="s">
        <v>1669</v>
      </c>
      <c r="P292" s="21" t="s">
        <v>1670</v>
      </c>
      <c r="Q292" s="21"/>
      <c r="R292" s="21" t="s">
        <v>820</v>
      </c>
    </row>
    <row r="293" spans="1:18" ht="18" customHeight="1">
      <c r="A293" s="40">
        <v>296</v>
      </c>
      <c r="B293" s="52" t="s">
        <v>14</v>
      </c>
      <c r="C293" s="52" t="s">
        <v>1211</v>
      </c>
      <c r="D293" s="24">
        <v>1062949657</v>
      </c>
      <c r="E293" s="17" t="s">
        <v>1719</v>
      </c>
      <c r="F293" s="52">
        <v>38</v>
      </c>
      <c r="G293" s="52" t="s">
        <v>2374</v>
      </c>
      <c r="H293" s="17">
        <v>158</v>
      </c>
      <c r="I293" s="52" t="s">
        <v>2461</v>
      </c>
      <c r="J293" s="17" t="s">
        <v>28</v>
      </c>
      <c r="K293" s="52" t="s">
        <v>1142</v>
      </c>
      <c r="L293" s="52" t="s">
        <v>224</v>
      </c>
      <c r="M293" s="52" t="s">
        <v>29</v>
      </c>
      <c r="N293" s="54" t="s">
        <v>2462</v>
      </c>
      <c r="O293" s="52" t="s">
        <v>271</v>
      </c>
      <c r="P293" s="21" t="s">
        <v>1367</v>
      </c>
      <c r="Q293" s="21"/>
      <c r="R293" s="21" t="s">
        <v>820</v>
      </c>
    </row>
    <row r="294" spans="1:18" ht="18" customHeight="1">
      <c r="A294" s="40">
        <v>297</v>
      </c>
      <c r="B294" s="52" t="s">
        <v>8</v>
      </c>
      <c r="C294" s="52" t="s">
        <v>1629</v>
      </c>
      <c r="D294" s="24" t="s">
        <v>1630</v>
      </c>
      <c r="E294" s="17" t="s">
        <v>2463</v>
      </c>
      <c r="F294" s="52">
        <v>29</v>
      </c>
      <c r="G294" s="52" t="s">
        <v>2464</v>
      </c>
      <c r="H294" s="17">
        <v>174</v>
      </c>
      <c r="I294" s="52" t="s">
        <v>456</v>
      </c>
      <c r="J294" s="17" t="s">
        <v>30</v>
      </c>
      <c r="K294" s="52" t="s">
        <v>10</v>
      </c>
      <c r="L294" s="52" t="s">
        <v>9</v>
      </c>
      <c r="M294" s="52" t="s">
        <v>10</v>
      </c>
      <c r="N294" s="54" t="s">
        <v>1721</v>
      </c>
      <c r="O294" s="52" t="s">
        <v>1673</v>
      </c>
      <c r="P294" s="21" t="s">
        <v>646</v>
      </c>
      <c r="Q294" s="21" t="s">
        <v>1674</v>
      </c>
      <c r="R294" s="21" t="s">
        <v>820</v>
      </c>
    </row>
    <row r="295" spans="1:18" ht="18" customHeight="1">
      <c r="A295" s="40">
        <v>298</v>
      </c>
      <c r="B295" s="52" t="s">
        <v>14</v>
      </c>
      <c r="C295" s="52" t="s">
        <v>1632</v>
      </c>
      <c r="D295" s="24">
        <v>1058098062</v>
      </c>
      <c r="E295" s="17" t="s">
        <v>1722</v>
      </c>
      <c r="F295" s="52">
        <v>31</v>
      </c>
      <c r="G295" s="52" t="s">
        <v>2370</v>
      </c>
      <c r="H295" s="17">
        <v>160</v>
      </c>
      <c r="I295" s="52" t="s">
        <v>453</v>
      </c>
      <c r="J295" s="17" t="s">
        <v>13</v>
      </c>
      <c r="K295" s="52" t="s">
        <v>10</v>
      </c>
      <c r="L295" s="52" t="s">
        <v>9</v>
      </c>
      <c r="M295" s="52" t="s">
        <v>10</v>
      </c>
      <c r="N295" s="54" t="s">
        <v>2465</v>
      </c>
      <c r="O295" s="52" t="s">
        <v>1676</v>
      </c>
      <c r="P295" s="21" t="s">
        <v>10</v>
      </c>
      <c r="Q295" s="21"/>
      <c r="R295" s="21" t="s">
        <v>820</v>
      </c>
    </row>
    <row r="296" spans="1:18" ht="18" customHeight="1">
      <c r="A296" s="40">
        <v>299</v>
      </c>
      <c r="B296" s="52" t="s">
        <v>14</v>
      </c>
      <c r="C296" s="52" t="s">
        <v>1634</v>
      </c>
      <c r="D296" s="24" t="s">
        <v>1635</v>
      </c>
      <c r="E296" s="17" t="s">
        <v>1723</v>
      </c>
      <c r="F296" s="52">
        <v>35</v>
      </c>
      <c r="G296" s="52" t="s">
        <v>438</v>
      </c>
      <c r="H296" s="17">
        <v>160</v>
      </c>
      <c r="I296" s="52" t="s">
        <v>453</v>
      </c>
      <c r="J296" s="17" t="s">
        <v>28</v>
      </c>
      <c r="K296" s="52" t="s">
        <v>10</v>
      </c>
      <c r="L296" s="52" t="s">
        <v>9</v>
      </c>
      <c r="M296" s="52" t="s">
        <v>10</v>
      </c>
      <c r="N296" s="54" t="s">
        <v>1724</v>
      </c>
      <c r="O296" s="52"/>
      <c r="P296" s="21" t="s">
        <v>10</v>
      </c>
      <c r="Q296" s="21"/>
      <c r="R296" s="21" t="s">
        <v>820</v>
      </c>
    </row>
    <row r="297" spans="1:18" ht="18" customHeight="1">
      <c r="A297" s="40">
        <v>300</v>
      </c>
      <c r="B297" s="52" t="s">
        <v>14</v>
      </c>
      <c r="C297" s="52" t="s">
        <v>1637</v>
      </c>
      <c r="D297" s="24">
        <v>1088270852</v>
      </c>
      <c r="E297" s="17" t="s">
        <v>1725</v>
      </c>
      <c r="F297" s="52">
        <v>41</v>
      </c>
      <c r="G297" s="52" t="s">
        <v>1617</v>
      </c>
      <c r="H297" s="17">
        <v>172</v>
      </c>
      <c r="I297" s="52" t="s">
        <v>763</v>
      </c>
      <c r="J297" s="17" t="s">
        <v>76</v>
      </c>
      <c r="K297" s="52" t="s">
        <v>10</v>
      </c>
      <c r="L297" s="52" t="s">
        <v>9</v>
      </c>
      <c r="M297" s="52" t="s">
        <v>10</v>
      </c>
      <c r="N297" s="54" t="s">
        <v>2466</v>
      </c>
      <c r="O297" s="52" t="s">
        <v>1679</v>
      </c>
      <c r="P297" s="21" t="s">
        <v>10</v>
      </c>
      <c r="Q297" s="21" t="s">
        <v>1750</v>
      </c>
      <c r="R297" s="21" t="s">
        <v>820</v>
      </c>
    </row>
    <row r="298" spans="1:18" ht="18" customHeight="1">
      <c r="A298" s="40">
        <v>301</v>
      </c>
      <c r="B298" s="52" t="s">
        <v>14</v>
      </c>
      <c r="C298" s="52" t="s">
        <v>1639</v>
      </c>
      <c r="D298" s="24">
        <v>1057143069</v>
      </c>
      <c r="E298" s="17" t="s">
        <v>1726</v>
      </c>
      <c r="F298" s="52">
        <v>29</v>
      </c>
      <c r="G298" s="52" t="s">
        <v>439</v>
      </c>
      <c r="H298" s="17">
        <v>161</v>
      </c>
      <c r="I298" s="52" t="s">
        <v>2368</v>
      </c>
      <c r="J298" s="17" t="s">
        <v>37</v>
      </c>
      <c r="K298" s="52" t="s">
        <v>390</v>
      </c>
      <c r="L298" s="52" t="s">
        <v>9</v>
      </c>
      <c r="M298" s="52" t="s">
        <v>10</v>
      </c>
      <c r="N298" s="54" t="s">
        <v>1727</v>
      </c>
      <c r="O298" s="52" t="s">
        <v>1682</v>
      </c>
      <c r="P298" s="21" t="s">
        <v>10</v>
      </c>
      <c r="Q298" s="21" t="s">
        <v>1683</v>
      </c>
      <c r="R298" s="21" t="s">
        <v>820</v>
      </c>
    </row>
    <row r="299" spans="1:18" ht="18" customHeight="1">
      <c r="A299" s="40">
        <v>302</v>
      </c>
      <c r="B299" s="52" t="s">
        <v>14</v>
      </c>
      <c r="C299" s="52" t="s">
        <v>989</v>
      </c>
      <c r="D299" s="24" t="s">
        <v>1641</v>
      </c>
      <c r="E299" s="17" t="s">
        <v>1728</v>
      </c>
      <c r="F299" s="52">
        <v>32</v>
      </c>
      <c r="G299" s="52" t="s">
        <v>2381</v>
      </c>
      <c r="H299" s="17">
        <v>171</v>
      </c>
      <c r="I299" s="52" t="s">
        <v>2371</v>
      </c>
      <c r="J299" s="17" t="s">
        <v>1684</v>
      </c>
      <c r="K299" s="52" t="s">
        <v>10</v>
      </c>
      <c r="L299" s="52" t="s">
        <v>75</v>
      </c>
      <c r="M299" s="52" t="s">
        <v>57</v>
      </c>
      <c r="N299" s="54" t="s">
        <v>1729</v>
      </c>
      <c r="O299" s="52" t="s">
        <v>1686</v>
      </c>
      <c r="P299" s="21" t="s">
        <v>11</v>
      </c>
      <c r="Q299" s="21"/>
      <c r="R299" s="21" t="s">
        <v>820</v>
      </c>
    </row>
    <row r="300" spans="1:18" ht="18" customHeight="1">
      <c r="A300" s="40">
        <v>303</v>
      </c>
      <c r="B300" s="52" t="s">
        <v>14</v>
      </c>
      <c r="C300" s="52" t="s">
        <v>1643</v>
      </c>
      <c r="D300" s="24">
        <v>1020629201</v>
      </c>
      <c r="E300" s="17" t="s">
        <v>2467</v>
      </c>
      <c r="F300" s="52">
        <v>35</v>
      </c>
      <c r="G300" s="52" t="s">
        <v>2370</v>
      </c>
      <c r="H300" s="17">
        <v>170</v>
      </c>
      <c r="I300" s="52" t="s">
        <v>2378</v>
      </c>
      <c r="J300" s="17" t="s">
        <v>59</v>
      </c>
      <c r="K300" s="52" t="s">
        <v>10</v>
      </c>
      <c r="L300" s="52" t="s">
        <v>9</v>
      </c>
      <c r="M300" s="52" t="s">
        <v>29</v>
      </c>
      <c r="N300" s="54" t="s">
        <v>1730</v>
      </c>
      <c r="O300" s="52" t="s">
        <v>845</v>
      </c>
      <c r="P300" s="21" t="s">
        <v>10</v>
      </c>
      <c r="Q300" s="21"/>
      <c r="R300" s="21" t="s">
        <v>820</v>
      </c>
    </row>
    <row r="301" spans="1:18" ht="18" customHeight="1">
      <c r="A301" s="40">
        <v>304</v>
      </c>
      <c r="B301" s="52" t="s">
        <v>14</v>
      </c>
      <c r="C301" s="52" t="s">
        <v>1645</v>
      </c>
      <c r="D301" s="24" t="s">
        <v>1646</v>
      </c>
      <c r="E301" s="17" t="s">
        <v>1731</v>
      </c>
      <c r="F301" s="52">
        <v>37</v>
      </c>
      <c r="G301" s="52" t="s">
        <v>2369</v>
      </c>
      <c r="H301" s="17">
        <v>168</v>
      </c>
      <c r="I301" s="52" t="s">
        <v>2378</v>
      </c>
      <c r="J301" s="17" t="s">
        <v>24</v>
      </c>
      <c r="K301" s="52" t="s">
        <v>10</v>
      </c>
      <c r="L301" s="52" t="s">
        <v>9</v>
      </c>
      <c r="M301" s="52" t="s">
        <v>10</v>
      </c>
      <c r="N301" s="54" t="s">
        <v>1732</v>
      </c>
      <c r="O301" s="52" t="s">
        <v>1689</v>
      </c>
      <c r="P301" s="21" t="s">
        <v>10</v>
      </c>
      <c r="Q301" s="21"/>
      <c r="R301" s="21" t="s">
        <v>820</v>
      </c>
    </row>
    <row r="302" spans="1:18" ht="18" customHeight="1">
      <c r="A302" s="40">
        <v>305</v>
      </c>
      <c r="B302" s="52" t="s">
        <v>14</v>
      </c>
      <c r="C302" s="52" t="s">
        <v>1648</v>
      </c>
      <c r="D302" s="24">
        <v>1025335817</v>
      </c>
      <c r="E302" s="17" t="s">
        <v>1733</v>
      </c>
      <c r="F302" s="52">
        <v>26</v>
      </c>
      <c r="G302" s="52" t="s">
        <v>440</v>
      </c>
      <c r="H302" s="17">
        <v>164</v>
      </c>
      <c r="I302" s="52" t="s">
        <v>2368</v>
      </c>
      <c r="J302" s="17" t="s">
        <v>12</v>
      </c>
      <c r="K302" s="52" t="s">
        <v>10</v>
      </c>
      <c r="L302" s="52" t="s">
        <v>9</v>
      </c>
      <c r="M302" s="52" t="s">
        <v>57</v>
      </c>
      <c r="N302" s="54" t="s">
        <v>1734</v>
      </c>
      <c r="O302" s="52" t="s">
        <v>1691</v>
      </c>
      <c r="P302" s="21" t="s">
        <v>11</v>
      </c>
      <c r="Q302" s="21"/>
      <c r="R302" s="21" t="s">
        <v>820</v>
      </c>
    </row>
    <row r="303" spans="1:18" ht="18" customHeight="1">
      <c r="A303" s="40">
        <v>306</v>
      </c>
      <c r="B303" s="52" t="s">
        <v>14</v>
      </c>
      <c r="C303" s="52" t="s">
        <v>1650</v>
      </c>
      <c r="D303" s="24">
        <v>1093906140</v>
      </c>
      <c r="E303" s="17" t="s">
        <v>1735</v>
      </c>
      <c r="F303" s="52">
        <v>35</v>
      </c>
      <c r="G303" s="52" t="s">
        <v>759</v>
      </c>
      <c r="H303" s="17">
        <v>167</v>
      </c>
      <c r="I303" s="52" t="s">
        <v>1120</v>
      </c>
      <c r="J303" s="17" t="s">
        <v>1749</v>
      </c>
      <c r="K303" s="52" t="s">
        <v>1692</v>
      </c>
      <c r="L303" s="52" t="s">
        <v>9</v>
      </c>
      <c r="M303" s="52" t="s">
        <v>10</v>
      </c>
      <c r="N303" s="54" t="s">
        <v>1736</v>
      </c>
      <c r="O303" s="52" t="s">
        <v>1694</v>
      </c>
      <c r="P303" s="21" t="s">
        <v>69</v>
      </c>
      <c r="Q303" s="21" t="s">
        <v>1695</v>
      </c>
      <c r="R303" s="21" t="s">
        <v>820</v>
      </c>
    </row>
    <row r="304" spans="1:18" ht="18" customHeight="1">
      <c r="A304" s="40">
        <v>307</v>
      </c>
      <c r="B304" s="52" t="s">
        <v>14</v>
      </c>
      <c r="C304" s="52" t="s">
        <v>1652</v>
      </c>
      <c r="D304" s="24">
        <v>1049369370</v>
      </c>
      <c r="E304" s="17" t="s">
        <v>2468</v>
      </c>
      <c r="F304" s="52">
        <v>26</v>
      </c>
      <c r="G304" s="52" t="s">
        <v>440</v>
      </c>
      <c r="H304" s="17">
        <v>168</v>
      </c>
      <c r="I304" s="52" t="s">
        <v>453</v>
      </c>
      <c r="J304" s="17" t="s">
        <v>12</v>
      </c>
      <c r="K304" s="52" t="s">
        <v>10</v>
      </c>
      <c r="L304" s="52" t="s">
        <v>9</v>
      </c>
      <c r="M304" s="52" t="s">
        <v>29</v>
      </c>
      <c r="N304" s="54" t="s">
        <v>1737</v>
      </c>
      <c r="O304" s="52" t="s">
        <v>1697</v>
      </c>
      <c r="P304" s="21" t="s">
        <v>646</v>
      </c>
      <c r="Q304" s="21"/>
      <c r="R304" s="21" t="s">
        <v>820</v>
      </c>
    </row>
    <row r="305" spans="1:18" ht="18" customHeight="1">
      <c r="A305" s="40">
        <v>308</v>
      </c>
      <c r="B305" s="52" t="s">
        <v>8</v>
      </c>
      <c r="C305" s="52" t="s">
        <v>1065</v>
      </c>
      <c r="D305" s="24">
        <v>1050312168</v>
      </c>
      <c r="E305" s="17" t="s">
        <v>2469</v>
      </c>
      <c r="F305" s="52">
        <v>33</v>
      </c>
      <c r="G305" s="52" t="s">
        <v>2388</v>
      </c>
      <c r="H305" s="17">
        <v>168</v>
      </c>
      <c r="I305" s="52" t="s">
        <v>451</v>
      </c>
      <c r="J305" s="17" t="s">
        <v>66</v>
      </c>
      <c r="K305" s="52" t="s">
        <v>10</v>
      </c>
      <c r="L305" s="52" t="s">
        <v>9</v>
      </c>
      <c r="M305" s="52" t="s">
        <v>10</v>
      </c>
      <c r="N305" s="54" t="s">
        <v>2470</v>
      </c>
      <c r="O305" s="52" t="s">
        <v>1699</v>
      </c>
      <c r="P305" s="21" t="s">
        <v>10</v>
      </c>
      <c r="Q305" s="21"/>
      <c r="R305" s="21" t="s">
        <v>820</v>
      </c>
    </row>
    <row r="306" spans="1:18" ht="18" customHeight="1">
      <c r="A306" s="40">
        <v>309</v>
      </c>
      <c r="B306" s="52" t="s">
        <v>14</v>
      </c>
      <c r="C306" s="52" t="s">
        <v>1654</v>
      </c>
      <c r="D306" s="24">
        <v>1027890387</v>
      </c>
      <c r="E306" s="17" t="s">
        <v>1738</v>
      </c>
      <c r="F306" s="52">
        <v>35</v>
      </c>
      <c r="G306" s="52" t="s">
        <v>438</v>
      </c>
      <c r="H306" s="17">
        <v>160</v>
      </c>
      <c r="I306" s="52" t="s">
        <v>2368</v>
      </c>
      <c r="J306" s="17" t="s">
        <v>76</v>
      </c>
      <c r="K306" s="52" t="s">
        <v>10</v>
      </c>
      <c r="L306" s="52" t="s">
        <v>9</v>
      </c>
      <c r="M306" s="52" t="s">
        <v>29</v>
      </c>
      <c r="N306" s="54" t="s">
        <v>2471</v>
      </c>
      <c r="O306" s="52" t="s">
        <v>1700</v>
      </c>
      <c r="P306" s="21" t="s">
        <v>73</v>
      </c>
      <c r="Q306" s="21"/>
      <c r="R306" s="21" t="s">
        <v>820</v>
      </c>
    </row>
    <row r="307" spans="1:18" ht="18" customHeight="1">
      <c r="A307" s="40">
        <v>310</v>
      </c>
      <c r="B307" s="52" t="s">
        <v>14</v>
      </c>
      <c r="C307" s="52" t="s">
        <v>1656</v>
      </c>
      <c r="D307" s="24">
        <v>1090465832</v>
      </c>
      <c r="E307" s="17" t="s">
        <v>2472</v>
      </c>
      <c r="F307" s="52">
        <v>35</v>
      </c>
      <c r="G307" s="52" t="s">
        <v>2369</v>
      </c>
      <c r="H307" s="17">
        <v>153</v>
      </c>
      <c r="I307" s="52" t="s">
        <v>453</v>
      </c>
      <c r="J307" s="17" t="s">
        <v>23</v>
      </c>
      <c r="K307" s="52" t="s">
        <v>10</v>
      </c>
      <c r="L307" s="52" t="s">
        <v>9</v>
      </c>
      <c r="M307" s="52" t="s">
        <v>29</v>
      </c>
      <c r="N307" s="54" t="s">
        <v>1739</v>
      </c>
      <c r="O307" s="52" t="s">
        <v>1702</v>
      </c>
      <c r="P307" s="21" t="s">
        <v>10</v>
      </c>
      <c r="Q307" s="21"/>
      <c r="R307" s="21" t="s">
        <v>820</v>
      </c>
    </row>
    <row r="308" spans="1:18" ht="18" customHeight="1">
      <c r="A308" s="40">
        <v>311</v>
      </c>
      <c r="B308" s="52" t="s">
        <v>14</v>
      </c>
      <c r="C308" s="52" t="s">
        <v>1658</v>
      </c>
      <c r="D308" s="24" t="s">
        <v>1659</v>
      </c>
      <c r="E308" s="17" t="s">
        <v>1740</v>
      </c>
      <c r="F308" s="52">
        <v>30</v>
      </c>
      <c r="G308" s="52" t="s">
        <v>439</v>
      </c>
      <c r="H308" s="17">
        <v>170</v>
      </c>
      <c r="I308" s="52" t="s">
        <v>2378</v>
      </c>
      <c r="J308" s="17" t="s">
        <v>72</v>
      </c>
      <c r="K308" s="52" t="s">
        <v>10</v>
      </c>
      <c r="L308" s="52" t="s">
        <v>9</v>
      </c>
      <c r="M308" s="52" t="s">
        <v>29</v>
      </c>
      <c r="N308" s="54" t="s">
        <v>1741</v>
      </c>
      <c r="O308" s="52" t="s">
        <v>1704</v>
      </c>
      <c r="P308" s="21" t="s">
        <v>10</v>
      </c>
      <c r="Q308" s="21"/>
      <c r="R308" s="21" t="s">
        <v>820</v>
      </c>
    </row>
    <row r="309" spans="1:18" ht="18" customHeight="1">
      <c r="A309" s="40">
        <v>312</v>
      </c>
      <c r="B309" s="52" t="s">
        <v>8</v>
      </c>
      <c r="C309" s="52" t="s">
        <v>685</v>
      </c>
      <c r="D309" s="24">
        <v>1099781257</v>
      </c>
      <c r="E309" s="17" t="s">
        <v>1742</v>
      </c>
      <c r="F309" s="52">
        <v>35</v>
      </c>
      <c r="G309" s="52" t="s">
        <v>2364</v>
      </c>
      <c r="H309" s="17">
        <v>175</v>
      </c>
      <c r="I309" s="52" t="s">
        <v>760</v>
      </c>
      <c r="J309" s="17" t="s">
        <v>12</v>
      </c>
      <c r="K309" s="52" t="s">
        <v>1705</v>
      </c>
      <c r="L309" s="52" t="s">
        <v>49</v>
      </c>
      <c r="M309" s="52" t="s">
        <v>57</v>
      </c>
      <c r="N309" s="54" t="s">
        <v>2473</v>
      </c>
      <c r="O309" s="52" t="s">
        <v>1706</v>
      </c>
      <c r="P309" s="21" t="s">
        <v>11</v>
      </c>
      <c r="Q309" s="21" t="s">
        <v>1707</v>
      </c>
      <c r="R309" s="21" t="s">
        <v>820</v>
      </c>
    </row>
    <row r="310" spans="1:18" ht="18" customHeight="1">
      <c r="A310" s="40">
        <v>313</v>
      </c>
      <c r="B310" s="52" t="s">
        <v>8</v>
      </c>
      <c r="C310" s="52" t="s">
        <v>1660</v>
      </c>
      <c r="D310" s="24">
        <v>1036960487</v>
      </c>
      <c r="E310" s="17" t="s">
        <v>2474</v>
      </c>
      <c r="F310" s="52">
        <v>35</v>
      </c>
      <c r="G310" s="52" t="s">
        <v>2364</v>
      </c>
      <c r="H310" s="17">
        <v>176</v>
      </c>
      <c r="I310" s="52" t="s">
        <v>2475</v>
      </c>
      <c r="J310" s="17" t="s">
        <v>19</v>
      </c>
      <c r="K310" s="52" t="s">
        <v>10</v>
      </c>
      <c r="L310" s="52" t="s">
        <v>20</v>
      </c>
      <c r="M310" s="52" t="s">
        <v>10</v>
      </c>
      <c r="N310" s="54" t="s">
        <v>1743</v>
      </c>
      <c r="O310" s="52" t="s">
        <v>1709</v>
      </c>
      <c r="P310" s="21" t="s">
        <v>10</v>
      </c>
      <c r="Q310" s="21"/>
      <c r="R310" s="21" t="s">
        <v>820</v>
      </c>
    </row>
    <row r="311" spans="1:18" ht="18" customHeight="1">
      <c r="A311" s="40">
        <v>314</v>
      </c>
      <c r="B311" s="52" t="s">
        <v>8</v>
      </c>
      <c r="C311" s="52" t="s">
        <v>1662</v>
      </c>
      <c r="D311" s="24">
        <v>1048492422</v>
      </c>
      <c r="E311" s="17" t="s">
        <v>1744</v>
      </c>
      <c r="F311" s="52">
        <v>34</v>
      </c>
      <c r="G311" s="52" t="s">
        <v>441</v>
      </c>
      <c r="H311" s="17">
        <v>172</v>
      </c>
      <c r="I311" s="52" t="s">
        <v>456</v>
      </c>
      <c r="J311" s="17" t="s">
        <v>19</v>
      </c>
      <c r="K311" s="52" t="s">
        <v>10</v>
      </c>
      <c r="L311" s="52" t="s">
        <v>9</v>
      </c>
      <c r="M311" s="52" t="s">
        <v>10</v>
      </c>
      <c r="N311" s="54" t="s">
        <v>1745</v>
      </c>
      <c r="O311" s="52" t="s">
        <v>923</v>
      </c>
      <c r="P311" s="21" t="s">
        <v>10</v>
      </c>
      <c r="Q311" s="21"/>
      <c r="R311" s="21" t="s">
        <v>820</v>
      </c>
    </row>
    <row r="312" spans="1:18" ht="18" customHeight="1">
      <c r="A312" s="40">
        <v>315</v>
      </c>
      <c r="B312" s="52" t="s">
        <v>8</v>
      </c>
      <c r="C312" s="52" t="s">
        <v>1664</v>
      </c>
      <c r="D312" s="24">
        <v>1077524605</v>
      </c>
      <c r="E312" s="17" t="s">
        <v>1173</v>
      </c>
      <c r="F312" s="52">
        <v>34</v>
      </c>
      <c r="G312" s="52" t="s">
        <v>441</v>
      </c>
      <c r="H312" s="17">
        <v>170</v>
      </c>
      <c r="I312" s="52" t="s">
        <v>2375</v>
      </c>
      <c r="J312" s="17" t="s">
        <v>13</v>
      </c>
      <c r="K312" s="52" t="s">
        <v>10</v>
      </c>
      <c r="L312" s="52" t="s">
        <v>9</v>
      </c>
      <c r="M312" s="52" t="s">
        <v>10</v>
      </c>
      <c r="N312" s="54" t="s">
        <v>1746</v>
      </c>
      <c r="O312" s="52" t="s">
        <v>1712</v>
      </c>
      <c r="P312" s="21" t="s">
        <v>10</v>
      </c>
      <c r="Q312" s="21" t="s">
        <v>1713</v>
      </c>
      <c r="R312" s="21" t="s">
        <v>820</v>
      </c>
    </row>
    <row r="313" spans="1:18" ht="18" customHeight="1">
      <c r="A313" s="40">
        <v>316</v>
      </c>
      <c r="B313" s="52" t="s">
        <v>8</v>
      </c>
      <c r="C313" s="52" t="s">
        <v>1665</v>
      </c>
      <c r="D313" s="24">
        <v>1041710239</v>
      </c>
      <c r="E313" s="17" t="s">
        <v>1747</v>
      </c>
      <c r="F313" s="52">
        <v>29</v>
      </c>
      <c r="G313" s="52" t="s">
        <v>2382</v>
      </c>
      <c r="H313" s="17">
        <v>177</v>
      </c>
      <c r="I313" s="52" t="s">
        <v>2427</v>
      </c>
      <c r="J313" s="17" t="s">
        <v>19</v>
      </c>
      <c r="K313" s="52" t="s">
        <v>10</v>
      </c>
      <c r="L313" s="52" t="s">
        <v>9</v>
      </c>
      <c r="M313" s="52" t="s">
        <v>10</v>
      </c>
      <c r="N313" s="54" t="s">
        <v>1748</v>
      </c>
      <c r="O313" s="52" t="s">
        <v>1715</v>
      </c>
      <c r="P313" s="21" t="s">
        <v>10</v>
      </c>
      <c r="Q313" s="21"/>
      <c r="R313" s="21" t="s">
        <v>820</v>
      </c>
    </row>
    <row r="314" spans="1:18" ht="18" customHeight="1">
      <c r="A314" s="40">
        <v>317</v>
      </c>
      <c r="B314" s="52" t="s">
        <v>2476</v>
      </c>
      <c r="C314" s="52" t="s">
        <v>1758</v>
      </c>
      <c r="D314" s="24" t="s">
        <v>1762</v>
      </c>
      <c r="E314" s="17" t="s">
        <v>2477</v>
      </c>
      <c r="F314" s="52">
        <v>28</v>
      </c>
      <c r="G314" s="52" t="s">
        <v>2401</v>
      </c>
      <c r="H314" s="17">
        <v>168</v>
      </c>
      <c r="I314" s="52" t="s">
        <v>2478</v>
      </c>
      <c r="J314" s="17" t="s">
        <v>37</v>
      </c>
      <c r="K314" s="52" t="s">
        <v>2479</v>
      </c>
      <c r="L314" s="52" t="s">
        <v>1761</v>
      </c>
      <c r="M314" s="52" t="s">
        <v>1760</v>
      </c>
      <c r="N314" s="54" t="s">
        <v>2480</v>
      </c>
      <c r="O314" s="52" t="s">
        <v>2481</v>
      </c>
      <c r="P314" s="21" t="s">
        <v>456</v>
      </c>
      <c r="Q314" s="21"/>
      <c r="R314" s="21" t="s">
        <v>1763</v>
      </c>
    </row>
    <row r="315" spans="1:18" ht="18" customHeight="1">
      <c r="A315" s="40">
        <v>318</v>
      </c>
      <c r="B315" s="52" t="s">
        <v>2482</v>
      </c>
      <c r="C315" s="52" t="s">
        <v>1807</v>
      </c>
      <c r="D315" s="24">
        <v>1086847219</v>
      </c>
      <c r="E315" s="17" t="s">
        <v>1814</v>
      </c>
      <c r="F315" s="52">
        <v>34</v>
      </c>
      <c r="G315" s="52" t="s">
        <v>441</v>
      </c>
      <c r="H315" s="17">
        <v>170</v>
      </c>
      <c r="I315" s="52" t="s">
        <v>453</v>
      </c>
      <c r="J315" s="17" t="s">
        <v>28</v>
      </c>
      <c r="K315" s="52" t="s">
        <v>2386</v>
      </c>
      <c r="L315" s="52" t="s">
        <v>1804</v>
      </c>
      <c r="M315" s="52" t="s">
        <v>456</v>
      </c>
      <c r="N315" s="54" t="s">
        <v>1815</v>
      </c>
      <c r="O315" s="52" t="s">
        <v>1816</v>
      </c>
      <c r="P315" s="21" t="s">
        <v>1614</v>
      </c>
      <c r="Q315" s="21" t="s">
        <v>2483</v>
      </c>
      <c r="R315" s="21" t="s">
        <v>1763</v>
      </c>
    </row>
    <row r="316" spans="1:18" ht="18" customHeight="1">
      <c r="A316" s="40">
        <v>319</v>
      </c>
      <c r="B316" s="52" t="s">
        <v>7</v>
      </c>
      <c r="C316" s="52" t="s">
        <v>1805</v>
      </c>
      <c r="D316" s="24">
        <v>1028231037</v>
      </c>
      <c r="E316" s="17" t="s">
        <v>2467</v>
      </c>
      <c r="F316" s="52">
        <v>31</v>
      </c>
      <c r="G316" s="52" t="s">
        <v>766</v>
      </c>
      <c r="H316" s="17">
        <v>161</v>
      </c>
      <c r="I316" s="52" t="s">
        <v>771</v>
      </c>
      <c r="J316" s="17" t="s">
        <v>76</v>
      </c>
      <c r="K316" s="52" t="s">
        <v>456</v>
      </c>
      <c r="L316" s="52" t="s">
        <v>2484</v>
      </c>
      <c r="M316" s="52" t="s">
        <v>456</v>
      </c>
      <c r="N316" s="54" t="s">
        <v>2485</v>
      </c>
      <c r="O316" s="52" t="s">
        <v>1817</v>
      </c>
      <c r="P316" s="21" t="s">
        <v>456</v>
      </c>
      <c r="Q316" s="21"/>
      <c r="R316" s="21" t="s">
        <v>1763</v>
      </c>
    </row>
    <row r="317" spans="1:18" ht="18" customHeight="1">
      <c r="A317" s="40">
        <v>320</v>
      </c>
      <c r="B317" s="52" t="s">
        <v>1148</v>
      </c>
      <c r="C317" s="52" t="s">
        <v>1808</v>
      </c>
      <c r="D317" s="24" t="s">
        <v>1818</v>
      </c>
      <c r="E317" s="17" t="s">
        <v>2486</v>
      </c>
      <c r="F317" s="52">
        <v>28</v>
      </c>
      <c r="G317" s="52" t="s">
        <v>2364</v>
      </c>
      <c r="H317" s="17">
        <v>169</v>
      </c>
      <c r="I317" s="52" t="s">
        <v>2487</v>
      </c>
      <c r="J317" s="17" t="s">
        <v>252</v>
      </c>
      <c r="K317" s="52" t="s">
        <v>1819</v>
      </c>
      <c r="L317" s="52" t="s">
        <v>2484</v>
      </c>
      <c r="M317" s="52" t="s">
        <v>456</v>
      </c>
      <c r="N317" s="54" t="s">
        <v>2488</v>
      </c>
      <c r="O317" s="52" t="s">
        <v>2489</v>
      </c>
      <c r="P317" s="21" t="s">
        <v>456</v>
      </c>
      <c r="Q317" s="21"/>
      <c r="R317" s="21" t="s">
        <v>1763</v>
      </c>
    </row>
    <row r="318" spans="1:18" ht="18" customHeight="1">
      <c r="A318" s="40">
        <v>321</v>
      </c>
      <c r="B318" s="52" t="s">
        <v>1148</v>
      </c>
      <c r="C318" s="52" t="s">
        <v>1809</v>
      </c>
      <c r="D318" s="24" t="s">
        <v>2490</v>
      </c>
      <c r="E318" s="17" t="s">
        <v>1820</v>
      </c>
      <c r="F318" s="52">
        <v>40</v>
      </c>
      <c r="G318" s="52" t="s">
        <v>444</v>
      </c>
      <c r="H318" s="17">
        <v>165</v>
      </c>
      <c r="I318" s="52" t="s">
        <v>455</v>
      </c>
      <c r="J318" s="17" t="s">
        <v>35</v>
      </c>
      <c r="K318" s="52" t="s">
        <v>2386</v>
      </c>
      <c r="L318" s="52" t="s">
        <v>1821</v>
      </c>
      <c r="M318" s="52" t="s">
        <v>456</v>
      </c>
      <c r="N318" s="54" t="s">
        <v>2491</v>
      </c>
      <c r="O318" s="52" t="s">
        <v>1822</v>
      </c>
      <c r="P318" s="21" t="s">
        <v>456</v>
      </c>
      <c r="Q318" s="21"/>
      <c r="R318" s="21" t="s">
        <v>1763</v>
      </c>
    </row>
    <row r="319" spans="1:18" ht="18" customHeight="1">
      <c r="A319" s="40">
        <v>322</v>
      </c>
      <c r="B319" s="52" t="s">
        <v>2482</v>
      </c>
      <c r="C319" s="52" t="s">
        <v>2492</v>
      </c>
      <c r="D319" s="24" t="s">
        <v>2493</v>
      </c>
      <c r="E319" s="17" t="s">
        <v>1823</v>
      </c>
      <c r="F319" s="52">
        <v>38</v>
      </c>
      <c r="G319" s="52" t="s">
        <v>438</v>
      </c>
      <c r="H319" s="17">
        <v>172</v>
      </c>
      <c r="I319" s="52" t="s">
        <v>763</v>
      </c>
      <c r="J319" s="17" t="s">
        <v>18</v>
      </c>
      <c r="K319" s="52" t="s">
        <v>2386</v>
      </c>
      <c r="L319" s="52" t="s">
        <v>2494</v>
      </c>
      <c r="M319" s="52" t="s">
        <v>456</v>
      </c>
      <c r="N319" s="54" t="s">
        <v>1825</v>
      </c>
      <c r="O319" s="52" t="s">
        <v>1826</v>
      </c>
      <c r="P319" s="21" t="s">
        <v>2386</v>
      </c>
      <c r="Q319" s="21"/>
      <c r="R319" s="21" t="s">
        <v>1763</v>
      </c>
    </row>
    <row r="320" spans="1:18" ht="18" customHeight="1">
      <c r="A320" s="40">
        <v>323</v>
      </c>
      <c r="B320" s="52" t="s">
        <v>7</v>
      </c>
      <c r="C320" s="52" t="s">
        <v>2495</v>
      </c>
      <c r="D320" s="24">
        <v>1072738155</v>
      </c>
      <c r="E320" s="17" t="s">
        <v>1827</v>
      </c>
      <c r="F320" s="52">
        <v>33</v>
      </c>
      <c r="G320" s="52" t="s">
        <v>440</v>
      </c>
      <c r="H320" s="17">
        <v>171</v>
      </c>
      <c r="I320" s="52" t="s">
        <v>2367</v>
      </c>
      <c r="J320" s="17" t="s">
        <v>59</v>
      </c>
      <c r="K320" s="52" t="s">
        <v>456</v>
      </c>
      <c r="L320" s="52" t="s">
        <v>1804</v>
      </c>
      <c r="M320" s="52" t="s">
        <v>1828</v>
      </c>
      <c r="N320" s="54" t="s">
        <v>2496</v>
      </c>
      <c r="O320" s="52" t="s">
        <v>1829</v>
      </c>
      <c r="P320" s="21" t="s">
        <v>456</v>
      </c>
      <c r="Q320" s="21"/>
      <c r="R320" s="21" t="s">
        <v>1763</v>
      </c>
    </row>
    <row r="321" spans="1:19" ht="18" customHeight="1">
      <c r="A321" s="40">
        <v>324</v>
      </c>
      <c r="B321" s="52" t="s">
        <v>1148</v>
      </c>
      <c r="C321" s="52" t="s">
        <v>2497</v>
      </c>
      <c r="D321" s="24">
        <v>1044179617</v>
      </c>
      <c r="E321" s="17" t="s">
        <v>1830</v>
      </c>
      <c r="F321" s="52">
        <v>32</v>
      </c>
      <c r="G321" s="52" t="s">
        <v>443</v>
      </c>
      <c r="H321" s="17">
        <v>168</v>
      </c>
      <c r="I321" s="52" t="s">
        <v>453</v>
      </c>
      <c r="J321" s="17" t="s">
        <v>66</v>
      </c>
      <c r="K321" s="52" t="s">
        <v>456</v>
      </c>
      <c r="L321" s="52" t="s">
        <v>1804</v>
      </c>
      <c r="M321" s="52" t="s">
        <v>2498</v>
      </c>
      <c r="N321" s="54" t="s">
        <v>1831</v>
      </c>
      <c r="O321" s="52" t="s">
        <v>1832</v>
      </c>
      <c r="P321" s="21" t="s">
        <v>1740</v>
      </c>
      <c r="Q321" s="21"/>
      <c r="R321" s="21" t="s">
        <v>1763</v>
      </c>
    </row>
    <row r="322" spans="1:19" ht="18" customHeight="1">
      <c r="A322" s="40">
        <v>325</v>
      </c>
      <c r="B322" s="52" t="s">
        <v>2499</v>
      </c>
      <c r="C322" s="52" t="s">
        <v>1810</v>
      </c>
      <c r="D322" s="24">
        <v>1071367819</v>
      </c>
      <c r="E322" s="17" t="s">
        <v>1833</v>
      </c>
      <c r="F322" s="52">
        <v>32</v>
      </c>
      <c r="G322" s="52" t="s">
        <v>2364</v>
      </c>
      <c r="H322" s="17">
        <v>173</v>
      </c>
      <c r="I322" s="52" t="s">
        <v>760</v>
      </c>
      <c r="J322" s="17" t="s">
        <v>28</v>
      </c>
      <c r="K322" s="52" t="s">
        <v>456</v>
      </c>
      <c r="L322" s="52" t="s">
        <v>1804</v>
      </c>
      <c r="M322" s="52" t="s">
        <v>1828</v>
      </c>
      <c r="N322" s="54" t="s">
        <v>1834</v>
      </c>
      <c r="O322" s="52" t="s">
        <v>2500</v>
      </c>
      <c r="P322" s="21" t="s">
        <v>456</v>
      </c>
      <c r="Q322" s="21"/>
      <c r="R322" s="21" t="s">
        <v>2501</v>
      </c>
    </row>
    <row r="323" spans="1:19" ht="18" customHeight="1">
      <c r="A323" s="40">
        <v>326</v>
      </c>
      <c r="B323" s="52" t="s">
        <v>7</v>
      </c>
      <c r="C323" s="52" t="s">
        <v>1811</v>
      </c>
      <c r="D323" s="24">
        <v>1029311593</v>
      </c>
      <c r="E323" s="17" t="s">
        <v>1835</v>
      </c>
      <c r="F323" s="52">
        <v>31</v>
      </c>
      <c r="G323" s="52" t="s">
        <v>457</v>
      </c>
      <c r="H323" s="17">
        <v>175</v>
      </c>
      <c r="I323" s="52" t="s">
        <v>447</v>
      </c>
      <c r="J323" s="17" t="s">
        <v>12</v>
      </c>
      <c r="K323" s="52" t="s">
        <v>456</v>
      </c>
      <c r="L323" s="52" t="s">
        <v>2484</v>
      </c>
      <c r="M323" s="52" t="s">
        <v>456</v>
      </c>
      <c r="N323" s="54" t="s">
        <v>2502</v>
      </c>
      <c r="O323" s="52" t="s">
        <v>1573</v>
      </c>
      <c r="P323" s="21" t="s">
        <v>2386</v>
      </c>
      <c r="Q323" s="21"/>
      <c r="R323" s="21" t="s">
        <v>2503</v>
      </c>
    </row>
    <row r="324" spans="1:19" ht="18" customHeight="1">
      <c r="A324" s="40">
        <v>327</v>
      </c>
      <c r="B324" s="52" t="s">
        <v>2499</v>
      </c>
      <c r="C324" s="52" t="s">
        <v>1812</v>
      </c>
      <c r="D324" s="24">
        <v>1052479508</v>
      </c>
      <c r="E324" s="17" t="s">
        <v>2504</v>
      </c>
      <c r="F324" s="52">
        <v>28</v>
      </c>
      <c r="G324" s="52" t="s">
        <v>2393</v>
      </c>
      <c r="H324" s="17">
        <v>171</v>
      </c>
      <c r="I324" s="52" t="s">
        <v>447</v>
      </c>
      <c r="J324" s="17" t="s">
        <v>1806</v>
      </c>
      <c r="K324" s="52" t="s">
        <v>2505</v>
      </c>
      <c r="L324" s="52" t="s">
        <v>1804</v>
      </c>
      <c r="M324" s="52" t="s">
        <v>456</v>
      </c>
      <c r="N324" s="54" t="s">
        <v>1836</v>
      </c>
      <c r="O324" s="52"/>
      <c r="P324" s="21" t="s">
        <v>2505</v>
      </c>
      <c r="Q324" s="21"/>
      <c r="R324" s="21" t="s">
        <v>1763</v>
      </c>
    </row>
    <row r="325" spans="1:19" ht="18" customHeight="1">
      <c r="A325" s="40">
        <v>328</v>
      </c>
      <c r="B325" s="52" t="s">
        <v>2506</v>
      </c>
      <c r="C325" s="52" t="s">
        <v>1813</v>
      </c>
      <c r="D325" s="24">
        <v>1055473127</v>
      </c>
      <c r="E325" s="17" t="s">
        <v>2507</v>
      </c>
      <c r="F325" s="52">
        <v>32</v>
      </c>
      <c r="G325" s="52" t="s">
        <v>766</v>
      </c>
      <c r="H325" s="17">
        <v>165</v>
      </c>
      <c r="I325" s="52" t="s">
        <v>2508</v>
      </c>
      <c r="J325" s="17" t="s">
        <v>37</v>
      </c>
      <c r="K325" s="52" t="s">
        <v>456</v>
      </c>
      <c r="L325" s="52" t="s">
        <v>2484</v>
      </c>
      <c r="M325" s="52" t="s">
        <v>2386</v>
      </c>
      <c r="N325" s="54" t="s">
        <v>2509</v>
      </c>
      <c r="O325" s="52" t="s">
        <v>1837</v>
      </c>
      <c r="P325" s="21" t="s">
        <v>456</v>
      </c>
      <c r="Q325" s="21"/>
      <c r="R325" s="21" t="s">
        <v>1763</v>
      </c>
    </row>
    <row r="326" spans="1:19" ht="18" customHeight="1">
      <c r="A326" s="40">
        <v>329</v>
      </c>
      <c r="B326" s="52" t="s">
        <v>7</v>
      </c>
      <c r="C326" s="52" t="s">
        <v>2510</v>
      </c>
      <c r="D326" s="24" t="s">
        <v>2511</v>
      </c>
      <c r="E326" s="17" t="s">
        <v>1838</v>
      </c>
      <c r="F326" s="52">
        <v>35</v>
      </c>
      <c r="G326" s="52" t="s">
        <v>766</v>
      </c>
      <c r="H326" s="17">
        <v>173</v>
      </c>
      <c r="I326" s="52" t="s">
        <v>451</v>
      </c>
      <c r="J326" s="17" t="s">
        <v>12</v>
      </c>
      <c r="K326" s="52" t="s">
        <v>1839</v>
      </c>
      <c r="L326" s="52" t="s">
        <v>2512</v>
      </c>
      <c r="M326" s="77" t="s">
        <v>1828</v>
      </c>
      <c r="N326" s="54" t="s">
        <v>2513</v>
      </c>
      <c r="O326" s="52" t="s">
        <v>2514</v>
      </c>
      <c r="P326" s="21" t="s">
        <v>456</v>
      </c>
      <c r="Q326" s="21"/>
      <c r="R326" s="21" t="s">
        <v>2501</v>
      </c>
    </row>
    <row r="327" spans="1:19" ht="18" customHeight="1">
      <c r="A327" s="40">
        <v>330</v>
      </c>
      <c r="B327" s="52" t="s">
        <v>1759</v>
      </c>
      <c r="C327" s="52" t="s">
        <v>1850</v>
      </c>
      <c r="D327" s="24" t="s">
        <v>2515</v>
      </c>
      <c r="E327" s="17" t="s">
        <v>2516</v>
      </c>
      <c r="F327" s="52">
        <v>30</v>
      </c>
      <c r="G327" s="52" t="s">
        <v>2382</v>
      </c>
      <c r="H327" s="17">
        <v>171</v>
      </c>
      <c r="I327" s="52" t="s">
        <v>2367</v>
      </c>
      <c r="J327" s="17" t="s">
        <v>23</v>
      </c>
      <c r="K327" s="52" t="s">
        <v>2479</v>
      </c>
      <c r="L327" s="52" t="s">
        <v>2517</v>
      </c>
      <c r="M327" s="77" t="s">
        <v>2479</v>
      </c>
      <c r="N327" s="54" t="s">
        <v>2518</v>
      </c>
      <c r="O327" s="52" t="s">
        <v>2519</v>
      </c>
      <c r="P327" s="21" t="s">
        <v>1864</v>
      </c>
      <c r="Q327" s="21" t="s">
        <v>1849</v>
      </c>
      <c r="R327" s="21" t="s">
        <v>1763</v>
      </c>
    </row>
    <row r="328" spans="1:19" ht="18" customHeight="1">
      <c r="A328" s="40">
        <v>331</v>
      </c>
      <c r="B328" s="52" t="s">
        <v>1148</v>
      </c>
      <c r="C328" s="52" t="s">
        <v>2520</v>
      </c>
      <c r="D328" s="24"/>
      <c r="E328" s="17" t="s">
        <v>1845</v>
      </c>
      <c r="F328" s="52">
        <v>27</v>
      </c>
      <c r="G328" s="52" t="s">
        <v>439</v>
      </c>
      <c r="H328" s="17">
        <v>164</v>
      </c>
      <c r="I328" s="52" t="s">
        <v>2487</v>
      </c>
      <c r="J328" s="17" t="s">
        <v>35</v>
      </c>
      <c r="K328" s="52" t="s">
        <v>2521</v>
      </c>
      <c r="L328" s="52" t="s">
        <v>1804</v>
      </c>
      <c r="M328" s="77" t="s">
        <v>2498</v>
      </c>
      <c r="N328" s="54" t="s">
        <v>1865</v>
      </c>
      <c r="O328" s="52" t="s">
        <v>1866</v>
      </c>
      <c r="P328" s="21" t="s">
        <v>1867</v>
      </c>
      <c r="Q328" s="21"/>
      <c r="R328" s="21"/>
    </row>
    <row r="329" spans="1:19" ht="18" customHeight="1">
      <c r="A329" s="40">
        <v>332</v>
      </c>
      <c r="B329" s="52" t="s">
        <v>2522</v>
      </c>
      <c r="C329" s="52" t="s">
        <v>2523</v>
      </c>
      <c r="D329" s="24" t="s">
        <v>2524</v>
      </c>
      <c r="E329" s="17" t="s">
        <v>2525</v>
      </c>
      <c r="F329" s="52">
        <v>31</v>
      </c>
      <c r="G329" s="52" t="s">
        <v>2526</v>
      </c>
      <c r="H329" s="17">
        <v>161</v>
      </c>
      <c r="I329" s="52" t="s">
        <v>2368</v>
      </c>
      <c r="J329" s="17" t="s">
        <v>13</v>
      </c>
      <c r="K329" s="52" t="s">
        <v>456</v>
      </c>
      <c r="L329" s="52" t="s">
        <v>2527</v>
      </c>
      <c r="M329" s="77" t="s">
        <v>29</v>
      </c>
      <c r="N329" s="54" t="s">
        <v>2528</v>
      </c>
      <c r="O329" s="52" t="s">
        <v>2529</v>
      </c>
      <c r="P329" s="21" t="s">
        <v>456</v>
      </c>
      <c r="Q329" s="21"/>
      <c r="R329" s="21" t="s">
        <v>2503</v>
      </c>
    </row>
    <row r="330" spans="1:19" ht="18" customHeight="1">
      <c r="A330" s="40">
        <v>333</v>
      </c>
      <c r="B330" s="52" t="s">
        <v>1148</v>
      </c>
      <c r="C330" s="52" t="s">
        <v>1868</v>
      </c>
      <c r="D330" s="24" t="s">
        <v>1869</v>
      </c>
      <c r="E330" s="17" t="s">
        <v>2530</v>
      </c>
      <c r="F330" s="52">
        <v>29</v>
      </c>
      <c r="G330" s="52" t="s">
        <v>2526</v>
      </c>
      <c r="H330" s="17">
        <v>157</v>
      </c>
      <c r="I330" s="52" t="s">
        <v>2368</v>
      </c>
      <c r="J330" s="17" t="s">
        <v>37</v>
      </c>
      <c r="K330" s="52" t="s">
        <v>2531</v>
      </c>
      <c r="L330" s="52" t="s">
        <v>2532</v>
      </c>
      <c r="M330" s="77" t="s">
        <v>456</v>
      </c>
      <c r="N330" s="54" t="s">
        <v>1870</v>
      </c>
      <c r="O330" s="52" t="s">
        <v>2533</v>
      </c>
      <c r="P330" s="21" t="s">
        <v>456</v>
      </c>
      <c r="Q330" s="21" t="s">
        <v>1860</v>
      </c>
      <c r="R330" s="21" t="s">
        <v>1763</v>
      </c>
    </row>
    <row r="331" spans="1:19" ht="18" customHeight="1">
      <c r="A331" s="40">
        <v>334</v>
      </c>
      <c r="B331" s="52" t="s">
        <v>7</v>
      </c>
      <c r="C331" s="52" t="s">
        <v>2534</v>
      </c>
      <c r="D331" s="24">
        <v>1030866210</v>
      </c>
      <c r="E331" s="17" t="s">
        <v>2535</v>
      </c>
      <c r="F331" s="52">
        <v>30</v>
      </c>
      <c r="G331" s="52" t="s">
        <v>440</v>
      </c>
      <c r="H331" s="17">
        <v>170</v>
      </c>
      <c r="I331" s="52" t="s">
        <v>456</v>
      </c>
      <c r="J331" s="17" t="s">
        <v>37</v>
      </c>
      <c r="K331" s="52" t="s">
        <v>456</v>
      </c>
      <c r="L331" s="52" t="s">
        <v>2512</v>
      </c>
      <c r="M331" s="77" t="s">
        <v>456</v>
      </c>
      <c r="N331" s="54" t="s">
        <v>2536</v>
      </c>
      <c r="O331" s="52"/>
      <c r="P331" s="21" t="s">
        <v>456</v>
      </c>
      <c r="Q331" s="21"/>
      <c r="R331" s="21" t="s">
        <v>2503</v>
      </c>
    </row>
    <row r="332" spans="1:19" ht="18" customHeight="1">
      <c r="A332" s="40">
        <v>335</v>
      </c>
      <c r="B332" s="52" t="s">
        <v>2506</v>
      </c>
      <c r="C332" s="52" t="s">
        <v>1890</v>
      </c>
      <c r="D332" s="24" t="s">
        <v>1872</v>
      </c>
      <c r="E332" s="17" t="s">
        <v>1891</v>
      </c>
      <c r="F332" s="52">
        <v>30</v>
      </c>
      <c r="G332" s="52" t="s">
        <v>2382</v>
      </c>
      <c r="H332" s="17">
        <v>184</v>
      </c>
      <c r="I332" s="52" t="s">
        <v>1622</v>
      </c>
      <c r="J332" s="17" t="s">
        <v>18</v>
      </c>
      <c r="K332" s="52" t="s">
        <v>2537</v>
      </c>
      <c r="L332" s="52" t="s">
        <v>1892</v>
      </c>
      <c r="M332" s="77" t="s">
        <v>456</v>
      </c>
      <c r="N332" s="54" t="s">
        <v>2538</v>
      </c>
      <c r="O332" s="52" t="s">
        <v>1876</v>
      </c>
      <c r="P332" s="21" t="s">
        <v>456</v>
      </c>
      <c r="Q332" s="21"/>
      <c r="R332" s="21" t="s">
        <v>2503</v>
      </c>
      <c r="S332" s="1"/>
    </row>
    <row r="333" spans="1:19" ht="18" customHeight="1">
      <c r="A333" s="40">
        <v>336</v>
      </c>
      <c r="B333" s="52" t="s">
        <v>7</v>
      </c>
      <c r="C333" s="52" t="s">
        <v>2539</v>
      </c>
      <c r="D333" s="24">
        <v>1034539122</v>
      </c>
      <c r="E333" s="17" t="s">
        <v>1893</v>
      </c>
      <c r="F333" s="52">
        <v>35</v>
      </c>
      <c r="G333" s="52" t="s">
        <v>2526</v>
      </c>
      <c r="H333" s="17">
        <v>177</v>
      </c>
      <c r="I333" s="52" t="s">
        <v>2540</v>
      </c>
      <c r="J333" s="17" t="s">
        <v>252</v>
      </c>
      <c r="K333" s="52" t="s">
        <v>1894</v>
      </c>
      <c r="L333" s="52" t="s">
        <v>1892</v>
      </c>
      <c r="M333" s="77" t="s">
        <v>456</v>
      </c>
      <c r="N333" s="54" t="s">
        <v>1895</v>
      </c>
      <c r="O333" s="52" t="s">
        <v>1880</v>
      </c>
      <c r="P333" s="21" t="s">
        <v>2505</v>
      </c>
      <c r="Q333" s="21"/>
      <c r="R333" s="21" t="s">
        <v>1763</v>
      </c>
      <c r="S333" s="1"/>
    </row>
    <row r="334" spans="1:19" ht="18" customHeight="1">
      <c r="A334" s="40">
        <v>337</v>
      </c>
      <c r="B334" s="52" t="s">
        <v>2522</v>
      </c>
      <c r="C334" s="52" t="s">
        <v>2541</v>
      </c>
      <c r="D334" s="24">
        <v>1041316328</v>
      </c>
      <c r="E334" s="17" t="s">
        <v>2542</v>
      </c>
      <c r="F334" s="52">
        <v>38</v>
      </c>
      <c r="G334" s="52" t="s">
        <v>2543</v>
      </c>
      <c r="H334" s="17">
        <v>157</v>
      </c>
      <c r="I334" s="52" t="s">
        <v>1120</v>
      </c>
      <c r="J334" s="17" t="s">
        <v>18</v>
      </c>
      <c r="K334" s="52" t="s">
        <v>2505</v>
      </c>
      <c r="L334" s="52" t="s">
        <v>2512</v>
      </c>
      <c r="M334" s="77" t="s">
        <v>29</v>
      </c>
      <c r="N334" s="54" t="s">
        <v>2544</v>
      </c>
      <c r="O334" s="52" t="s">
        <v>1884</v>
      </c>
      <c r="P334" s="21" t="s">
        <v>2505</v>
      </c>
      <c r="Q334" s="21"/>
      <c r="R334" s="21" t="s">
        <v>2503</v>
      </c>
      <c r="S334" s="1"/>
    </row>
    <row r="335" spans="1:19" ht="18" customHeight="1">
      <c r="A335" s="40">
        <v>338</v>
      </c>
      <c r="B335" s="52" t="s">
        <v>2506</v>
      </c>
      <c r="C335" s="52" t="s">
        <v>2545</v>
      </c>
      <c r="D335" s="24" t="s">
        <v>1886</v>
      </c>
      <c r="E335" s="17" t="s">
        <v>2546</v>
      </c>
      <c r="F335" s="52">
        <v>32</v>
      </c>
      <c r="G335" s="52" t="s">
        <v>766</v>
      </c>
      <c r="H335" s="17">
        <v>171</v>
      </c>
      <c r="I335" s="52" t="s">
        <v>451</v>
      </c>
      <c r="J335" s="17" t="s">
        <v>30</v>
      </c>
      <c r="K335" s="52" t="s">
        <v>456</v>
      </c>
      <c r="L335" s="52" t="s">
        <v>1824</v>
      </c>
      <c r="M335" s="77" t="s">
        <v>2505</v>
      </c>
      <c r="N335" s="54" t="s">
        <v>2547</v>
      </c>
      <c r="O335" s="52" t="s">
        <v>1889</v>
      </c>
      <c r="P335" s="21" t="s">
        <v>456</v>
      </c>
      <c r="Q335" s="21" t="s">
        <v>1287</v>
      </c>
      <c r="R335" s="21" t="s">
        <v>2503</v>
      </c>
      <c r="S335" s="1"/>
    </row>
    <row r="336" spans="1:19" ht="18" customHeight="1">
      <c r="A336" s="40">
        <v>339</v>
      </c>
      <c r="B336" s="52" t="s">
        <v>1148</v>
      </c>
      <c r="C336" s="52" t="s">
        <v>2548</v>
      </c>
      <c r="D336" s="24">
        <v>1095000102</v>
      </c>
      <c r="E336" s="17" t="s">
        <v>2549</v>
      </c>
      <c r="F336" s="52">
        <v>34</v>
      </c>
      <c r="G336" s="52" t="s">
        <v>443</v>
      </c>
      <c r="H336" s="17">
        <v>163</v>
      </c>
      <c r="I336" s="52" t="s">
        <v>452</v>
      </c>
      <c r="J336" s="17" t="s">
        <v>59</v>
      </c>
      <c r="K336" s="52" t="s">
        <v>1952</v>
      </c>
      <c r="L336" s="52" t="s">
        <v>2527</v>
      </c>
      <c r="M336" s="77" t="s">
        <v>456</v>
      </c>
      <c r="N336" s="54" t="s">
        <v>2550</v>
      </c>
      <c r="O336" s="52" t="s">
        <v>1928</v>
      </c>
      <c r="P336" s="21" t="s">
        <v>2551</v>
      </c>
      <c r="Q336" s="21" t="s">
        <v>1929</v>
      </c>
      <c r="R336" s="21" t="s">
        <v>1763</v>
      </c>
    </row>
    <row r="337" spans="1:19" ht="18" customHeight="1">
      <c r="A337" s="40">
        <v>340</v>
      </c>
      <c r="B337" s="52" t="s">
        <v>2506</v>
      </c>
      <c r="C337" s="52" t="s">
        <v>1953</v>
      </c>
      <c r="D337" s="24">
        <v>1023839674</v>
      </c>
      <c r="E337" s="17" t="s">
        <v>1954</v>
      </c>
      <c r="F337" s="52">
        <v>27</v>
      </c>
      <c r="G337" s="52" t="s">
        <v>2552</v>
      </c>
      <c r="H337" s="17">
        <v>183</v>
      </c>
      <c r="I337" s="52" t="s">
        <v>2553</v>
      </c>
      <c r="J337" s="17" t="s">
        <v>66</v>
      </c>
      <c r="K337" s="52" t="s">
        <v>456</v>
      </c>
      <c r="L337" s="52" t="s">
        <v>1824</v>
      </c>
      <c r="M337" s="77" t="s">
        <v>2505</v>
      </c>
      <c r="N337" s="54"/>
      <c r="O337" s="52" t="s">
        <v>1911</v>
      </c>
      <c r="P337" s="21" t="s">
        <v>1955</v>
      </c>
      <c r="Q337" s="21" t="s">
        <v>1913</v>
      </c>
      <c r="R337" s="21"/>
    </row>
    <row r="338" spans="1:19" ht="18" customHeight="1">
      <c r="A338" s="40">
        <v>341</v>
      </c>
      <c r="B338" s="52" t="s">
        <v>2522</v>
      </c>
      <c r="C338" s="52" t="s">
        <v>2554</v>
      </c>
      <c r="D338" s="24">
        <v>1075654966</v>
      </c>
      <c r="E338" s="17" t="s">
        <v>2555</v>
      </c>
      <c r="F338" s="52">
        <v>27</v>
      </c>
      <c r="G338" s="52" t="s">
        <v>2556</v>
      </c>
      <c r="H338" s="17">
        <v>167</v>
      </c>
      <c r="I338" s="52" t="s">
        <v>454</v>
      </c>
      <c r="J338" s="17" t="s">
        <v>59</v>
      </c>
      <c r="K338" s="52" t="s">
        <v>2557</v>
      </c>
      <c r="L338" s="52" t="s">
        <v>1804</v>
      </c>
      <c r="M338" s="77" t="s">
        <v>57</v>
      </c>
      <c r="N338" s="54" t="s">
        <v>2558</v>
      </c>
      <c r="O338" s="52" t="s">
        <v>1917</v>
      </c>
      <c r="P338" s="21" t="s">
        <v>2559</v>
      </c>
      <c r="Q338" s="21"/>
      <c r="R338" s="21" t="s">
        <v>2503</v>
      </c>
    </row>
    <row r="339" spans="1:19" ht="18" customHeight="1">
      <c r="A339" s="40">
        <v>342</v>
      </c>
      <c r="B339" s="52" t="s">
        <v>1148</v>
      </c>
      <c r="C339" s="52" t="s">
        <v>1956</v>
      </c>
      <c r="D339" s="24">
        <v>1053831986</v>
      </c>
      <c r="E339" s="17" t="s">
        <v>1957</v>
      </c>
      <c r="F339" s="52">
        <v>41</v>
      </c>
      <c r="G339" s="52" t="s">
        <v>444</v>
      </c>
      <c r="H339" s="17">
        <v>162</v>
      </c>
      <c r="I339" s="52" t="s">
        <v>2376</v>
      </c>
      <c r="J339" s="17" t="s">
        <v>37</v>
      </c>
      <c r="K339" s="52" t="s">
        <v>456</v>
      </c>
      <c r="L339" s="52" t="s">
        <v>2560</v>
      </c>
      <c r="M339" s="77" t="s">
        <v>29</v>
      </c>
      <c r="N339" s="54" t="s">
        <v>1958</v>
      </c>
      <c r="O339" s="52" t="s">
        <v>1921</v>
      </c>
      <c r="P339" s="21" t="s">
        <v>2505</v>
      </c>
      <c r="Q339" s="21" t="s">
        <v>1922</v>
      </c>
      <c r="R339" s="21" t="s">
        <v>1763</v>
      </c>
    </row>
    <row r="340" spans="1:19" ht="18" customHeight="1">
      <c r="A340" s="40">
        <v>343</v>
      </c>
      <c r="B340" s="52" t="s">
        <v>2506</v>
      </c>
      <c r="C340" s="52" t="s">
        <v>2561</v>
      </c>
      <c r="D340" s="24" t="s">
        <v>1924</v>
      </c>
      <c r="E340" s="17" t="s">
        <v>2562</v>
      </c>
      <c r="F340" s="52">
        <v>39</v>
      </c>
      <c r="G340" s="52" t="s">
        <v>438</v>
      </c>
      <c r="H340" s="17">
        <v>176</v>
      </c>
      <c r="I340" s="52" t="s">
        <v>447</v>
      </c>
      <c r="J340" s="17" t="s">
        <v>12</v>
      </c>
      <c r="K340" s="52" t="s">
        <v>2505</v>
      </c>
      <c r="L340" s="52" t="s">
        <v>2512</v>
      </c>
      <c r="M340" s="77" t="s">
        <v>456</v>
      </c>
      <c r="N340" s="54" t="s">
        <v>1959</v>
      </c>
      <c r="O340" s="52" t="s">
        <v>1927</v>
      </c>
      <c r="P340" s="21" t="s">
        <v>2505</v>
      </c>
      <c r="Q340" s="21"/>
      <c r="R340" s="21" t="s">
        <v>1763</v>
      </c>
    </row>
    <row r="341" spans="1:19" ht="18" customHeight="1">
      <c r="A341" s="40">
        <v>344</v>
      </c>
      <c r="B341" s="52" t="s">
        <v>2522</v>
      </c>
      <c r="C341" s="52" t="s">
        <v>2563</v>
      </c>
      <c r="D341" s="24">
        <v>1040123147</v>
      </c>
      <c r="E341" s="17" t="s">
        <v>2564</v>
      </c>
      <c r="F341" s="52">
        <v>30</v>
      </c>
      <c r="G341" s="52" t="s">
        <v>2565</v>
      </c>
      <c r="H341" s="17">
        <v>169</v>
      </c>
      <c r="I341" s="52" t="s">
        <v>2566</v>
      </c>
      <c r="J341" s="17" t="s">
        <v>18</v>
      </c>
      <c r="K341" s="52" t="s">
        <v>2386</v>
      </c>
      <c r="L341" s="52" t="s">
        <v>1804</v>
      </c>
      <c r="M341" s="77" t="s">
        <v>456</v>
      </c>
      <c r="N341" s="54" t="s">
        <v>2567</v>
      </c>
      <c r="O341" s="52" t="s">
        <v>1933</v>
      </c>
      <c r="P341" s="21" t="s">
        <v>2568</v>
      </c>
      <c r="Q341" s="21" t="s">
        <v>1934</v>
      </c>
      <c r="R341" s="21" t="s">
        <v>1763</v>
      </c>
    </row>
    <row r="342" spans="1:19" ht="18" customHeight="1">
      <c r="A342" s="40">
        <v>345</v>
      </c>
      <c r="B342" s="52" t="s">
        <v>2499</v>
      </c>
      <c r="C342" s="52" t="s">
        <v>1961</v>
      </c>
      <c r="D342" s="24">
        <v>1090405757</v>
      </c>
      <c r="E342" s="17" t="s">
        <v>2569</v>
      </c>
      <c r="F342" s="52">
        <v>34</v>
      </c>
      <c r="G342" s="52" t="s">
        <v>439</v>
      </c>
      <c r="H342" s="17">
        <v>171</v>
      </c>
      <c r="I342" s="52" t="s">
        <v>451</v>
      </c>
      <c r="J342" s="17" t="s">
        <v>68</v>
      </c>
      <c r="K342" s="52" t="s">
        <v>2386</v>
      </c>
      <c r="L342" s="52" t="s">
        <v>1804</v>
      </c>
      <c r="M342" s="77" t="s">
        <v>456</v>
      </c>
      <c r="N342" s="54" t="s">
        <v>2570</v>
      </c>
      <c r="O342" s="52" t="s">
        <v>1938</v>
      </c>
      <c r="P342" s="21" t="s">
        <v>2386</v>
      </c>
      <c r="Q342" s="21"/>
      <c r="R342" s="21" t="s">
        <v>2501</v>
      </c>
    </row>
    <row r="343" spans="1:19" ht="18" customHeight="1">
      <c r="A343" s="40">
        <v>346</v>
      </c>
      <c r="B343" s="52" t="s">
        <v>2506</v>
      </c>
      <c r="C343" s="52" t="s">
        <v>2571</v>
      </c>
      <c r="D343" s="24">
        <v>1085922571</v>
      </c>
      <c r="E343" s="17" t="s">
        <v>2572</v>
      </c>
      <c r="F343" s="52">
        <v>36</v>
      </c>
      <c r="G343" s="52" t="s">
        <v>2526</v>
      </c>
      <c r="H343" s="17">
        <v>174</v>
      </c>
      <c r="I343" s="52" t="s">
        <v>2367</v>
      </c>
      <c r="J343" s="17" t="s">
        <v>19</v>
      </c>
      <c r="K343" s="52" t="s">
        <v>456</v>
      </c>
      <c r="L343" s="52" t="s">
        <v>1804</v>
      </c>
      <c r="M343" s="77" t="s">
        <v>29</v>
      </c>
      <c r="N343" s="54" t="s">
        <v>1962</v>
      </c>
      <c r="O343" s="52" t="s">
        <v>1942</v>
      </c>
      <c r="P343" s="21" t="s">
        <v>2505</v>
      </c>
      <c r="Q343" s="21"/>
      <c r="R343" s="21" t="s">
        <v>2503</v>
      </c>
    </row>
    <row r="344" spans="1:19" ht="18" customHeight="1">
      <c r="A344" s="40">
        <v>347</v>
      </c>
      <c r="B344" s="52" t="s">
        <v>2522</v>
      </c>
      <c r="C344" s="52" t="s">
        <v>1963</v>
      </c>
      <c r="D344" s="24">
        <v>1074272589</v>
      </c>
      <c r="E344" s="17" t="s">
        <v>2573</v>
      </c>
      <c r="F344" s="52">
        <v>31</v>
      </c>
      <c r="G344" s="52" t="s">
        <v>441</v>
      </c>
      <c r="H344" s="17">
        <v>153</v>
      </c>
      <c r="I344" s="52" t="s">
        <v>1120</v>
      </c>
      <c r="J344" s="17" t="s">
        <v>28</v>
      </c>
      <c r="K344" s="52" t="s">
        <v>456</v>
      </c>
      <c r="L344" s="52" t="s">
        <v>1804</v>
      </c>
      <c r="M344" s="77" t="s">
        <v>2386</v>
      </c>
      <c r="N344" s="54" t="s">
        <v>1964</v>
      </c>
      <c r="O344" s="52"/>
      <c r="P344" s="21" t="s">
        <v>2574</v>
      </c>
      <c r="Q344" s="21"/>
      <c r="R344" s="21" t="s">
        <v>1763</v>
      </c>
    </row>
    <row r="345" spans="1:19" ht="18" customHeight="1">
      <c r="A345" s="40">
        <v>348</v>
      </c>
      <c r="B345" s="52" t="s">
        <v>2482</v>
      </c>
      <c r="C345" s="52" t="s">
        <v>2575</v>
      </c>
      <c r="D345" s="24">
        <v>1029985945</v>
      </c>
      <c r="E345" s="17" t="s">
        <v>2576</v>
      </c>
      <c r="F345" s="52">
        <v>28</v>
      </c>
      <c r="G345" s="52" t="s">
        <v>2556</v>
      </c>
      <c r="H345" s="17">
        <v>163</v>
      </c>
      <c r="I345" s="52" t="s">
        <v>2487</v>
      </c>
      <c r="J345" s="17" t="s">
        <v>35</v>
      </c>
      <c r="K345" s="52" t="s">
        <v>2577</v>
      </c>
      <c r="L345" s="52" t="s">
        <v>1804</v>
      </c>
      <c r="M345" s="77" t="s">
        <v>29</v>
      </c>
      <c r="N345" s="54" t="s">
        <v>2578</v>
      </c>
      <c r="O345" s="52" t="s">
        <v>1950</v>
      </c>
      <c r="P345" s="21" t="s">
        <v>1960</v>
      </c>
      <c r="Q345" s="21" t="s">
        <v>1951</v>
      </c>
      <c r="R345" s="21" t="s">
        <v>2503</v>
      </c>
    </row>
    <row r="346" spans="1:19" ht="18" customHeight="1">
      <c r="A346" s="40">
        <v>349</v>
      </c>
      <c r="B346" s="52" t="s">
        <v>2522</v>
      </c>
      <c r="C346" s="52" t="s">
        <v>1976</v>
      </c>
      <c r="D346" s="24">
        <v>1030530749</v>
      </c>
      <c r="E346" s="17" t="s">
        <v>2579</v>
      </c>
      <c r="F346" s="52">
        <v>29</v>
      </c>
      <c r="G346" s="52" t="s">
        <v>2526</v>
      </c>
      <c r="H346" s="17">
        <v>169</v>
      </c>
      <c r="I346" s="52" t="s">
        <v>2378</v>
      </c>
      <c r="J346" s="17" t="s">
        <v>1768</v>
      </c>
      <c r="K346" s="52" t="s">
        <v>456</v>
      </c>
      <c r="L346" s="52" t="s">
        <v>2512</v>
      </c>
      <c r="M346" s="77" t="s">
        <v>29</v>
      </c>
      <c r="N346" s="54" t="s">
        <v>2580</v>
      </c>
      <c r="O346" s="52" t="s">
        <v>1975</v>
      </c>
      <c r="P346" s="21" t="s">
        <v>2505</v>
      </c>
      <c r="Q346" s="21"/>
      <c r="R346" s="21" t="s">
        <v>1763</v>
      </c>
    </row>
    <row r="347" spans="1:19" ht="18" customHeight="1">
      <c r="A347" s="40">
        <v>350</v>
      </c>
      <c r="B347" s="52" t="s">
        <v>2581</v>
      </c>
      <c r="C347" s="52" t="s">
        <v>1989</v>
      </c>
      <c r="D347" s="24" t="s">
        <v>2582</v>
      </c>
      <c r="E347" s="17" t="s">
        <v>2583</v>
      </c>
      <c r="F347" s="52">
        <v>26</v>
      </c>
      <c r="G347" s="52" t="s">
        <v>2382</v>
      </c>
      <c r="H347" s="17">
        <v>164</v>
      </c>
      <c r="I347" s="52" t="s">
        <v>453</v>
      </c>
      <c r="J347" s="17" t="s">
        <v>2584</v>
      </c>
      <c r="K347" s="52" t="s">
        <v>1990</v>
      </c>
      <c r="L347" s="52" t="s">
        <v>1761</v>
      </c>
      <c r="M347" s="77" t="s">
        <v>2498</v>
      </c>
      <c r="N347" s="54" t="s">
        <v>1991</v>
      </c>
      <c r="O347" s="52" t="s">
        <v>2585</v>
      </c>
      <c r="P347" s="21" t="s">
        <v>456</v>
      </c>
      <c r="Q347" s="21"/>
      <c r="R347" s="21" t="s">
        <v>1763</v>
      </c>
      <c r="S347" s="40"/>
    </row>
    <row r="348" spans="1:19" ht="18" customHeight="1">
      <c r="A348" s="40">
        <v>351</v>
      </c>
      <c r="B348" s="52" t="s">
        <v>2586</v>
      </c>
      <c r="C348" s="52" t="s">
        <v>1998</v>
      </c>
      <c r="D348" s="24" t="s">
        <v>2587</v>
      </c>
      <c r="E348" s="17" t="s">
        <v>2588</v>
      </c>
      <c r="F348" s="52">
        <v>39</v>
      </c>
      <c r="G348" s="52" t="s">
        <v>2589</v>
      </c>
      <c r="H348" s="17">
        <v>169</v>
      </c>
      <c r="I348" s="52" t="s">
        <v>453</v>
      </c>
      <c r="J348" s="17" t="s">
        <v>1765</v>
      </c>
      <c r="K348" s="52" t="s">
        <v>2590</v>
      </c>
      <c r="L348" s="52" t="s">
        <v>2591</v>
      </c>
      <c r="M348" s="77" t="s">
        <v>2505</v>
      </c>
      <c r="N348" s="54" t="s">
        <v>1999</v>
      </c>
      <c r="O348" s="52" t="s">
        <v>2592</v>
      </c>
      <c r="P348" s="21" t="s">
        <v>2593</v>
      </c>
      <c r="Q348" s="21"/>
      <c r="R348" s="21" t="s">
        <v>2503</v>
      </c>
    </row>
    <row r="349" spans="1:19" ht="18" customHeight="1">
      <c r="A349" s="40">
        <v>352</v>
      </c>
      <c r="B349" s="52" t="s">
        <v>1759</v>
      </c>
      <c r="C349" s="52" t="s">
        <v>2594</v>
      </c>
      <c r="D349" s="24" t="s">
        <v>2595</v>
      </c>
      <c r="E349" s="17" t="s">
        <v>2596</v>
      </c>
      <c r="F349" s="52">
        <v>40</v>
      </c>
      <c r="G349" s="52" t="s">
        <v>2379</v>
      </c>
      <c r="H349" s="17">
        <v>175</v>
      </c>
      <c r="I349" s="52" t="s">
        <v>447</v>
      </c>
      <c r="J349" s="17" t="s">
        <v>2597</v>
      </c>
      <c r="K349" s="52" t="s">
        <v>1760</v>
      </c>
      <c r="L349" s="52" t="s">
        <v>1761</v>
      </c>
      <c r="M349" s="77" t="s">
        <v>2386</v>
      </c>
      <c r="N349" s="54" t="s">
        <v>2035</v>
      </c>
      <c r="O349" s="52"/>
      <c r="P349" s="21" t="s">
        <v>456</v>
      </c>
      <c r="Q349" s="21"/>
      <c r="R349" s="21" t="s">
        <v>1763</v>
      </c>
    </row>
    <row r="350" spans="1:19" ht="18" customHeight="1">
      <c r="A350" s="40">
        <v>353</v>
      </c>
      <c r="B350" s="52" t="s">
        <v>1988</v>
      </c>
      <c r="C350" s="52" t="s">
        <v>2598</v>
      </c>
      <c r="D350" s="24" t="s">
        <v>2036</v>
      </c>
      <c r="E350" s="17" t="s">
        <v>2599</v>
      </c>
      <c r="F350" s="52">
        <v>36</v>
      </c>
      <c r="G350" s="52" t="s">
        <v>2543</v>
      </c>
      <c r="H350" s="17">
        <v>164</v>
      </c>
      <c r="I350" s="52" t="s">
        <v>2487</v>
      </c>
      <c r="J350" s="17" t="s">
        <v>2600</v>
      </c>
      <c r="K350" s="52" t="s">
        <v>2479</v>
      </c>
      <c r="L350" s="52" t="s">
        <v>2601</v>
      </c>
      <c r="M350" s="77" t="s">
        <v>2602</v>
      </c>
      <c r="N350" s="54" t="s">
        <v>2603</v>
      </c>
      <c r="O350" s="52" t="s">
        <v>2604</v>
      </c>
      <c r="P350" s="21" t="s">
        <v>1614</v>
      </c>
      <c r="Q350" s="21"/>
      <c r="R350" s="21" t="s">
        <v>2503</v>
      </c>
    </row>
    <row r="351" spans="1:19" ht="18" customHeight="1">
      <c r="A351" s="40">
        <v>354</v>
      </c>
      <c r="B351" s="52" t="s">
        <v>1988</v>
      </c>
      <c r="C351" s="52" t="s">
        <v>2037</v>
      </c>
      <c r="D351" s="24" t="s">
        <v>2038</v>
      </c>
      <c r="E351" s="17" t="s">
        <v>2605</v>
      </c>
      <c r="F351" s="52">
        <v>21</v>
      </c>
      <c r="G351" s="52" t="s">
        <v>2039</v>
      </c>
      <c r="H351" s="17">
        <v>162</v>
      </c>
      <c r="I351" s="52" t="s">
        <v>2040</v>
      </c>
      <c r="J351" s="17" t="s">
        <v>1766</v>
      </c>
      <c r="K351" s="52" t="s">
        <v>2590</v>
      </c>
      <c r="L351" s="52" t="s">
        <v>2517</v>
      </c>
      <c r="M351" s="77" t="s">
        <v>2498</v>
      </c>
      <c r="N351" s="54" t="s">
        <v>2041</v>
      </c>
      <c r="O351" s="52"/>
      <c r="P351" s="21" t="s">
        <v>456</v>
      </c>
      <c r="Q351" s="21"/>
      <c r="R351" s="21" t="s">
        <v>2503</v>
      </c>
    </row>
    <row r="352" spans="1:19" ht="18" customHeight="1">
      <c r="A352" s="40">
        <v>355</v>
      </c>
      <c r="B352" s="52" t="s">
        <v>1759</v>
      </c>
      <c r="C352" s="52" t="s">
        <v>2606</v>
      </c>
      <c r="D352" s="24" t="s">
        <v>2607</v>
      </c>
      <c r="E352" s="17" t="s">
        <v>2608</v>
      </c>
      <c r="F352" s="52">
        <v>29</v>
      </c>
      <c r="G352" s="52" t="s">
        <v>440</v>
      </c>
      <c r="H352" s="17">
        <v>179</v>
      </c>
      <c r="I352" s="52" t="s">
        <v>2380</v>
      </c>
      <c r="J352" s="17" t="s">
        <v>2609</v>
      </c>
      <c r="K352" s="52" t="s">
        <v>2042</v>
      </c>
      <c r="L352" s="52" t="s">
        <v>1761</v>
      </c>
      <c r="M352" s="77" t="s">
        <v>1828</v>
      </c>
      <c r="N352" s="54" t="s">
        <v>2610</v>
      </c>
      <c r="O352" s="52" t="s">
        <v>2043</v>
      </c>
      <c r="P352" s="21" t="s">
        <v>456</v>
      </c>
      <c r="Q352" s="21"/>
      <c r="R352" s="21" t="s">
        <v>2503</v>
      </c>
    </row>
    <row r="353" spans="1:20" ht="18" customHeight="1">
      <c r="A353" s="40">
        <v>356</v>
      </c>
      <c r="B353" s="52" t="s">
        <v>7</v>
      </c>
      <c r="C353" s="52" t="s">
        <v>2044</v>
      </c>
      <c r="D353" s="24"/>
      <c r="E353" s="17" t="s">
        <v>2611</v>
      </c>
      <c r="F353" s="52">
        <v>30</v>
      </c>
      <c r="G353" s="52" t="s">
        <v>2612</v>
      </c>
      <c r="H353" s="17">
        <v>182</v>
      </c>
      <c r="I353" s="52" t="s">
        <v>2553</v>
      </c>
      <c r="J353" s="17" t="s">
        <v>1141</v>
      </c>
      <c r="K353" s="52" t="s">
        <v>456</v>
      </c>
      <c r="L353" s="52" t="s">
        <v>1892</v>
      </c>
      <c r="M353" s="77" t="s">
        <v>456</v>
      </c>
      <c r="N353" s="54" t="s">
        <v>456</v>
      </c>
      <c r="O353" s="52" t="s">
        <v>2045</v>
      </c>
      <c r="P353" s="21" t="s">
        <v>2046</v>
      </c>
      <c r="Q353" s="21"/>
      <c r="R353" s="21"/>
      <c r="S353" s="41"/>
      <c r="T353" s="41"/>
    </row>
    <row r="354" spans="1:20" ht="18" customHeight="1">
      <c r="A354" s="40">
        <v>357</v>
      </c>
      <c r="B354" s="52" t="s">
        <v>1148</v>
      </c>
      <c r="C354" s="52" t="s">
        <v>2053</v>
      </c>
      <c r="D354" s="24"/>
      <c r="E354" s="17" t="s">
        <v>2613</v>
      </c>
      <c r="F354" s="52">
        <v>29</v>
      </c>
      <c r="G354" s="52" t="s">
        <v>2054</v>
      </c>
      <c r="H354" s="17">
        <v>158</v>
      </c>
      <c r="I354" s="52" t="s">
        <v>452</v>
      </c>
      <c r="J354" s="17" t="s">
        <v>1766</v>
      </c>
      <c r="K354" s="52" t="s">
        <v>456</v>
      </c>
      <c r="L354" s="52" t="s">
        <v>2505</v>
      </c>
      <c r="M354" s="77" t="s">
        <v>1804</v>
      </c>
      <c r="N354" s="54" t="s">
        <v>2386</v>
      </c>
      <c r="O354" s="52" t="s">
        <v>2055</v>
      </c>
      <c r="P354" s="21">
        <v>0</v>
      </c>
      <c r="Q354" s="21">
        <v>0</v>
      </c>
      <c r="R354" s="21"/>
      <c r="S354" s="1"/>
    </row>
    <row r="355" spans="1:20" ht="18" customHeight="1">
      <c r="A355" s="40">
        <v>358</v>
      </c>
      <c r="B355" s="52" t="s">
        <v>7</v>
      </c>
      <c r="C355" s="52" t="s">
        <v>2614</v>
      </c>
      <c r="D355" s="24">
        <v>1040006192</v>
      </c>
      <c r="E355" s="17" t="s">
        <v>2615</v>
      </c>
      <c r="F355" s="52">
        <v>40</v>
      </c>
      <c r="G355" s="52" t="s">
        <v>443</v>
      </c>
      <c r="H355" s="17">
        <v>175</v>
      </c>
      <c r="I355" s="52" t="s">
        <v>2616</v>
      </c>
      <c r="J355" s="17" t="s">
        <v>1840</v>
      </c>
      <c r="K355" s="52" t="s">
        <v>2505</v>
      </c>
      <c r="L355" s="52" t="s">
        <v>2064</v>
      </c>
      <c r="M355" s="77" t="s">
        <v>2063</v>
      </c>
      <c r="N355" s="54" t="s">
        <v>2065</v>
      </c>
      <c r="O355" s="52" t="s">
        <v>2066</v>
      </c>
      <c r="P355" s="21" t="s">
        <v>10</v>
      </c>
      <c r="Q355" s="21"/>
      <c r="R355" s="21" t="s">
        <v>820</v>
      </c>
    </row>
    <row r="356" spans="1:20" ht="18" customHeight="1">
      <c r="A356" s="40">
        <v>359</v>
      </c>
      <c r="B356" s="52" t="s">
        <v>2482</v>
      </c>
      <c r="C356" s="52" t="s">
        <v>2617</v>
      </c>
      <c r="D356" s="24">
        <v>1046651891</v>
      </c>
      <c r="E356" s="17" t="s">
        <v>2618</v>
      </c>
      <c r="F356" s="52">
        <v>30</v>
      </c>
      <c r="G356" s="52" t="s">
        <v>439</v>
      </c>
      <c r="H356" s="17">
        <v>161</v>
      </c>
      <c r="I356" s="52" t="s">
        <v>2368</v>
      </c>
      <c r="J356" s="17" t="s">
        <v>2600</v>
      </c>
      <c r="K356" s="52" t="s">
        <v>456</v>
      </c>
      <c r="L356" s="52" t="s">
        <v>2512</v>
      </c>
      <c r="M356" s="77" t="s">
        <v>2505</v>
      </c>
      <c r="N356" s="54" t="s">
        <v>2619</v>
      </c>
      <c r="O356" s="52" t="s">
        <v>2076</v>
      </c>
      <c r="P356" s="21" t="s">
        <v>10</v>
      </c>
      <c r="Q356" s="21" t="s">
        <v>2071</v>
      </c>
      <c r="R356" s="21" t="s">
        <v>820</v>
      </c>
    </row>
    <row r="357" spans="1:20" ht="18" customHeight="1">
      <c r="A357" s="40">
        <v>360</v>
      </c>
      <c r="B357" s="52" t="s">
        <v>2522</v>
      </c>
      <c r="C357" s="52" t="s">
        <v>2620</v>
      </c>
      <c r="D357" s="24">
        <v>1089916349</v>
      </c>
      <c r="E357" s="17" t="s">
        <v>2621</v>
      </c>
      <c r="F357" s="52">
        <v>35</v>
      </c>
      <c r="G357" s="52" t="s">
        <v>2622</v>
      </c>
      <c r="H357" s="17">
        <v>163</v>
      </c>
      <c r="I357" s="52" t="s">
        <v>2623</v>
      </c>
      <c r="J357" s="17" t="s">
        <v>2624</v>
      </c>
      <c r="K357" s="52" t="s">
        <v>456</v>
      </c>
      <c r="L357" s="52" t="s">
        <v>2494</v>
      </c>
      <c r="M357" s="77" t="s">
        <v>456</v>
      </c>
      <c r="N357" s="54" t="s">
        <v>2625</v>
      </c>
      <c r="O357" s="52" t="s">
        <v>2626</v>
      </c>
      <c r="P357" s="21" t="s">
        <v>10</v>
      </c>
      <c r="Q357" s="21"/>
      <c r="R357" s="21" t="s">
        <v>820</v>
      </c>
    </row>
    <row r="358" spans="1:20" ht="18" customHeight="1">
      <c r="A358" s="40">
        <v>361</v>
      </c>
      <c r="B358" s="40" t="s">
        <v>8</v>
      </c>
      <c r="C358" s="52" t="s">
        <v>2627</v>
      </c>
      <c r="D358" s="24" t="s">
        <v>2628</v>
      </c>
      <c r="E358" s="24" t="s">
        <v>3047</v>
      </c>
      <c r="F358" s="17">
        <v>32</v>
      </c>
      <c r="G358" s="52" t="s">
        <v>3048</v>
      </c>
      <c r="H358" s="52">
        <v>170</v>
      </c>
      <c r="I358" s="17" t="s">
        <v>10</v>
      </c>
      <c r="J358" s="52" t="s">
        <v>2629</v>
      </c>
      <c r="K358" s="17" t="s">
        <v>2630</v>
      </c>
      <c r="L358" s="52" t="s">
        <v>1892</v>
      </c>
      <c r="M358" s="52" t="s">
        <v>456</v>
      </c>
      <c r="N358" s="77" t="s">
        <v>3049</v>
      </c>
      <c r="O358" s="54" t="s">
        <v>3050</v>
      </c>
      <c r="P358" s="77" t="s">
        <v>456</v>
      </c>
      <c r="Q358" s="21"/>
      <c r="R358" s="21" t="s">
        <v>820</v>
      </c>
    </row>
    <row r="359" spans="1:20" ht="18" customHeight="1">
      <c r="A359" s="40">
        <v>362</v>
      </c>
      <c r="B359" s="40" t="s">
        <v>14</v>
      </c>
      <c r="C359" s="52" t="s">
        <v>2631</v>
      </c>
      <c r="D359" s="24" t="s">
        <v>2632</v>
      </c>
      <c r="E359" s="24" t="s">
        <v>2633</v>
      </c>
      <c r="F359" s="17">
        <v>33</v>
      </c>
      <c r="G359" s="52" t="s">
        <v>465</v>
      </c>
      <c r="H359" s="52">
        <v>175</v>
      </c>
      <c r="I359" s="17" t="s">
        <v>2487</v>
      </c>
      <c r="J359" s="52" t="s">
        <v>2635</v>
      </c>
      <c r="K359" s="17" t="s">
        <v>456</v>
      </c>
      <c r="L359" s="52" t="s">
        <v>1824</v>
      </c>
      <c r="M359" s="52" t="s">
        <v>2505</v>
      </c>
      <c r="N359" s="77" t="s">
        <v>2637</v>
      </c>
      <c r="O359" s="54" t="s">
        <v>2638</v>
      </c>
      <c r="P359" s="52" t="s">
        <v>456</v>
      </c>
      <c r="Q359" s="21"/>
      <c r="R359" s="21" t="s">
        <v>820</v>
      </c>
    </row>
    <row r="360" spans="1:20" ht="18" customHeight="1">
      <c r="A360" s="40">
        <v>363</v>
      </c>
      <c r="B360" s="40" t="s">
        <v>8</v>
      </c>
      <c r="C360" s="52" t="s">
        <v>2639</v>
      </c>
      <c r="D360" s="24">
        <v>1064025231</v>
      </c>
      <c r="E360" s="24" t="s">
        <v>2640</v>
      </c>
      <c r="F360" s="17">
        <v>29</v>
      </c>
      <c r="G360" s="52" t="s">
        <v>440</v>
      </c>
      <c r="H360" s="52">
        <v>173</v>
      </c>
      <c r="I360" s="17" t="s">
        <v>451</v>
      </c>
      <c r="J360" s="52" t="s">
        <v>1840</v>
      </c>
      <c r="K360" s="17" t="s">
        <v>2505</v>
      </c>
      <c r="L360" s="52" t="s">
        <v>1804</v>
      </c>
      <c r="M360" s="52" t="s">
        <v>2641</v>
      </c>
      <c r="N360" s="77" t="s">
        <v>2642</v>
      </c>
      <c r="O360" s="54" t="s">
        <v>2643</v>
      </c>
      <c r="P360" s="52" t="s">
        <v>2386</v>
      </c>
      <c r="Q360" s="21" t="s">
        <v>2644</v>
      </c>
      <c r="R360" s="21" t="s">
        <v>820</v>
      </c>
    </row>
    <row r="361" spans="1:20" ht="18" customHeight="1">
      <c r="A361" s="40">
        <v>364</v>
      </c>
      <c r="B361" s="40" t="s">
        <v>14</v>
      </c>
      <c r="C361" s="52" t="s">
        <v>2645</v>
      </c>
      <c r="D361" s="24">
        <v>1045750650</v>
      </c>
      <c r="E361" s="24" t="s">
        <v>273</v>
      </c>
      <c r="F361" s="17">
        <v>33</v>
      </c>
      <c r="G361" s="52" t="s">
        <v>443</v>
      </c>
      <c r="H361" s="52">
        <v>160</v>
      </c>
      <c r="I361" s="17" t="s">
        <v>2487</v>
      </c>
      <c r="J361" s="52" t="s">
        <v>2646</v>
      </c>
      <c r="K361" s="17" t="s">
        <v>2647</v>
      </c>
      <c r="L361" s="52" t="s">
        <v>1804</v>
      </c>
      <c r="M361" s="52" t="s">
        <v>2641</v>
      </c>
      <c r="N361" s="77" t="s">
        <v>2648</v>
      </c>
      <c r="O361" s="54" t="s">
        <v>2649</v>
      </c>
      <c r="P361" s="52" t="s">
        <v>1865</v>
      </c>
      <c r="Q361" s="21"/>
      <c r="R361" s="21" t="s">
        <v>820</v>
      </c>
    </row>
    <row r="362" spans="1:20" ht="18" customHeight="1">
      <c r="A362" s="40">
        <v>365</v>
      </c>
      <c r="B362" s="40" t="s">
        <v>14</v>
      </c>
      <c r="C362" s="52" t="s">
        <v>2650</v>
      </c>
      <c r="D362" s="24" t="s">
        <v>2651</v>
      </c>
      <c r="E362" s="24" t="s">
        <v>2652</v>
      </c>
      <c r="F362" s="17">
        <v>30</v>
      </c>
      <c r="G362" s="52" t="s">
        <v>2526</v>
      </c>
      <c r="H362" s="52">
        <v>160</v>
      </c>
      <c r="I362" s="17" t="s">
        <v>2653</v>
      </c>
      <c r="J362" s="52" t="s">
        <v>2654</v>
      </c>
      <c r="K362" s="17" t="s">
        <v>456</v>
      </c>
      <c r="L362" s="52" t="s">
        <v>1804</v>
      </c>
      <c r="M362" s="52" t="s">
        <v>456</v>
      </c>
      <c r="N362" s="77" t="s">
        <v>2655</v>
      </c>
      <c r="O362" s="54" t="s">
        <v>2656</v>
      </c>
      <c r="P362" s="52" t="s">
        <v>1740</v>
      </c>
      <c r="Q362" s="21"/>
      <c r="R362" s="21" t="s">
        <v>820</v>
      </c>
    </row>
    <row r="363" spans="1:20" ht="18" customHeight="1">
      <c r="A363" s="40">
        <v>366</v>
      </c>
      <c r="B363" s="40" t="s">
        <v>14</v>
      </c>
      <c r="C363" s="52" t="s">
        <v>2657</v>
      </c>
      <c r="D363" s="24">
        <v>1092663547</v>
      </c>
      <c r="E363" s="24" t="s">
        <v>2658</v>
      </c>
      <c r="F363" s="17">
        <v>27</v>
      </c>
      <c r="G363" s="52" t="s">
        <v>459</v>
      </c>
      <c r="H363" s="52">
        <v>162</v>
      </c>
      <c r="I363" s="17" t="s">
        <v>2487</v>
      </c>
      <c r="J363" s="52" t="s">
        <v>1765</v>
      </c>
      <c r="K363" s="17" t="s">
        <v>456</v>
      </c>
      <c r="L363" s="52" t="s">
        <v>1804</v>
      </c>
      <c r="M363" s="52" t="s">
        <v>2505</v>
      </c>
      <c r="N363" s="77" t="s">
        <v>2659</v>
      </c>
      <c r="O363" s="54" t="s">
        <v>2660</v>
      </c>
      <c r="P363" s="52" t="s">
        <v>2386</v>
      </c>
      <c r="Q363" s="21"/>
      <c r="R363" s="21" t="s">
        <v>820</v>
      </c>
    </row>
    <row r="364" spans="1:20" ht="18" customHeight="1">
      <c r="A364" s="40">
        <v>367</v>
      </c>
      <c r="B364" s="40" t="s">
        <v>14</v>
      </c>
      <c r="C364" s="52" t="s">
        <v>2661</v>
      </c>
      <c r="D364" s="24">
        <v>1091967111</v>
      </c>
      <c r="E364" s="24" t="s">
        <v>2662</v>
      </c>
      <c r="F364" s="17">
        <v>37</v>
      </c>
      <c r="G364" s="52" t="s">
        <v>465</v>
      </c>
      <c r="H364" s="52">
        <v>166</v>
      </c>
      <c r="I364" s="17" t="s">
        <v>452</v>
      </c>
      <c r="J364" s="52" t="s">
        <v>2663</v>
      </c>
      <c r="K364" s="17" t="s">
        <v>2664</v>
      </c>
      <c r="L364" s="52" t="s">
        <v>2512</v>
      </c>
      <c r="M364" s="52" t="s">
        <v>2641</v>
      </c>
      <c r="N364" s="77" t="s">
        <v>2665</v>
      </c>
      <c r="O364" s="54" t="s">
        <v>2666</v>
      </c>
      <c r="P364" s="52" t="s">
        <v>2667</v>
      </c>
      <c r="Q364" s="21" t="s">
        <v>2668</v>
      </c>
      <c r="R364" s="21" t="s">
        <v>820</v>
      </c>
    </row>
    <row r="365" spans="1:20" ht="18" customHeight="1">
      <c r="A365" s="40">
        <v>368</v>
      </c>
      <c r="B365" s="40" t="s">
        <v>14</v>
      </c>
      <c r="C365" s="52" t="s">
        <v>2669</v>
      </c>
      <c r="D365" s="24">
        <v>1051323438</v>
      </c>
      <c r="E365" s="24" t="s">
        <v>2670</v>
      </c>
      <c r="F365" s="17">
        <v>37</v>
      </c>
      <c r="G365" s="52" t="s">
        <v>2622</v>
      </c>
      <c r="H365" s="52">
        <v>164</v>
      </c>
      <c r="I365" s="17" t="s">
        <v>2623</v>
      </c>
      <c r="J365" s="52" t="s">
        <v>1767</v>
      </c>
      <c r="K365" s="17" t="s">
        <v>456</v>
      </c>
      <c r="L365" s="52" t="s">
        <v>1804</v>
      </c>
      <c r="M365" s="52" t="s">
        <v>2063</v>
      </c>
      <c r="N365" s="77" t="s">
        <v>2672</v>
      </c>
      <c r="O365" s="54" t="s">
        <v>2673</v>
      </c>
      <c r="P365" s="52" t="s">
        <v>456</v>
      </c>
      <c r="Q365" s="21"/>
      <c r="R365" s="21" t="s">
        <v>820</v>
      </c>
    </row>
    <row r="366" spans="1:20" ht="18" customHeight="1">
      <c r="A366" s="40">
        <v>369</v>
      </c>
      <c r="B366" s="40" t="s">
        <v>14</v>
      </c>
      <c r="C366" s="52" t="s">
        <v>2674</v>
      </c>
      <c r="D366" s="24">
        <v>1055027192</v>
      </c>
      <c r="E366" s="24" t="s">
        <v>2675</v>
      </c>
      <c r="F366" s="17">
        <v>29</v>
      </c>
      <c r="G366" s="52" t="s">
        <v>2676</v>
      </c>
      <c r="H366" s="52">
        <v>154</v>
      </c>
      <c r="I366" s="17" t="s">
        <v>2623</v>
      </c>
      <c r="J366" s="52" t="s">
        <v>2677</v>
      </c>
      <c r="K366" s="17" t="s">
        <v>2505</v>
      </c>
      <c r="L366" s="52" t="s">
        <v>2512</v>
      </c>
      <c r="M366" s="52" t="s">
        <v>2505</v>
      </c>
      <c r="N366" s="77" t="s">
        <v>2678</v>
      </c>
      <c r="O366" s="54" t="s">
        <v>2679</v>
      </c>
      <c r="P366" s="52" t="s">
        <v>456</v>
      </c>
      <c r="Q366" s="21"/>
      <c r="R366" s="21" t="s">
        <v>820</v>
      </c>
    </row>
    <row r="367" spans="1:20" ht="18" customHeight="1">
      <c r="A367" s="40">
        <v>370</v>
      </c>
      <c r="B367" s="40" t="s">
        <v>8</v>
      </c>
      <c r="C367" s="52" t="s">
        <v>2680</v>
      </c>
      <c r="D367" s="24">
        <v>1029957510</v>
      </c>
      <c r="E367" s="24" t="s">
        <v>2681</v>
      </c>
      <c r="F367" s="17">
        <v>31</v>
      </c>
      <c r="G367" s="52" t="s">
        <v>2612</v>
      </c>
      <c r="H367" s="52">
        <v>183</v>
      </c>
      <c r="I367" s="17" t="s">
        <v>2540</v>
      </c>
      <c r="J367" s="52" t="s">
        <v>2682</v>
      </c>
      <c r="K367" s="17" t="s">
        <v>2683</v>
      </c>
      <c r="L367" s="52" t="s">
        <v>1804</v>
      </c>
      <c r="M367" s="52" t="s">
        <v>456</v>
      </c>
      <c r="N367" s="77" t="s">
        <v>2684</v>
      </c>
      <c r="O367" s="54" t="s">
        <v>2685</v>
      </c>
      <c r="P367" s="52" t="s">
        <v>2505</v>
      </c>
      <c r="Q367" s="21"/>
      <c r="R367" s="21" t="s">
        <v>820</v>
      </c>
    </row>
    <row r="368" spans="1:20" ht="18" customHeight="1">
      <c r="A368" s="40">
        <v>371</v>
      </c>
      <c r="B368" s="40" t="s">
        <v>14</v>
      </c>
      <c r="C368" s="52" t="s">
        <v>2686</v>
      </c>
      <c r="D368" s="24">
        <v>1091593302</v>
      </c>
      <c r="E368" s="24" t="s">
        <v>79</v>
      </c>
      <c r="F368" s="17">
        <v>35</v>
      </c>
      <c r="G368" s="52" t="s">
        <v>2687</v>
      </c>
      <c r="H368" s="52">
        <v>160.30000000000001</v>
      </c>
      <c r="I368" s="17" t="s">
        <v>452</v>
      </c>
      <c r="J368" s="52" t="s">
        <v>2688</v>
      </c>
      <c r="K368" s="17" t="s">
        <v>456</v>
      </c>
      <c r="L368" s="52" t="s">
        <v>2512</v>
      </c>
      <c r="M368" s="52" t="s">
        <v>2505</v>
      </c>
      <c r="N368" s="77" t="s">
        <v>1429</v>
      </c>
      <c r="O368" s="54" t="s">
        <v>2689</v>
      </c>
      <c r="P368" s="52" t="s">
        <v>2505</v>
      </c>
      <c r="Q368" s="21"/>
      <c r="R368" s="21" t="s">
        <v>820</v>
      </c>
    </row>
    <row r="369" spans="1:18" ht="18" customHeight="1">
      <c r="A369" s="40">
        <v>372</v>
      </c>
      <c r="B369" s="40" t="s">
        <v>14</v>
      </c>
      <c r="C369" s="52" t="s">
        <v>2690</v>
      </c>
      <c r="D369" s="24">
        <v>1096510820</v>
      </c>
      <c r="E369" s="24" t="s">
        <v>1931</v>
      </c>
      <c r="F369" s="17">
        <v>28</v>
      </c>
      <c r="G369" s="52" t="s">
        <v>2691</v>
      </c>
      <c r="H369" s="52">
        <v>174</v>
      </c>
      <c r="I369" s="17" t="s">
        <v>453</v>
      </c>
      <c r="J369" s="52" t="s">
        <v>2692</v>
      </c>
      <c r="K369" s="17" t="s">
        <v>456</v>
      </c>
      <c r="L369" s="52" t="s">
        <v>2484</v>
      </c>
      <c r="M369" s="52" t="s">
        <v>2386</v>
      </c>
      <c r="N369" s="77" t="s">
        <v>2693</v>
      </c>
      <c r="O369" s="54" t="s">
        <v>2694</v>
      </c>
      <c r="P369" s="52" t="s">
        <v>2505</v>
      </c>
      <c r="Q369" s="21" t="s">
        <v>2695</v>
      </c>
      <c r="R369" s="21" t="s">
        <v>820</v>
      </c>
    </row>
    <row r="370" spans="1:18" ht="18" customHeight="1">
      <c r="A370" s="40">
        <v>373</v>
      </c>
      <c r="B370" s="40" t="s">
        <v>8</v>
      </c>
      <c r="C370" s="52" t="s">
        <v>2696</v>
      </c>
      <c r="D370" s="24">
        <v>1049146452</v>
      </c>
      <c r="E370" s="24" t="s">
        <v>2697</v>
      </c>
      <c r="F370" s="17">
        <v>26</v>
      </c>
      <c r="G370" s="52" t="s">
        <v>440</v>
      </c>
      <c r="H370" s="52">
        <v>174</v>
      </c>
      <c r="I370" s="17" t="s">
        <v>451</v>
      </c>
      <c r="J370" s="52" t="s">
        <v>2698</v>
      </c>
      <c r="K370" s="17" t="s">
        <v>2505</v>
      </c>
      <c r="L370" s="52" t="s">
        <v>2527</v>
      </c>
      <c r="M370" s="52" t="s">
        <v>456</v>
      </c>
      <c r="N370" s="77" t="s">
        <v>2699</v>
      </c>
      <c r="O370" s="54" t="s">
        <v>2700</v>
      </c>
      <c r="P370" s="52" t="s">
        <v>456</v>
      </c>
      <c r="Q370" s="21" t="s">
        <v>2701</v>
      </c>
      <c r="R370" s="21" t="s">
        <v>820</v>
      </c>
    </row>
    <row r="371" spans="1:18" ht="18" customHeight="1">
      <c r="A371" s="40">
        <v>374</v>
      </c>
      <c r="B371" s="40" t="s">
        <v>8</v>
      </c>
      <c r="C371" s="52" t="s">
        <v>2764</v>
      </c>
      <c r="D371" s="24" t="s">
        <v>2745</v>
      </c>
      <c r="E371" s="24" t="s">
        <v>2746</v>
      </c>
      <c r="F371" s="17">
        <v>35</v>
      </c>
      <c r="G371" s="52" t="s">
        <v>441</v>
      </c>
      <c r="H371" s="52">
        <v>167</v>
      </c>
      <c r="I371" s="17" t="s">
        <v>2785</v>
      </c>
      <c r="J371" s="52" t="s">
        <v>2765</v>
      </c>
      <c r="K371" s="17" t="s">
        <v>2766</v>
      </c>
      <c r="L371" s="52" t="s">
        <v>2767</v>
      </c>
      <c r="M371" s="52" t="s">
        <v>2636</v>
      </c>
      <c r="N371" s="77" t="s">
        <v>2768</v>
      </c>
      <c r="O371" s="54" t="s">
        <v>2769</v>
      </c>
      <c r="P371" s="52" t="s">
        <v>2770</v>
      </c>
      <c r="Q371" s="21"/>
      <c r="R371" s="21" t="s">
        <v>820</v>
      </c>
    </row>
    <row r="372" spans="1:18" ht="18" customHeight="1">
      <c r="A372" s="40">
        <v>375</v>
      </c>
      <c r="B372" s="40" t="s">
        <v>14</v>
      </c>
      <c r="C372" s="52" t="s">
        <v>2771</v>
      </c>
      <c r="D372" s="24">
        <v>1045404103</v>
      </c>
      <c r="E372" s="24" t="s">
        <v>2751</v>
      </c>
      <c r="F372" s="17">
        <v>35</v>
      </c>
      <c r="G372" s="52" t="s">
        <v>2784</v>
      </c>
      <c r="H372" s="52">
        <v>168</v>
      </c>
      <c r="I372" s="17" t="s">
        <v>2671</v>
      </c>
      <c r="J372" s="52" t="s">
        <v>1766</v>
      </c>
      <c r="K372" s="17" t="s">
        <v>2636</v>
      </c>
      <c r="L372" s="52" t="s">
        <v>1804</v>
      </c>
      <c r="M372" s="52" t="s">
        <v>2063</v>
      </c>
      <c r="N372" s="77" t="s">
        <v>2772</v>
      </c>
      <c r="O372" s="54" t="s">
        <v>2773</v>
      </c>
      <c r="P372" s="52" t="s">
        <v>456</v>
      </c>
      <c r="Q372" s="21"/>
      <c r="R372" s="21" t="s">
        <v>820</v>
      </c>
    </row>
    <row r="373" spans="1:18" ht="18" customHeight="1">
      <c r="A373" s="40">
        <v>376</v>
      </c>
      <c r="B373" s="40" t="s">
        <v>8</v>
      </c>
      <c r="C373" s="52" t="s">
        <v>2774</v>
      </c>
      <c r="D373" s="24">
        <v>1058482274</v>
      </c>
      <c r="E373" s="24" t="s">
        <v>2755</v>
      </c>
      <c r="F373" s="17">
        <v>33</v>
      </c>
      <c r="G373" s="52" t="s">
        <v>439</v>
      </c>
      <c r="H373" s="52">
        <v>176</v>
      </c>
      <c r="I373" s="17" t="s">
        <v>760</v>
      </c>
      <c r="J373" s="52" t="s">
        <v>2775</v>
      </c>
      <c r="K373" s="17" t="s">
        <v>2776</v>
      </c>
      <c r="L373" s="52" t="s">
        <v>1804</v>
      </c>
      <c r="M373" s="52" t="s">
        <v>2777</v>
      </c>
      <c r="N373" s="77" t="s">
        <v>2778</v>
      </c>
      <c r="O373" s="54" t="s">
        <v>2779</v>
      </c>
      <c r="P373" s="52" t="s">
        <v>1740</v>
      </c>
      <c r="Q373" s="21" t="s">
        <v>2071</v>
      </c>
      <c r="R373" s="21" t="s">
        <v>820</v>
      </c>
    </row>
    <row r="374" spans="1:18" ht="18" customHeight="1">
      <c r="A374" s="40">
        <v>377</v>
      </c>
      <c r="B374" s="40" t="s">
        <v>14</v>
      </c>
      <c r="C374" s="40" t="s">
        <v>2780</v>
      </c>
      <c r="D374" s="24" t="s">
        <v>2818</v>
      </c>
      <c r="E374" s="24" t="s">
        <v>2760</v>
      </c>
      <c r="F374" s="17">
        <v>31</v>
      </c>
      <c r="G374" s="17" t="s">
        <v>2781</v>
      </c>
      <c r="H374" s="52">
        <v>168</v>
      </c>
      <c r="I374" s="52" t="s">
        <v>2634</v>
      </c>
      <c r="J374" s="17" t="s">
        <v>2629</v>
      </c>
      <c r="K374" s="52" t="s">
        <v>2819</v>
      </c>
      <c r="L374" s="17" t="s">
        <v>1804</v>
      </c>
      <c r="M374" s="52" t="s">
        <v>2063</v>
      </c>
      <c r="N374" s="52" t="s">
        <v>2782</v>
      </c>
      <c r="O374" s="77" t="s">
        <v>2783</v>
      </c>
      <c r="P374" s="54" t="s">
        <v>1614</v>
      </c>
      <c r="Q374" s="52" t="s">
        <v>1901</v>
      </c>
      <c r="R374" s="21" t="s">
        <v>820</v>
      </c>
    </row>
    <row r="375" spans="1:18" ht="18" customHeight="1">
      <c r="A375" s="40">
        <v>378</v>
      </c>
      <c r="B375" s="40" t="s">
        <v>14</v>
      </c>
      <c r="C375" s="40" t="s">
        <v>2788</v>
      </c>
      <c r="D375" s="24">
        <v>1075826828</v>
      </c>
      <c r="E375" s="24" t="s">
        <v>2789</v>
      </c>
      <c r="F375" s="17">
        <v>32</v>
      </c>
      <c r="G375" s="17" t="s">
        <v>2851</v>
      </c>
      <c r="H375" s="52">
        <v>165</v>
      </c>
      <c r="I375" s="52" t="s">
        <v>2856</v>
      </c>
      <c r="J375" s="17" t="s">
        <v>2629</v>
      </c>
      <c r="K375" s="52" t="s">
        <v>456</v>
      </c>
      <c r="L375" s="17" t="s">
        <v>1804</v>
      </c>
      <c r="M375" s="52" t="s">
        <v>2063</v>
      </c>
      <c r="N375" s="52" t="s">
        <v>2820</v>
      </c>
      <c r="O375" s="77" t="s">
        <v>2821</v>
      </c>
      <c r="P375" s="54" t="s">
        <v>2551</v>
      </c>
      <c r="Q375" s="52"/>
      <c r="R375" s="21" t="s">
        <v>820</v>
      </c>
    </row>
    <row r="376" spans="1:18" ht="18" customHeight="1">
      <c r="A376" s="40">
        <v>379</v>
      </c>
      <c r="B376" s="40" t="s">
        <v>8</v>
      </c>
      <c r="C376" s="40" t="s">
        <v>2792</v>
      </c>
      <c r="D376" s="24">
        <v>1071155620</v>
      </c>
      <c r="E376" s="24" t="s">
        <v>2793</v>
      </c>
      <c r="F376" s="17">
        <v>37</v>
      </c>
      <c r="G376" s="17" t="s">
        <v>2852</v>
      </c>
      <c r="H376" s="52">
        <v>170</v>
      </c>
      <c r="I376" s="52" t="s">
        <v>2375</v>
      </c>
      <c r="J376" s="17" t="s">
        <v>2822</v>
      </c>
      <c r="K376" s="52" t="s">
        <v>456</v>
      </c>
      <c r="L376" s="17" t="s">
        <v>1824</v>
      </c>
      <c r="M376" s="52" t="s">
        <v>456</v>
      </c>
      <c r="N376" s="52" t="s">
        <v>2823</v>
      </c>
      <c r="O376" s="77" t="s">
        <v>2824</v>
      </c>
      <c r="P376" s="54" t="s">
        <v>456</v>
      </c>
      <c r="Q376" s="52"/>
      <c r="R376" s="21" t="s">
        <v>820</v>
      </c>
    </row>
    <row r="377" spans="1:18" ht="18" customHeight="1">
      <c r="A377" s="40">
        <v>380</v>
      </c>
      <c r="B377" s="40" t="s">
        <v>8</v>
      </c>
      <c r="C377" s="40" t="s">
        <v>2796</v>
      </c>
      <c r="D377" s="24">
        <v>1086262948</v>
      </c>
      <c r="E377" s="24" t="s">
        <v>2797</v>
      </c>
      <c r="F377" s="17">
        <v>33</v>
      </c>
      <c r="G377" s="17" t="s">
        <v>2364</v>
      </c>
      <c r="H377" s="52">
        <v>174</v>
      </c>
      <c r="I377" s="52" t="s">
        <v>2857</v>
      </c>
      <c r="J377" s="17" t="s">
        <v>2825</v>
      </c>
      <c r="K377" s="52" t="s">
        <v>2826</v>
      </c>
      <c r="L377" s="17" t="s">
        <v>2827</v>
      </c>
      <c r="M377" s="52" t="s">
        <v>2063</v>
      </c>
      <c r="N377" s="52" t="s">
        <v>2828</v>
      </c>
      <c r="O377" s="77" t="s">
        <v>2829</v>
      </c>
      <c r="P377" s="54" t="s">
        <v>2830</v>
      </c>
      <c r="Q377" s="52"/>
      <c r="R377" s="21" t="s">
        <v>820</v>
      </c>
    </row>
    <row r="378" spans="1:18" ht="18" customHeight="1">
      <c r="A378" s="40">
        <v>381</v>
      </c>
      <c r="B378" s="40" t="s">
        <v>14</v>
      </c>
      <c r="C378" s="40" t="s">
        <v>1031</v>
      </c>
      <c r="D378" s="24">
        <v>1064503905</v>
      </c>
      <c r="E378" s="24" t="s">
        <v>2801</v>
      </c>
      <c r="F378" s="17">
        <v>20</v>
      </c>
      <c r="G378" s="17" t="s">
        <v>2365</v>
      </c>
      <c r="H378" s="52">
        <v>155</v>
      </c>
      <c r="I378" s="52" t="s">
        <v>2368</v>
      </c>
      <c r="J378" s="17" t="s">
        <v>2831</v>
      </c>
      <c r="K378" s="52" t="s">
        <v>456</v>
      </c>
      <c r="L378" s="17" t="s">
        <v>1804</v>
      </c>
      <c r="M378" s="52" t="s">
        <v>456</v>
      </c>
      <c r="N378" s="52" t="s">
        <v>2832</v>
      </c>
      <c r="O378" s="77" t="s">
        <v>2833</v>
      </c>
      <c r="P378" s="54" t="s">
        <v>456</v>
      </c>
      <c r="Q378" s="52"/>
      <c r="R378" s="21" t="s">
        <v>820</v>
      </c>
    </row>
    <row r="379" spans="1:18" ht="18" customHeight="1">
      <c r="A379" s="40">
        <v>382</v>
      </c>
      <c r="B379" s="40" t="s">
        <v>14</v>
      </c>
      <c r="C379" s="40" t="s">
        <v>1035</v>
      </c>
      <c r="D379" s="24">
        <v>1026684507</v>
      </c>
      <c r="E379" s="24" t="s">
        <v>277</v>
      </c>
      <c r="F379" s="17">
        <v>36</v>
      </c>
      <c r="G379" s="17" t="s">
        <v>2853</v>
      </c>
      <c r="H379" s="52">
        <v>156</v>
      </c>
      <c r="I379" s="52" t="s">
        <v>2368</v>
      </c>
      <c r="J379" s="17" t="s">
        <v>2834</v>
      </c>
      <c r="K379" s="52" t="s">
        <v>456</v>
      </c>
      <c r="L379" s="17" t="s">
        <v>1824</v>
      </c>
      <c r="M379" s="52" t="s">
        <v>2835</v>
      </c>
      <c r="N379" s="52" t="s">
        <v>2836</v>
      </c>
      <c r="O379" s="77" t="s">
        <v>2837</v>
      </c>
      <c r="P379" s="54" t="s">
        <v>2838</v>
      </c>
      <c r="Q379" s="52"/>
      <c r="R379" s="21" t="s">
        <v>820</v>
      </c>
    </row>
    <row r="380" spans="1:18" ht="18" customHeight="1">
      <c r="A380" s="40">
        <v>383</v>
      </c>
      <c r="B380" s="40" t="s">
        <v>14</v>
      </c>
      <c r="C380" s="40" t="s">
        <v>2806</v>
      </c>
      <c r="D380" s="24" t="s">
        <v>2839</v>
      </c>
      <c r="E380" s="24" t="s">
        <v>2807</v>
      </c>
      <c r="F380" s="17">
        <v>32</v>
      </c>
      <c r="G380" s="17" t="s">
        <v>2854</v>
      </c>
      <c r="H380" s="52">
        <v>164</v>
      </c>
      <c r="I380" s="52" t="s">
        <v>2378</v>
      </c>
      <c r="J380" s="17" t="s">
        <v>2840</v>
      </c>
      <c r="K380" s="52" t="s">
        <v>2841</v>
      </c>
      <c r="L380" s="17" t="s">
        <v>1804</v>
      </c>
      <c r="M380" s="52" t="s">
        <v>2063</v>
      </c>
      <c r="N380" s="52" t="s">
        <v>2842</v>
      </c>
      <c r="O380" s="77" t="s">
        <v>2843</v>
      </c>
      <c r="P380" s="54" t="s">
        <v>456</v>
      </c>
      <c r="Q380" s="52"/>
      <c r="R380" s="21" t="s">
        <v>820</v>
      </c>
    </row>
    <row r="381" spans="1:18" ht="18" customHeight="1">
      <c r="A381" s="40">
        <v>384</v>
      </c>
      <c r="B381" s="40" t="s">
        <v>8</v>
      </c>
      <c r="C381" s="40" t="s">
        <v>2811</v>
      </c>
      <c r="D381" s="24" t="s">
        <v>2844</v>
      </c>
      <c r="E381" s="24" t="s">
        <v>2812</v>
      </c>
      <c r="F381" s="17">
        <v>35</v>
      </c>
      <c r="G381" s="17" t="s">
        <v>2855</v>
      </c>
      <c r="H381" s="52">
        <v>173</v>
      </c>
      <c r="I381" s="52" t="s">
        <v>2858</v>
      </c>
      <c r="J381" s="17" t="s">
        <v>2845</v>
      </c>
      <c r="K381" s="52" t="s">
        <v>2846</v>
      </c>
      <c r="L381" s="17" t="s">
        <v>1804</v>
      </c>
      <c r="M381" s="52" t="s">
        <v>2847</v>
      </c>
      <c r="N381" s="52" t="s">
        <v>2848</v>
      </c>
      <c r="O381" s="77" t="s">
        <v>2849</v>
      </c>
      <c r="P381" s="54" t="s">
        <v>456</v>
      </c>
      <c r="Q381" s="52" t="s">
        <v>2850</v>
      </c>
      <c r="R381" s="21" t="s">
        <v>820</v>
      </c>
    </row>
    <row r="382" spans="1:18" ht="18" customHeight="1">
      <c r="A382" s="40">
        <v>385</v>
      </c>
      <c r="B382" s="40" t="s">
        <v>14</v>
      </c>
      <c r="C382" s="40" t="s">
        <v>2866</v>
      </c>
      <c r="D382" s="24">
        <v>1027372069</v>
      </c>
      <c r="E382" s="24" t="s">
        <v>2867</v>
      </c>
      <c r="F382" s="17">
        <v>37</v>
      </c>
      <c r="G382" s="17" t="s">
        <v>2872</v>
      </c>
      <c r="H382" s="52">
        <v>155</v>
      </c>
      <c r="I382" s="52" t="s">
        <v>1120</v>
      </c>
      <c r="J382" s="17" t="s">
        <v>2682</v>
      </c>
      <c r="K382" s="52" t="s">
        <v>456</v>
      </c>
      <c r="L382" s="17" t="s">
        <v>1804</v>
      </c>
      <c r="M382" s="52" t="s">
        <v>2063</v>
      </c>
      <c r="N382" s="52" t="s">
        <v>2870</v>
      </c>
      <c r="O382" s="77" t="s">
        <v>2871</v>
      </c>
      <c r="P382" s="54" t="s">
        <v>1614</v>
      </c>
      <c r="Q382" s="52"/>
      <c r="R382" s="21" t="s">
        <v>820</v>
      </c>
    </row>
    <row r="383" spans="1:18" ht="18" customHeight="1">
      <c r="A383" s="40">
        <v>386</v>
      </c>
      <c r="B383" s="40" t="s">
        <v>8</v>
      </c>
      <c r="C383" s="40" t="s">
        <v>2875</v>
      </c>
      <c r="D383" s="24">
        <v>1075205898</v>
      </c>
      <c r="E383" s="24" t="s">
        <v>2876</v>
      </c>
      <c r="F383" s="17">
        <v>31</v>
      </c>
      <c r="G383" s="17" t="s">
        <v>2894</v>
      </c>
      <c r="H383" s="52">
        <v>178</v>
      </c>
      <c r="I383" s="52" t="s">
        <v>2884</v>
      </c>
      <c r="J383" s="17" t="s">
        <v>2885</v>
      </c>
      <c r="K383" s="52" t="s">
        <v>2884</v>
      </c>
      <c r="L383" s="17" t="s">
        <v>1804</v>
      </c>
      <c r="M383" s="52" t="s">
        <v>2886</v>
      </c>
      <c r="N383" s="52" t="s">
        <v>2887</v>
      </c>
      <c r="O383" s="77" t="s">
        <v>2888</v>
      </c>
      <c r="P383" s="54" t="s">
        <v>2889</v>
      </c>
      <c r="Q383" s="52"/>
      <c r="R383" s="21" t="s">
        <v>820</v>
      </c>
    </row>
    <row r="384" spans="1:18" ht="18" customHeight="1">
      <c r="A384" s="40">
        <v>387</v>
      </c>
      <c r="B384" s="40" t="s">
        <v>14</v>
      </c>
      <c r="C384" s="40" t="s">
        <v>405</v>
      </c>
      <c r="D384" s="24">
        <v>1036589567</v>
      </c>
      <c r="E384" s="24" t="s">
        <v>2879</v>
      </c>
      <c r="F384" s="17">
        <v>36</v>
      </c>
      <c r="G384" s="17" t="s">
        <v>2895</v>
      </c>
      <c r="H384" s="52">
        <v>164</v>
      </c>
      <c r="I384" s="52" t="s">
        <v>2896</v>
      </c>
      <c r="J384" s="17" t="s">
        <v>2890</v>
      </c>
      <c r="K384" s="52" t="s">
        <v>456</v>
      </c>
      <c r="L384" s="17" t="s">
        <v>1804</v>
      </c>
      <c r="M384" s="52" t="s">
        <v>2063</v>
      </c>
      <c r="N384" s="52" t="s">
        <v>2891</v>
      </c>
      <c r="O384" s="77" t="s">
        <v>2892</v>
      </c>
      <c r="P384" s="54" t="s">
        <v>2893</v>
      </c>
      <c r="Q384" s="52"/>
      <c r="R384" s="21" t="s">
        <v>820</v>
      </c>
    </row>
    <row r="385" spans="1:18" ht="18" customHeight="1">
      <c r="A385" s="40">
        <v>388</v>
      </c>
      <c r="B385" s="40" t="s">
        <v>3038</v>
      </c>
      <c r="C385" s="40" t="s">
        <v>3035</v>
      </c>
      <c r="D385" s="24" t="s">
        <v>3039</v>
      </c>
      <c r="E385" s="24" t="s">
        <v>3041</v>
      </c>
      <c r="F385" s="17">
        <v>29</v>
      </c>
      <c r="G385" s="17" t="s">
        <v>457</v>
      </c>
      <c r="H385" s="52">
        <v>155</v>
      </c>
      <c r="I385" s="52" t="s">
        <v>454</v>
      </c>
      <c r="J385" s="17" t="s">
        <v>1766</v>
      </c>
      <c r="K385" s="52" t="s">
        <v>1141</v>
      </c>
      <c r="L385" s="17" t="s">
        <v>1804</v>
      </c>
      <c r="M385" s="52" t="s">
        <v>1760</v>
      </c>
      <c r="N385" s="52" t="s">
        <v>3043</v>
      </c>
      <c r="O385" s="77" t="s">
        <v>3045</v>
      </c>
      <c r="P385" s="54" t="s">
        <v>456</v>
      </c>
      <c r="Q385" s="52" t="s">
        <v>3033</v>
      </c>
      <c r="R385" s="21" t="s">
        <v>3046</v>
      </c>
    </row>
    <row r="386" spans="1:18" ht="18" customHeight="1">
      <c r="A386" s="40">
        <v>389</v>
      </c>
      <c r="B386" s="40" t="s">
        <v>3057</v>
      </c>
      <c r="C386" s="40" t="s">
        <v>3059</v>
      </c>
      <c r="D386" s="24" t="s">
        <v>3060</v>
      </c>
      <c r="E386" s="24" t="s">
        <v>3062</v>
      </c>
      <c r="F386" s="17">
        <v>28</v>
      </c>
      <c r="G386" s="17" t="s">
        <v>457</v>
      </c>
      <c r="H386" s="52">
        <v>163</v>
      </c>
      <c r="I386" s="52" t="s">
        <v>454</v>
      </c>
      <c r="J386" s="17" t="s">
        <v>3076</v>
      </c>
      <c r="K386" s="52" t="s">
        <v>3077</v>
      </c>
      <c r="L386" s="17" t="s">
        <v>1804</v>
      </c>
      <c r="M386" s="52" t="s">
        <v>3078</v>
      </c>
      <c r="N386" s="52" t="s">
        <v>3079</v>
      </c>
      <c r="O386" s="77" t="s">
        <v>3080</v>
      </c>
      <c r="P386" s="54" t="s">
        <v>3081</v>
      </c>
      <c r="Q386" s="52"/>
      <c r="R386" s="21" t="s">
        <v>3067</v>
      </c>
    </row>
    <row r="387" spans="1:18" ht="18" customHeight="1">
      <c r="A387" s="40">
        <v>390</v>
      </c>
      <c r="B387" s="40" t="s">
        <v>3068</v>
      </c>
      <c r="C387" s="40" t="s">
        <v>3070</v>
      </c>
      <c r="D387" s="24" t="s">
        <v>3071</v>
      </c>
      <c r="E387" s="24" t="s">
        <v>3073</v>
      </c>
      <c r="F387" s="17">
        <v>33</v>
      </c>
      <c r="G387" s="17" t="s">
        <v>766</v>
      </c>
      <c r="H387" s="52">
        <v>173</v>
      </c>
      <c r="I387" s="52" t="s">
        <v>451</v>
      </c>
      <c r="J387" s="17" t="s">
        <v>1768</v>
      </c>
      <c r="K387" s="52" t="s">
        <v>1760</v>
      </c>
      <c r="L387" s="17" t="s">
        <v>1804</v>
      </c>
      <c r="M387" s="52" t="s">
        <v>3078</v>
      </c>
      <c r="N387" s="52" t="s">
        <v>3082</v>
      </c>
      <c r="O387" s="77" t="s">
        <v>3083</v>
      </c>
      <c r="P387" s="54" t="s">
        <v>456</v>
      </c>
      <c r="Q387" s="52"/>
      <c r="R387" s="21" t="s">
        <v>3067</v>
      </c>
    </row>
    <row r="388" spans="1:18" ht="18" customHeight="1">
      <c r="A388" s="108">
        <v>391</v>
      </c>
      <c r="B388" s="108" t="s">
        <v>3085</v>
      </c>
      <c r="C388" s="108" t="s">
        <v>3087</v>
      </c>
      <c r="D388" s="209" t="s">
        <v>3088</v>
      </c>
      <c r="E388" s="113" t="s">
        <v>3100</v>
      </c>
      <c r="F388" s="114">
        <v>27</v>
      </c>
      <c r="G388" s="114" t="s">
        <v>3089</v>
      </c>
      <c r="H388" s="115">
        <v>180</v>
      </c>
      <c r="I388" s="115" t="s">
        <v>3090</v>
      </c>
      <c r="J388" s="114" t="s">
        <v>3091</v>
      </c>
      <c r="K388" s="115" t="s">
        <v>3093</v>
      </c>
      <c r="L388" s="114" t="s">
        <v>3094</v>
      </c>
      <c r="M388" s="115" t="s">
        <v>3093</v>
      </c>
      <c r="N388" s="115" t="s">
        <v>3096</v>
      </c>
      <c r="O388" s="116" t="s">
        <v>3098</v>
      </c>
      <c r="P388" s="210" t="s">
        <v>3092</v>
      </c>
      <c r="Q388" s="210"/>
      <c r="R388" s="210" t="s">
        <v>3099</v>
      </c>
    </row>
    <row r="389" spans="1:18" ht="18" customHeight="1"/>
    <row r="390" spans="1:18" ht="18" customHeight="1"/>
    <row r="391" spans="1:18" ht="18" customHeight="1"/>
    <row r="392" spans="1:18" ht="18" customHeight="1"/>
    <row r="393" spans="1:18" ht="18" customHeight="1"/>
    <row r="394" spans="1:18" ht="18" customHeight="1"/>
    <row r="395" spans="1:18" ht="18" customHeight="1"/>
    <row r="396" spans="1:18" ht="18" customHeight="1"/>
    <row r="397" spans="1:18" ht="18" customHeight="1"/>
    <row r="398" spans="1:18" ht="18" customHeight="1"/>
    <row r="399" spans="1:18" ht="18" customHeight="1"/>
    <row r="400" spans="1:18" ht="18" customHeight="1"/>
    <row r="401" ht="18" customHeight="1"/>
  </sheetData>
  <autoFilter ref="A2:R2"/>
  <phoneticPr fontId="1" type="noConversion"/>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9"/>
  <sheetViews>
    <sheetView topLeftCell="A280" workbookViewId="0">
      <selection activeCell="A297" sqref="A297:P297"/>
    </sheetView>
  </sheetViews>
  <sheetFormatPr defaultRowHeight="16.5"/>
  <cols>
    <col min="1" max="1" width="4.125" style="38" bestFit="1" customWidth="1"/>
    <col min="2" max="3" width="6.75" style="1" bestFit="1" customWidth="1"/>
    <col min="4" max="4" width="6.75" style="32" bestFit="1" customWidth="1"/>
    <col min="5" max="5" width="5.125" style="1" bestFit="1" customWidth="1"/>
    <col min="6" max="6" width="35.375" style="1" customWidth="1"/>
    <col min="7" max="13" width="9" style="1"/>
    <col min="14" max="14" width="39" style="1" customWidth="1"/>
    <col min="15" max="15" width="14.75" style="1" customWidth="1"/>
    <col min="16" max="16" width="6.125" style="1" customWidth="1"/>
    <col min="17" max="16384" width="9" style="1"/>
  </cols>
  <sheetData>
    <row r="1" spans="1:16" ht="18.75" customHeight="1"/>
    <row r="2" spans="1:16" ht="16.5" customHeight="1">
      <c r="A2" s="44"/>
      <c r="B2" s="21" t="s">
        <v>27</v>
      </c>
      <c r="C2" s="21" t="s">
        <v>40</v>
      </c>
      <c r="D2" s="21" t="s">
        <v>2</v>
      </c>
      <c r="E2" s="21" t="s">
        <v>4</v>
      </c>
      <c r="F2" s="21" t="s">
        <v>5</v>
      </c>
      <c r="G2" s="17" t="s">
        <v>41</v>
      </c>
      <c r="H2" s="21" t="s">
        <v>42</v>
      </c>
      <c r="I2" s="21" t="s">
        <v>6</v>
      </c>
      <c r="J2" s="21" t="s">
        <v>43</v>
      </c>
      <c r="K2" s="21" t="s">
        <v>3</v>
      </c>
      <c r="L2" s="21" t="s">
        <v>45</v>
      </c>
      <c r="M2" s="4" t="s">
        <v>44</v>
      </c>
      <c r="N2" s="21" t="s">
        <v>46</v>
      </c>
      <c r="O2" s="17" t="s">
        <v>47</v>
      </c>
      <c r="P2" s="1" t="s">
        <v>87</v>
      </c>
    </row>
    <row r="3" spans="1:16" ht="16.5" customHeight="1">
      <c r="A3" s="45">
        <v>1</v>
      </c>
      <c r="B3" s="26" t="str">
        <f>'Raw data'!B3</f>
        <v>남</v>
      </c>
      <c r="C3" s="26" t="str">
        <f>'Raw data'!C3</f>
        <v>강기태</v>
      </c>
      <c r="D3" s="26">
        <f>'Raw data'!F3</f>
        <v>34</v>
      </c>
      <c r="E3" s="26">
        <f>'Raw data'!H3</f>
        <v>178</v>
      </c>
      <c r="F3" s="26" t="str">
        <f>'Raw data'!E3</f>
        <v>작업치료사</v>
      </c>
      <c r="G3" s="26" t="str">
        <f>'Raw data'!G3</f>
        <v>28~34</v>
      </c>
      <c r="H3" s="26" t="str">
        <f>'Raw data'!I3</f>
        <v>무관</v>
      </c>
      <c r="I3" s="26" t="str">
        <f>'Raw data'!J3</f>
        <v>ENFP</v>
      </c>
      <c r="J3" s="26" t="str">
        <f>'Raw data'!K3</f>
        <v>INFP, INFJ, INTJ, ISFJ, ENFP, ESFP, ENFJ, ESFJ, ENTP, ENTJ</v>
      </c>
      <c r="K3" s="26" t="str">
        <f>'Raw data'!L3</f>
        <v>무교</v>
      </c>
      <c r="L3" s="26" t="str">
        <f>'Raw data'!M3</f>
        <v>동일</v>
      </c>
      <c r="M3" s="26" t="str">
        <f>'Raw data'!P3</f>
        <v>무관</v>
      </c>
      <c r="N3" s="26" t="str">
        <f>'Raw data'!N3</f>
        <v>긍정적이고 밝은사람</v>
      </c>
      <c r="O3" s="26" t="str">
        <f>'Raw data'!O3</f>
        <v>밝고 재밌는분</v>
      </c>
      <c r="P3" s="26">
        <f>'Raw data'!Q3</f>
        <v>0</v>
      </c>
    </row>
    <row r="4" spans="1:16" ht="16.5" customHeight="1">
      <c r="A4" s="46">
        <v>2</v>
      </c>
      <c r="B4" s="26" t="str">
        <f>'Raw data'!B4</f>
        <v>여</v>
      </c>
      <c r="C4" s="26" t="str">
        <f>'Raw data'!C4</f>
        <v>강다영</v>
      </c>
      <c r="D4" s="26">
        <f>'Raw data'!F4</f>
        <v>31</v>
      </c>
      <c r="E4" s="26">
        <f>'Raw data'!H4</f>
        <v>169</v>
      </c>
      <c r="F4" s="26" t="str">
        <f>'Raw data'!E4</f>
        <v>헤어디자이너</v>
      </c>
      <c r="G4" s="26" t="str">
        <f>'Raw data'!G4</f>
        <v>28~38</v>
      </c>
      <c r="H4" s="26" t="str">
        <f>'Raw data'!I4</f>
        <v>180~</v>
      </c>
      <c r="I4" s="26" t="str">
        <f>'Raw data'!J4</f>
        <v>ESTP</v>
      </c>
      <c r="J4" s="26" t="str">
        <f>'Raw data'!K4</f>
        <v>무관</v>
      </c>
      <c r="K4" s="26" t="str">
        <f>'Raw data'!L4</f>
        <v>무교</v>
      </c>
      <c r="L4" s="26" t="str">
        <f>'Raw data'!M4</f>
        <v>동일</v>
      </c>
      <c r="M4" s="26" t="str">
        <f>'Raw data'!P4</f>
        <v>무관</v>
      </c>
      <c r="N4" s="26" t="str">
        <f>'Raw data'!N4</f>
        <v>밝고 뒤끝없는사람</v>
      </c>
      <c r="O4" s="26" t="str">
        <f>'Raw data'!O4</f>
        <v>헬스하고 하얀사람..? 어른스럽고 차분한사람</v>
      </c>
      <c r="P4" s="26">
        <f>'Raw data'!Q4</f>
        <v>0</v>
      </c>
    </row>
    <row r="5" spans="1:16" ht="16.5" customHeight="1">
      <c r="A5" s="46">
        <v>3</v>
      </c>
      <c r="B5" s="26" t="str">
        <f>'Raw data'!B5</f>
        <v>남</v>
      </c>
      <c r="C5" s="26" t="str">
        <f>'Raw data'!C5</f>
        <v>강병규</v>
      </c>
      <c r="D5" s="26">
        <f>'Raw data'!F5</f>
        <v>27</v>
      </c>
      <c r="E5" s="26">
        <f>'Raw data'!H5</f>
        <v>172</v>
      </c>
      <c r="F5" s="26" t="str">
        <f>'Raw data'!E5</f>
        <v>디스플레이허브 기술파트</v>
      </c>
      <c r="G5" s="26" t="str">
        <f>'Raw data'!G5</f>
        <v>20~27</v>
      </c>
      <c r="H5" s="26" t="str">
        <f>'Raw data'!I5</f>
        <v>~165</v>
      </c>
      <c r="I5" s="26" t="str">
        <f>'Raw data'!J5</f>
        <v>ENTJ</v>
      </c>
      <c r="J5" s="26" t="str">
        <f>'Raw data'!K5</f>
        <v>무관</v>
      </c>
      <c r="K5" s="26" t="str">
        <f>'Raw data'!L5</f>
        <v>기독교</v>
      </c>
      <c r="L5" s="26" t="str">
        <f>'Raw data'!M5</f>
        <v>동일, 무관</v>
      </c>
      <c r="M5" s="26" t="str">
        <f>'Raw data'!P5</f>
        <v>무관</v>
      </c>
      <c r="N5" s="26" t="str">
        <f>'Raw data'!N5</f>
        <v>항상 긍정적으로 살아가려고 노력하고 굴곡이 맞지 않은 사람</v>
      </c>
      <c r="O5" s="26" t="str">
        <f>'Raw data'!O5</f>
        <v>베이지가 잘 어울리는 여자</v>
      </c>
      <c r="P5" s="26">
        <f>'Raw data'!Q5</f>
        <v>0</v>
      </c>
    </row>
    <row r="6" spans="1:16" ht="16.5" customHeight="1">
      <c r="A6" s="45">
        <v>4</v>
      </c>
      <c r="B6" s="26" t="str">
        <f>'Raw data'!B6</f>
        <v>여</v>
      </c>
      <c r="C6" s="26" t="str">
        <f>'Raw data'!C6</f>
        <v>강영연</v>
      </c>
      <c r="D6" s="26">
        <f>'Raw data'!F6</f>
        <v>45</v>
      </c>
      <c r="E6" s="26">
        <f>'Raw data'!H6</f>
        <v>170</v>
      </c>
      <c r="F6" s="26" t="str">
        <f>'Raw data'!E6</f>
        <v>회사원</v>
      </c>
      <c r="G6" s="26" t="str">
        <f>'Raw data'!G6</f>
        <v>42~</v>
      </c>
      <c r="H6" s="26" t="str">
        <f>'Raw data'!I6</f>
        <v>175~</v>
      </c>
      <c r="I6" s="26" t="str">
        <f>'Raw data'!J6</f>
        <v>ISFJ</v>
      </c>
      <c r="J6" s="26" t="str">
        <f>'Raw data'!K6</f>
        <v>무관</v>
      </c>
      <c r="K6" s="26" t="str">
        <f>'Raw data'!L6</f>
        <v>천주교</v>
      </c>
      <c r="L6" s="26" t="str">
        <f>'Raw data'!M6</f>
        <v>무관</v>
      </c>
      <c r="M6" s="26" t="str">
        <f>'Raw data'!P6</f>
        <v>무관</v>
      </c>
      <c r="N6" s="26" t="str">
        <f>'Raw data'!N6</f>
        <v>다정하고 재밌는 사람</v>
      </c>
      <c r="O6" s="26" t="str">
        <f>'Raw data'!O6</f>
        <v>다정하고 세심한 사람</v>
      </c>
      <c r="P6" s="26">
        <f>'Raw data'!Q6</f>
        <v>0</v>
      </c>
    </row>
    <row r="7" spans="1:16" ht="16.5" customHeight="1">
      <c r="A7" s="46">
        <v>5</v>
      </c>
      <c r="B7" s="26" t="str">
        <f>'Raw data'!B7</f>
        <v>여</v>
      </c>
      <c r="C7" s="26" t="str">
        <f>'Raw data'!C7</f>
        <v>강유진</v>
      </c>
      <c r="D7" s="26">
        <f>'Raw data'!F7</f>
        <v>31</v>
      </c>
      <c r="E7" s="26">
        <f>'Raw data'!H7</f>
        <v>158</v>
      </c>
      <c r="F7" s="26" t="str">
        <f>'Raw data'!E7</f>
        <v>포워딩회사</v>
      </c>
      <c r="G7" s="26" t="str">
        <f>'Raw data'!G7</f>
        <v>31~38</v>
      </c>
      <c r="H7" s="26" t="str">
        <f>'Raw data'!I7</f>
        <v>170~</v>
      </c>
      <c r="I7" s="26" t="str">
        <f>'Raw data'!J7</f>
        <v>ISFJ</v>
      </c>
      <c r="J7" s="26" t="str">
        <f>'Raw data'!K7</f>
        <v>ENFP, ESFP, ENFJ, ESFJ, ENTP, ESTP, ENTJ</v>
      </c>
      <c r="K7" s="26" t="str">
        <f>'Raw data'!L7</f>
        <v>무교</v>
      </c>
      <c r="L7" s="26" t="str">
        <f>'Raw data'!M7</f>
        <v>무관</v>
      </c>
      <c r="M7" s="26" t="str">
        <f>'Raw data'!P7</f>
        <v>무관</v>
      </c>
      <c r="N7" s="26" t="str">
        <f>'Raw data'!N7</f>
        <v>겉모습은 차가워보일 수 있지만 알고보면 털털하고 웃음이 많은 사람</v>
      </c>
      <c r="O7" s="26" t="str">
        <f>'Raw data'!O7</f>
        <v>다정하고 긍정적인사람</v>
      </c>
      <c r="P7" s="26">
        <f>'Raw data'!Q7</f>
        <v>0</v>
      </c>
    </row>
    <row r="8" spans="1:16" ht="16.5" customHeight="1">
      <c r="A8" s="46">
        <v>6</v>
      </c>
      <c r="B8" s="26" t="str">
        <f>'Raw data'!B8</f>
        <v>여</v>
      </c>
      <c r="C8" s="26" t="str">
        <f>'Raw data'!C8</f>
        <v>강이경</v>
      </c>
      <c r="D8" s="26">
        <f>'Raw data'!F8</f>
        <v>31</v>
      </c>
      <c r="E8" s="26">
        <f>'Raw data'!H8</f>
        <v>170</v>
      </c>
      <c r="F8" s="26" t="str">
        <f>'Raw data'!E8</f>
        <v>필라테스강사</v>
      </c>
      <c r="G8" s="26" t="str">
        <f>'Raw data'!G8</f>
        <v>28~34</v>
      </c>
      <c r="H8" s="26" t="str">
        <f>'Raw data'!I8</f>
        <v>170~</v>
      </c>
      <c r="I8" s="26" t="str">
        <f>'Raw data'!J8</f>
        <v>ESTJ</v>
      </c>
      <c r="J8" s="26" t="str">
        <f>'Raw data'!K8</f>
        <v>INFP, ISFP, INTP, ISTP, INFJ, ISFJ, ENFJ, ESFJ</v>
      </c>
      <c r="K8" s="26" t="str">
        <f>'Raw data'!L8</f>
        <v>무교</v>
      </c>
      <c r="L8" s="26" t="str">
        <f>'Raw data'!M8</f>
        <v>동일</v>
      </c>
      <c r="M8" s="26" t="str">
        <f>'Raw data'!P8</f>
        <v>무관</v>
      </c>
      <c r="N8" s="26" t="str">
        <f>'Raw data'!N8</f>
        <v>몸과 마음이 건강한 사람!</v>
      </c>
      <c r="O8" s="26" t="str">
        <f>'Raw data'!O8</f>
        <v>운동하고 밝은분</v>
      </c>
      <c r="P8" s="26" t="str">
        <f>'Raw data'!Q8</f>
        <v>비흡연자 원해요</v>
      </c>
    </row>
    <row r="9" spans="1:16" ht="16.5" customHeight="1">
      <c r="A9" s="45">
        <v>7</v>
      </c>
      <c r="B9" s="26" t="str">
        <f>'Raw data'!B9</f>
        <v>여</v>
      </c>
      <c r="C9" s="26" t="str">
        <f>'Raw data'!C9</f>
        <v>강현지</v>
      </c>
      <c r="D9" s="26">
        <f>'Raw data'!F9</f>
        <v>34</v>
      </c>
      <c r="E9" s="26">
        <f>'Raw data'!H9</f>
        <v>160</v>
      </c>
      <c r="F9" s="26" t="str">
        <f>'Raw data'!E9</f>
        <v>전임교수(대구 4년제 사립대학교, 간호학과)</v>
      </c>
      <c r="G9" s="26" t="str">
        <f>'Raw data'!G9</f>
        <v>31~41</v>
      </c>
      <c r="H9" s="26" t="str">
        <f>'Raw data'!I9</f>
        <v>170~</v>
      </c>
      <c r="I9" s="26" t="str">
        <f>'Raw data'!J9</f>
        <v>ESFJ</v>
      </c>
      <c r="J9" s="26" t="str">
        <f>'Raw data'!K9</f>
        <v>무관</v>
      </c>
      <c r="K9" s="26" t="str">
        <f>'Raw data'!L9</f>
        <v>무교, 불교</v>
      </c>
      <c r="L9" s="26" t="str">
        <f>'Raw data'!M9</f>
        <v>동일</v>
      </c>
      <c r="M9" s="26" t="str">
        <f>'Raw data'!P9</f>
        <v>공무원, 연구직, 회사원</v>
      </c>
      <c r="N9" s="26" t="str">
        <f>'Raw data'!N9</f>
        <v>학문 쪽 커리어를 쌓아온 사람이라 삶의 방향이 뚜렷하고, 관계에서는 관계에서는 상대를 먼저 살피는 사람이라서 안정감을 주는 편</v>
      </c>
      <c r="O9" s="26" t="str">
        <f>'Raw data'!O9</f>
        <v>여유있고 상황을 회피하지 않는 사람, 직업적/경제적으로 안정된 상태</v>
      </c>
      <c r="P9" s="26" t="str">
        <f>'Raw data'!Q9</f>
        <v>서울-대구 장거리연애&amp;주말부부 상관없는 분이 좋습니다.</v>
      </c>
    </row>
    <row r="10" spans="1:16" ht="16.5" customHeight="1">
      <c r="A10" s="46">
        <v>8</v>
      </c>
      <c r="B10" s="26" t="str">
        <f>'Raw data'!B10</f>
        <v>여</v>
      </c>
      <c r="C10" s="26" t="str">
        <f>'Raw data'!C10</f>
        <v>강혜진</v>
      </c>
      <c r="D10" s="26">
        <f>'Raw data'!F10</f>
        <v>34</v>
      </c>
      <c r="E10" s="26">
        <f>'Raw data'!H10</f>
        <v>15</v>
      </c>
      <c r="F10" s="26" t="str">
        <f>'Raw data'!E10</f>
        <v>서비스직(아티제, 바리스타)</v>
      </c>
      <c r="G10" s="26" t="str">
        <f>'Raw data'!G10</f>
        <v>31~38</v>
      </c>
      <c r="H10" s="26" t="str">
        <f>'Raw data'!I10</f>
        <v>175~180</v>
      </c>
      <c r="I10" s="26" t="str">
        <f>'Raw data'!J10</f>
        <v>INFJ</v>
      </c>
      <c r="J10" s="26" t="str">
        <f>'Raw data'!K10</f>
        <v>무관</v>
      </c>
      <c r="K10" s="26" t="str">
        <f>'Raw data'!L10</f>
        <v>불교</v>
      </c>
      <c r="L10" s="26" t="str">
        <f>'Raw data'!M10</f>
        <v>무관</v>
      </c>
      <c r="M10" s="26" t="str">
        <f>'Raw data'!P10</f>
        <v>연구직</v>
      </c>
      <c r="N10" s="26" t="str">
        <f>'Raw data'!N10</f>
        <v>밝고 다른 사람들과 즐겁게 지내는 걸 좋아하는 사람</v>
      </c>
      <c r="O10" s="26" t="str">
        <f>'Raw data'!O10</f>
        <v>대화가 통하고 가정적인 사람</v>
      </c>
      <c r="P10" s="26">
        <f>'Raw data'!Q10</f>
        <v>0</v>
      </c>
    </row>
    <row r="11" spans="1:16" ht="16.5" customHeight="1">
      <c r="A11" s="46">
        <v>9</v>
      </c>
      <c r="B11" s="26" t="str">
        <f>'Raw data'!B11</f>
        <v>여</v>
      </c>
      <c r="C11" s="26" t="str">
        <f>'Raw data'!C11</f>
        <v>공윤재</v>
      </c>
      <c r="D11" s="26">
        <f>'Raw data'!F11</f>
        <v>32</v>
      </c>
      <c r="E11" s="26">
        <f>'Raw data'!H11</f>
        <v>171</v>
      </c>
      <c r="F11" s="26" t="str">
        <f>'Raw data'!E11</f>
        <v>공인중개사 대표</v>
      </c>
      <c r="G11" s="26" t="str">
        <f>'Raw data'!G11</f>
        <v>28~34</v>
      </c>
      <c r="H11" s="26" t="str">
        <f>'Raw data'!I11</f>
        <v>175~</v>
      </c>
      <c r="I11" s="26" t="str">
        <f>'Raw data'!J11</f>
        <v>ENFJ ESFJ</v>
      </c>
      <c r="J11" s="26" t="str">
        <f>'Raw data'!K11</f>
        <v>무관</v>
      </c>
      <c r="K11" s="26" t="str">
        <f>'Raw data'!L11</f>
        <v>무교</v>
      </c>
      <c r="L11" s="26" t="str">
        <f>'Raw data'!M11</f>
        <v>동일</v>
      </c>
      <c r="M11" s="26" t="str">
        <f>'Raw data'!P11</f>
        <v>자영업, 공무원</v>
      </c>
      <c r="N11" s="26" t="str">
        <f>'Raw data'!N11</f>
        <v>밝고 다정한편이고 직진스타일 입니다! 운동이랑 관리도 꾸준히 하고 성실하게 살아가려고 하고 있어요!</v>
      </c>
      <c r="O11" s="26" t="str">
        <f>'Raw data'!O11</f>
        <v>키 크고 즐겨하시는 운동이 있으셨으면 좋겠습니다!</v>
      </c>
      <c r="P11" s="26">
        <f>'Raw data'!Q11</f>
        <v>0</v>
      </c>
    </row>
    <row r="12" spans="1:16" ht="16.5" customHeight="1">
      <c r="A12" s="45">
        <v>10</v>
      </c>
      <c r="B12" s="26" t="str">
        <f>'Raw data'!B12</f>
        <v>남</v>
      </c>
      <c r="C12" s="26" t="str">
        <f>'Raw data'!C12</f>
        <v>곽원호</v>
      </c>
      <c r="D12" s="26">
        <f>'Raw data'!F12</f>
        <v>49</v>
      </c>
      <c r="E12" s="26">
        <f>'Raw data'!H12</f>
        <v>175</v>
      </c>
      <c r="F12" s="26" t="str">
        <f>'Raw data'!E12</f>
        <v>제조업</v>
      </c>
      <c r="G12" s="26" t="str">
        <f>'Raw data'!G12</f>
        <v>35~</v>
      </c>
      <c r="H12" s="26" t="str">
        <f>'Raw data'!I12</f>
        <v>~165</v>
      </c>
      <c r="I12" s="26" t="str">
        <f>'Raw data'!J12</f>
        <v>INFJ</v>
      </c>
      <c r="J12" s="26" t="str">
        <f>'Raw data'!K12</f>
        <v>무관</v>
      </c>
      <c r="K12" s="26" t="str">
        <f>'Raw data'!L12</f>
        <v>무교</v>
      </c>
      <c r="L12" s="26" t="str">
        <f>'Raw data'!M12</f>
        <v>무관</v>
      </c>
      <c r="M12" s="26" t="str">
        <f>'Raw data'!P12</f>
        <v>무관</v>
      </c>
      <c r="N12" s="26" t="str">
        <f>'Raw data'!N12</f>
        <v>낮을 좀 가리지만 친해지면 말많고 이야기 잘하지만 나서는 스타일이 아님 소극적이지만 적극적일때는 또 달라짐</v>
      </c>
      <c r="O12" s="26" t="str">
        <f>'Raw data'!O12</f>
        <v>밝고 웃는 사람 제가 조용하고 그러다보니 좀 저는 밝고 웃는 사람 이었으면 좋겠습니다</v>
      </c>
      <c r="P12" s="26" t="str">
        <f>'Raw data'!Q12</f>
        <v>잘 부탁 드립니다</v>
      </c>
    </row>
    <row r="13" spans="1:16" ht="16.5" customHeight="1">
      <c r="A13" s="46">
        <v>11</v>
      </c>
      <c r="B13" s="26" t="str">
        <f>'Raw data'!B13</f>
        <v>여</v>
      </c>
      <c r="C13" s="26" t="str">
        <f>'Raw data'!C13</f>
        <v>곽찬미</v>
      </c>
      <c r="D13" s="26">
        <f>'Raw data'!F13</f>
        <v>37</v>
      </c>
      <c r="E13" s="26">
        <f>'Raw data'!H13</f>
        <v>158</v>
      </c>
      <c r="F13" s="26" t="str">
        <f>'Raw data'!E13</f>
        <v>회사원(출판업계)</v>
      </c>
      <c r="G13" s="26" t="str">
        <f>'Raw data'!G13</f>
        <v>무관</v>
      </c>
      <c r="H13" s="26" t="str">
        <f>'Raw data'!I13</f>
        <v>175~</v>
      </c>
      <c r="I13" s="26" t="str">
        <f>'Raw data'!J13</f>
        <v>ENFJ</v>
      </c>
      <c r="J13" s="26" t="str">
        <f>'Raw data'!K13</f>
        <v>무관</v>
      </c>
      <c r="K13" s="26" t="str">
        <f>'Raw data'!L13</f>
        <v>무교</v>
      </c>
      <c r="L13" s="26" t="str">
        <f>'Raw data'!M13</f>
        <v>무관</v>
      </c>
      <c r="M13" s="26" t="str">
        <f>'Raw data'!P13</f>
        <v>무관</v>
      </c>
      <c r="N13" s="26" t="str">
        <f>'Raw data'!N13</f>
        <v>투명한 사람</v>
      </c>
      <c r="O13" s="26" t="str">
        <f>'Raw data'!O13</f>
        <v>대화코드 잘 맞는 분, 선하신 분</v>
      </c>
      <c r="P13" s="26">
        <f>'Raw data'!Q13</f>
        <v>0</v>
      </c>
    </row>
    <row r="14" spans="1:16" ht="16.5" customHeight="1">
      <c r="A14" s="46">
        <v>12</v>
      </c>
      <c r="B14" s="26" t="e">
        <f>'Raw data'!#REF!</f>
        <v>#REF!</v>
      </c>
      <c r="C14" s="26" t="e">
        <f>'Raw data'!#REF!</f>
        <v>#REF!</v>
      </c>
      <c r="D14" s="26" t="e">
        <f>'Raw data'!#REF!</f>
        <v>#REF!</v>
      </c>
      <c r="E14" s="26" t="e">
        <f>'Raw data'!#REF!</f>
        <v>#REF!</v>
      </c>
      <c r="F14" s="26" t="e">
        <f>'Raw data'!#REF!</f>
        <v>#REF!</v>
      </c>
      <c r="G14" s="26" t="e">
        <f>'Raw data'!#REF!</f>
        <v>#REF!</v>
      </c>
      <c r="H14" s="26" t="e">
        <f>'Raw data'!#REF!</f>
        <v>#REF!</v>
      </c>
      <c r="I14" s="26" t="e">
        <f>'Raw data'!#REF!</f>
        <v>#REF!</v>
      </c>
      <c r="J14" s="26" t="e">
        <f>'Raw data'!#REF!</f>
        <v>#REF!</v>
      </c>
      <c r="K14" s="26" t="e">
        <f>'Raw data'!#REF!</f>
        <v>#REF!</v>
      </c>
      <c r="L14" s="26" t="e">
        <f>'Raw data'!#REF!</f>
        <v>#REF!</v>
      </c>
      <c r="M14" s="26" t="e">
        <f>'Raw data'!#REF!</f>
        <v>#REF!</v>
      </c>
      <c r="N14" s="26" t="e">
        <f>'Raw data'!#REF!</f>
        <v>#REF!</v>
      </c>
      <c r="O14" s="26" t="e">
        <f>'Raw data'!#REF!</f>
        <v>#REF!</v>
      </c>
      <c r="P14" s="26" t="e">
        <f>'Raw data'!#REF!</f>
        <v>#REF!</v>
      </c>
    </row>
    <row r="15" spans="1:16" ht="16.5" customHeight="1">
      <c r="A15" s="45">
        <v>13</v>
      </c>
      <c r="B15" s="26" t="str">
        <f>'Raw data'!B14</f>
        <v>남</v>
      </c>
      <c r="C15" s="26" t="str">
        <f>'Raw data'!C14</f>
        <v>권민재</v>
      </c>
      <c r="D15" s="26">
        <f>'Raw data'!F14</f>
        <v>34</v>
      </c>
      <c r="E15" s="26">
        <f>'Raw data'!H14</f>
        <v>168</v>
      </c>
      <c r="F15" s="26" t="str">
        <f>'Raw data'!E14</f>
        <v>자영업자 (통신업, 법인 임원/개인사업자 대표)</v>
      </c>
      <c r="G15" s="26" t="str">
        <f>'Raw data'!G14</f>
        <v>28~34</v>
      </c>
      <c r="H15" s="26" t="str">
        <f>'Raw data'!I14</f>
        <v>~160</v>
      </c>
      <c r="I15" s="26" t="str">
        <f>'Raw data'!J14</f>
        <v>ENTJ</v>
      </c>
      <c r="J15" s="26" t="str">
        <f>'Raw data'!K14</f>
        <v>무관</v>
      </c>
      <c r="K15" s="26" t="str">
        <f>'Raw data'!L14</f>
        <v>무교</v>
      </c>
      <c r="L15" s="26" t="str">
        <f>'Raw data'!M14</f>
        <v>무관</v>
      </c>
      <c r="M15" s="26" t="str">
        <f>'Raw data'!P14</f>
        <v>무관</v>
      </c>
      <c r="N15" s="26" t="str">
        <f>'Raw data'!N14</f>
        <v>진취적, 성장과 성공을 목표로 하는 사람</v>
      </c>
      <c r="O15" s="26" t="str">
        <f>'Raw data'!O14</f>
        <v>외적, 작고 아담한 스타일 (연예인, 박보영 남보라 윈터) 내적, 든든한 동료로서 미래를 함께 그려나갈 수 있는 분</v>
      </c>
      <c r="P15" s="26" t="str">
        <f>'Raw data'!Q14</f>
        <v>베이킹을 통해 인연을 만나는 자리가 있다는걸 처음 알았네요, 좋은 자리 만들어주셔서 감사합니다. 좋은 인연 만날 수 있기를 기원합니다🙏</v>
      </c>
    </row>
    <row r="16" spans="1:16" ht="16.5" customHeight="1">
      <c r="A16" s="46">
        <v>14</v>
      </c>
      <c r="B16" s="26" t="str">
        <f>'Raw data'!B15</f>
        <v>남</v>
      </c>
      <c r="C16" s="26" t="str">
        <f>'Raw data'!C15</f>
        <v>권영훈</v>
      </c>
      <c r="D16" s="26">
        <f>'Raw data'!F15</f>
        <v>43</v>
      </c>
      <c r="E16" s="26">
        <f>'Raw data'!H15</f>
        <v>175</v>
      </c>
      <c r="F16" s="26" t="str">
        <f>'Raw data'!E15</f>
        <v>코웰메디 임플란트 / 영업센터장</v>
      </c>
      <c r="G16" s="26" t="str">
        <f>'Raw data'!G15</f>
        <v>35~41</v>
      </c>
      <c r="H16" s="26" t="str">
        <f>'Raw data'!I15</f>
        <v>~170</v>
      </c>
      <c r="I16" s="26" t="str">
        <f>'Raw data'!J15</f>
        <v>ISTP</v>
      </c>
      <c r="J16" s="26" t="str">
        <f>'Raw data'!K15</f>
        <v>ISFP, ISTP, ISTJ, ESFP, ESFJ, ESTP, ESTJ</v>
      </c>
      <c r="K16" s="26" t="str">
        <f>'Raw data'!L15</f>
        <v>무교</v>
      </c>
      <c r="L16" s="26" t="str">
        <f>'Raw data'!M15</f>
        <v>무관</v>
      </c>
      <c r="M16" s="26" t="str">
        <f>'Raw data'!P15</f>
        <v>병원직군</v>
      </c>
      <c r="N16" s="26" t="str">
        <f>'Raw data'!N15</f>
        <v>차분하고 상대의 이야기를 잘 들어주고 배려심 있는 감정의 기복이 크지 않아요.</v>
      </c>
      <c r="O16" s="26" t="str">
        <f>'Raw data'!O15</f>
        <v>잘 웃고 배려심 있으며 자신만의 독특한 매력이 있는 사람</v>
      </c>
      <c r="P16" s="26" t="str">
        <f>'Raw data'!Q15</f>
        <v>업무로 인해 참석이 어려운 날에 배정된다면 변경이 가능한지 궁금합니다</v>
      </c>
    </row>
    <row r="17" spans="1:16" ht="16.5" customHeight="1">
      <c r="A17" s="46">
        <v>15</v>
      </c>
      <c r="B17" s="26" t="str">
        <f>'Raw data'!B16</f>
        <v>여</v>
      </c>
      <c r="C17" s="26" t="str">
        <f>'Raw data'!C16</f>
        <v>김가영</v>
      </c>
      <c r="D17" s="26">
        <f>'Raw data'!F16</f>
        <v>35</v>
      </c>
      <c r="E17" s="26">
        <f>'Raw data'!H16</f>
        <v>152</v>
      </c>
      <c r="F17" s="26" t="str">
        <f>'Raw data'!E16</f>
        <v>소품샵 매니저</v>
      </c>
      <c r="G17" s="26" t="str">
        <f>'Raw data'!G16</f>
        <v>31~38</v>
      </c>
      <c r="H17" s="26" t="str">
        <f>'Raw data'!I16</f>
        <v>170~180</v>
      </c>
      <c r="I17" s="26" t="str">
        <f>'Raw data'!J16</f>
        <v>ISTP</v>
      </c>
      <c r="J17" s="26" t="str">
        <f>'Raw data'!K16</f>
        <v>무관</v>
      </c>
      <c r="K17" s="26" t="str">
        <f>'Raw data'!L16</f>
        <v>무교</v>
      </c>
      <c r="L17" s="26" t="str">
        <f>'Raw data'!M16</f>
        <v>동일, 무관</v>
      </c>
      <c r="M17" s="26" t="str">
        <f>'Raw data'!P16</f>
        <v>무관</v>
      </c>
      <c r="N17" s="26" t="str">
        <f>'Raw data'!N16</f>
        <v>매너가 좋은 사람</v>
      </c>
      <c r="O17" s="26" t="str">
        <f>'Raw data'!O16</f>
        <v>차태현 최우식</v>
      </c>
      <c r="P17" s="26" t="str">
        <f>'Raw data'!Q16</f>
        <v>안녕하세요! 제가 직업 특성상 월, 화요일에 쉬어서 이때만 가능합니다</v>
      </c>
    </row>
    <row r="18" spans="1:16" ht="16.5" customHeight="1">
      <c r="A18" s="45">
        <v>16</v>
      </c>
      <c r="B18" s="26" t="str">
        <f>'Raw data'!B17</f>
        <v>여</v>
      </c>
      <c r="C18" s="26" t="str">
        <f>'Raw data'!C17</f>
        <v>김가현</v>
      </c>
      <c r="D18" s="26">
        <f>'Raw data'!F17</f>
        <v>29</v>
      </c>
      <c r="E18" s="26">
        <f>'Raw data'!H17</f>
        <v>160</v>
      </c>
      <c r="F18" s="26" t="str">
        <f>'Raw data'!E17</f>
        <v>간호사</v>
      </c>
      <c r="G18" s="26" t="str">
        <f>'Raw data'!G17</f>
        <v>24~31</v>
      </c>
      <c r="H18" s="26" t="str">
        <f>'Raw data'!I17</f>
        <v>170~180</v>
      </c>
      <c r="I18" s="26" t="str">
        <f>'Raw data'!J17</f>
        <v>INFP</v>
      </c>
      <c r="J18" s="26" t="str">
        <f>'Raw data'!K17</f>
        <v>무관</v>
      </c>
      <c r="K18" s="26" t="str">
        <f>'Raw data'!L17</f>
        <v>무교</v>
      </c>
      <c r="L18" s="26" t="str">
        <f>'Raw data'!M17</f>
        <v>동일</v>
      </c>
      <c r="M18" s="26" t="str">
        <f>'Raw data'!P17</f>
        <v>무관</v>
      </c>
      <c r="N18" s="26" t="str">
        <f>'Raw data'!N17</f>
        <v>잘 웃고 상대방을 배려하는 사람</v>
      </c>
      <c r="O18" s="26" t="str">
        <f>'Raw data'!O17</f>
        <v>귀엽고 다정다감한 사람 + 비흡연자</v>
      </c>
      <c r="P18" s="26">
        <f>'Raw data'!Q17</f>
        <v>0</v>
      </c>
    </row>
    <row r="19" spans="1:16" ht="16.5" customHeight="1">
      <c r="A19" s="46">
        <v>17</v>
      </c>
      <c r="B19" s="26" t="str">
        <f>'Raw data'!B18</f>
        <v>여</v>
      </c>
      <c r="C19" s="26" t="str">
        <f>'Raw data'!C18</f>
        <v>김경선</v>
      </c>
      <c r="D19" s="26">
        <f>'Raw data'!F18</f>
        <v>41</v>
      </c>
      <c r="E19" s="26">
        <f>'Raw data'!H18</f>
        <v>164</v>
      </c>
      <c r="F19" s="26" t="str">
        <f>'Raw data'!E18</f>
        <v>시립어린이집교사-주임교사</v>
      </c>
      <c r="G19" s="26" t="str">
        <f>'Raw data'!G18</f>
        <v>38~41</v>
      </c>
      <c r="H19" s="26" t="str">
        <f>'Raw data'!I18</f>
        <v>175~180</v>
      </c>
      <c r="I19" s="26" t="str">
        <f>'Raw data'!J18</f>
        <v>ISFP-ISTJ</v>
      </c>
      <c r="J19" s="26" t="str">
        <f>'Raw data'!K18</f>
        <v>무관</v>
      </c>
      <c r="K19" s="26" t="str">
        <f>'Raw data'!L18</f>
        <v>무교</v>
      </c>
      <c r="L19" s="26" t="str">
        <f>'Raw data'!M18</f>
        <v>무관</v>
      </c>
      <c r="M19" s="26" t="str">
        <f>'Raw data'!P18</f>
        <v>자영업</v>
      </c>
      <c r="N19" s="26" t="str">
        <f>'Raw data'!N18</f>
        <v>164에 58-9 통통한 편이고, 참해보인다는 이야기를 종종듣는 인상입노다. 친해지면 털털하고 애교도 있는데, 낮가림이 있어 먼저 다가가 편해지는데 시간을 필요로 합니다. 올곧게 바르게 살았고, 앞으로도 그럴 예정입니다. 여행을 좋아하고 맛있는걸 좋아합니다^^</v>
      </c>
      <c r="O19" s="26" t="str">
        <f>'Raw data'!O18</f>
        <v>너무 감수성이 높은 사람은 잘 안맞는것 같아요.유쾌하고 투명한 사람이 좋습니다. 성실한 사람이 좋습니다.노담이면 좋지만 아니어도 상관없고, 문신은 어려울것같습니다.</v>
      </c>
      <c r="P19" s="26">
        <f>'Raw data'!Q18</f>
        <v>0</v>
      </c>
    </row>
    <row r="20" spans="1:16" ht="16.5" customHeight="1">
      <c r="A20" s="46">
        <v>18</v>
      </c>
      <c r="B20" s="26" t="str">
        <f>'Raw data'!B19</f>
        <v>여</v>
      </c>
      <c r="C20" s="26" t="str">
        <f>'Raw data'!C19</f>
        <v>김경희</v>
      </c>
      <c r="D20" s="26">
        <f>'Raw data'!F19</f>
        <v>38</v>
      </c>
      <c r="E20" s="26">
        <f>'Raw data'!H19</f>
        <v>161</v>
      </c>
      <c r="F20" s="26" t="str">
        <f>'Raw data'!E19</f>
        <v>부산대학병원 간호부</v>
      </c>
      <c r="G20" s="26" t="str">
        <f>'Raw data'!G19</f>
        <v>35~41</v>
      </c>
      <c r="H20" s="26" t="str">
        <f>'Raw data'!I19</f>
        <v>170~</v>
      </c>
      <c r="I20" s="26" t="str">
        <f>'Raw data'!J19</f>
        <v>ESFJ</v>
      </c>
      <c r="J20" s="26" t="str">
        <f>'Raw data'!K19</f>
        <v>무관</v>
      </c>
      <c r="K20" s="26" t="str">
        <f>'Raw data'!L19</f>
        <v>무교</v>
      </c>
      <c r="L20" s="26" t="str">
        <f>'Raw data'!M19</f>
        <v>동일</v>
      </c>
      <c r="M20" s="26" t="str">
        <f>'Raw data'!P19</f>
        <v>자영업</v>
      </c>
      <c r="N20" s="26" t="str">
        <f>'Raw data'!N19</f>
        <v>차분함, 다정함, 꾸준함, 혼자서도 시간 잘 보냄</v>
      </c>
      <c r="O20" s="26" t="str">
        <f>'Raw data'!O19</f>
        <v>다정, 안정적인분</v>
      </c>
      <c r="P20" s="26">
        <f>'Raw data'!Q19</f>
        <v>0</v>
      </c>
    </row>
    <row r="21" spans="1:16" ht="16.5" customHeight="1">
      <c r="A21" s="45">
        <v>19</v>
      </c>
      <c r="B21" s="26" t="str">
        <f>'Raw data'!B20</f>
        <v>남</v>
      </c>
      <c r="C21" s="26" t="str">
        <f>'Raw data'!C20</f>
        <v>김광민</v>
      </c>
      <c r="D21" s="26">
        <f>'Raw data'!F20</f>
        <v>28</v>
      </c>
      <c r="E21" s="26">
        <f>'Raw data'!H20</f>
        <v>181</v>
      </c>
      <c r="F21" s="26" t="str">
        <f>'Raw data'!E20</f>
        <v>회사원(플랫폼업체 영업직)</v>
      </c>
      <c r="G21" s="26" t="str">
        <f>'Raw data'!G20</f>
        <v>28~31</v>
      </c>
      <c r="H21" s="26" t="str">
        <f>'Raw data'!I20</f>
        <v>160~170</v>
      </c>
      <c r="I21" s="26" t="str">
        <f>'Raw data'!J20</f>
        <v>ISFJ</v>
      </c>
      <c r="J21" s="26" t="str">
        <f>'Raw data'!K20</f>
        <v>무관</v>
      </c>
      <c r="K21" s="26" t="str">
        <f>'Raw data'!L20</f>
        <v>무교</v>
      </c>
      <c r="L21" s="26" t="str">
        <f>'Raw data'!M20</f>
        <v>무관</v>
      </c>
      <c r="M21" s="26" t="str">
        <f>'Raw data'!P20</f>
        <v>무관</v>
      </c>
      <c r="N21" s="26" t="str">
        <f>'Raw data'!N20</f>
        <v>상대방에게 웃음을 주는 게 좋고 일상 대화를 하면서 평일에 받았던 스트레스가 풀리기도 합니다
처음에는 어색해하기도 하고 낯도 많이 가리기도 하지만 몇 번 얘기하다 보면 어색함도 풀리고 더 말을 걸고 있기도 합니다
일과 생활이 완벽하게 분리가 되어있어 일할 때는 일만 하고 쉴 때는 절대 일 생각도 안 하고 일 얘기도 안 하고 살아가고 있습니다
취미는 야구를 보러 다니고 주말 아침에 축구를 하러 나가고 있습니다 야구를 같이 보러 다니는 걸 좋아하며 맛있는 음식점이 생각나면 찾아가는것도 좋아합니다
집 데이트와 밖에서 하는 데이트를 한쪽으로 몰리지 않게 하는 걸 좋아합니다
연애 스타일은 주도적인 편은 아닌 거 같고 상대방에게 맞춰주는 편입니다 뭘 하든 대화를 통해 하려고 하며 싸우더라도 대화로 바로 푸는 스타일이며 한번 좋아하기 시작하면 정말 정말 많이 좋아하는 타입입니다</v>
      </c>
      <c r="O21" s="26" t="str">
        <f>'Raw data'!O20</f>
        <v>안정적이며 대화가 잘 통하는 사람 연상이면 더 좋을거같고 연하는 선호하지 않습니다</v>
      </c>
      <c r="P21" s="26">
        <f>'Raw data'!Q20</f>
        <v>0</v>
      </c>
    </row>
    <row r="22" spans="1:16" ht="16.5" customHeight="1">
      <c r="A22" s="46">
        <v>20</v>
      </c>
      <c r="B22" s="26" t="str">
        <f>'Raw data'!B21</f>
        <v>여</v>
      </c>
      <c r="C22" s="26" t="str">
        <f>'Raw data'!C21</f>
        <v>김나영</v>
      </c>
      <c r="D22" s="26">
        <f>'Raw data'!F21</f>
        <v>26</v>
      </c>
      <c r="E22" s="26">
        <f>'Raw data'!H21</f>
        <v>161</v>
      </c>
      <c r="F22" s="26" t="str">
        <f>'Raw data'!E21</f>
        <v>(직장)어린이집 교사</v>
      </c>
      <c r="G22" s="26" t="str">
        <f>'Raw data'!G21</f>
        <v>20~31</v>
      </c>
      <c r="H22" s="26" t="str">
        <f>'Raw data'!I21</f>
        <v>170~</v>
      </c>
      <c r="I22" s="26" t="str">
        <f>'Raw data'!J21</f>
        <v>ISFJ</v>
      </c>
      <c r="J22" s="26" t="str">
        <f>'Raw data'!K21</f>
        <v>ISFP, ISTP, INFJ, ISTJ, INTJ, ISFJ, ESFP, ENFJ, ESFJ, ENTP, ESTP, ENTJ, ESTJ</v>
      </c>
      <c r="K22" s="26" t="str">
        <f>'Raw data'!L21</f>
        <v>기독교</v>
      </c>
      <c r="L22" s="26" t="str">
        <f>'Raw data'!M21</f>
        <v>동일, 무관</v>
      </c>
      <c r="M22" s="26" t="str">
        <f>'Raw data'!P21</f>
        <v>무관</v>
      </c>
      <c r="N22" s="26" t="str">
        <f>'Raw data'!N21</f>
        <v>처음 볼 때 낯가림이 있어 조금 뚝닥대고 차가워보일 수 있으나 사람 좋아하고 정이 많음. 집순이, 남사친 X 외적으로 통통한 편.. 빵 좋아하고 작고 귀여운 것들 좋아함. 최애 캐릭터는 짱구,, 입니다.</v>
      </c>
      <c r="O22" s="26" t="str">
        <f>'Raw data'!O21</f>
        <v>담배, 문신 X / 키 175 이상에 직업 있고 자기 일 열심히 하는 사람. 안경은 약간 비선호.. 무쌍이나 얇은 유쌍 선호(아랍 보다는 두부 선호) 마른 체형보다는 조금 덩치가 있는 분 선호(근육질X)</v>
      </c>
      <c r="P22" s="26">
        <f>'Raw data'!Q21</f>
        <v>0</v>
      </c>
    </row>
    <row r="23" spans="1:16" ht="16.5" customHeight="1">
      <c r="A23" s="46">
        <v>21</v>
      </c>
      <c r="B23" s="26" t="str">
        <f>'Raw data'!B22</f>
        <v>여</v>
      </c>
      <c r="C23" s="26" t="str">
        <f>'Raw data'!C22</f>
        <v>김다슬</v>
      </c>
      <c r="D23" s="26">
        <f>'Raw data'!F22</f>
        <v>29</v>
      </c>
      <c r="E23" s="26">
        <f>'Raw data'!H22</f>
        <v>164</v>
      </c>
      <c r="F23" s="26" t="str">
        <f>'Raw data'!E22</f>
        <v>신라스테이 경영지원</v>
      </c>
      <c r="G23" s="26" t="str">
        <f>'Raw data'!G22</f>
        <v>31~34</v>
      </c>
      <c r="H23" s="26" t="str">
        <f>'Raw data'!I22</f>
        <v>175~</v>
      </c>
      <c r="I23" s="26" t="str">
        <f>'Raw data'!J22</f>
        <v>ESTJ/ ESTP</v>
      </c>
      <c r="J23" s="26" t="str">
        <f>'Raw data'!K22</f>
        <v>무관, INFP, ISFP, INFJ, ISFJ, ENFP, ESFP, ENFJ, ESFJ</v>
      </c>
      <c r="K23" s="26" t="str">
        <f>'Raw data'!L22</f>
        <v>무교</v>
      </c>
      <c r="L23" s="26" t="str">
        <f>'Raw data'!M22</f>
        <v>동일, 무관</v>
      </c>
      <c r="M23" s="26" t="str">
        <f>'Raw data'!P22</f>
        <v>병원직군, 공무원</v>
      </c>
      <c r="N23" s="26" t="str">
        <f>'Raw data'!N22</f>
        <v>외관상 도도해보여 다가가기 어려워보이나 내면은 순딩순딩 친해지면 첫인상과 전혀 다른 마음 따뜻한 사람</v>
      </c>
      <c r="O23" s="26" t="str">
        <f>'Raw data'!O22</f>
        <v>키큰 강아지상</v>
      </c>
      <c r="P23" s="26">
        <f>'Raw data'!Q22</f>
        <v>0</v>
      </c>
    </row>
    <row r="24" spans="1:16" ht="16.5" customHeight="1">
      <c r="A24" s="45">
        <v>22</v>
      </c>
      <c r="B24" s="26" t="str">
        <f>'Raw data'!B23</f>
        <v>남</v>
      </c>
      <c r="C24" s="26" t="str">
        <f>'Raw data'!C23</f>
        <v>김동국</v>
      </c>
      <c r="D24" s="26">
        <f>'Raw data'!F23</f>
        <v>37</v>
      </c>
      <c r="E24" s="26">
        <f>'Raw data'!H23</f>
        <v>174</v>
      </c>
      <c r="F24" s="26" t="str">
        <f>'Raw data'!E23</f>
        <v>대학병원 행정직</v>
      </c>
      <c r="G24" s="26" t="str">
        <f>'Raw data'!G23</f>
        <v>28~38</v>
      </c>
      <c r="H24" s="26" t="str">
        <f>'Raw data'!I23</f>
        <v>160~170</v>
      </c>
      <c r="I24" s="26" t="str">
        <f>'Raw data'!J23</f>
        <v>ISTP</v>
      </c>
      <c r="J24" s="26" t="str">
        <f>'Raw data'!K23</f>
        <v>무관</v>
      </c>
      <c r="K24" s="26" t="str">
        <f>'Raw data'!L23</f>
        <v>천주교</v>
      </c>
      <c r="L24" s="26" t="str">
        <f>'Raw data'!M23</f>
        <v>무관</v>
      </c>
      <c r="M24" s="26" t="str">
        <f>'Raw data'!P23</f>
        <v>무관</v>
      </c>
      <c r="N24" s="26" t="str">
        <f>'Raw data'!N23</f>
        <v>다정하고 잘 챙겨주는사람</v>
      </c>
      <c r="O24" s="26" t="str">
        <f>'Raw data'!O23</f>
        <v>청순하고 털털하신분</v>
      </c>
      <c r="P24" s="26">
        <f>'Raw data'!Q23</f>
        <v>0</v>
      </c>
    </row>
    <row r="25" spans="1:16" ht="16.5" customHeight="1">
      <c r="A25" s="46">
        <v>23</v>
      </c>
      <c r="B25" s="26" t="str">
        <f>'Raw data'!B24</f>
        <v>남</v>
      </c>
      <c r="C25" s="26" t="str">
        <f>'Raw data'!C24</f>
        <v>김문환</v>
      </c>
      <c r="D25" s="26">
        <f>'Raw data'!F24</f>
        <v>40</v>
      </c>
      <c r="E25" s="26">
        <f>'Raw data'!H24</f>
        <v>176</v>
      </c>
      <c r="F25" s="26" t="str">
        <f>'Raw data'!E24</f>
        <v>작가, 철학연구가</v>
      </c>
      <c r="G25" s="26" t="str">
        <f>'Raw data'!G24</f>
        <v>31~41</v>
      </c>
      <c r="H25" s="26" t="str">
        <f>'Raw data'!I24</f>
        <v>160~170</v>
      </c>
      <c r="I25" s="26" t="str">
        <f>'Raw data'!J24</f>
        <v>ENTP</v>
      </c>
      <c r="J25" s="26" t="str">
        <f>'Raw data'!K24</f>
        <v>무관</v>
      </c>
      <c r="K25" s="26" t="str">
        <f>'Raw data'!L24</f>
        <v>무교</v>
      </c>
      <c r="L25" s="26" t="str">
        <f>'Raw data'!M24</f>
        <v>무관</v>
      </c>
      <c r="M25" s="26" t="str">
        <f>'Raw data'!P24</f>
        <v>무관</v>
      </c>
      <c r="N25" s="26" t="str">
        <f>'Raw data'!N24</f>
        <v>장난기 많지만 진중한 사람</v>
      </c>
      <c r="O25" s="26">
        <f>'Raw data'!O24</f>
        <v>0</v>
      </c>
      <c r="P25" s="26">
        <f>'Raw data'!Q24</f>
        <v>0</v>
      </c>
    </row>
    <row r="26" spans="1:16" ht="16.5" customHeight="1">
      <c r="A26" s="46">
        <v>24</v>
      </c>
      <c r="B26" s="26" t="str">
        <f>'Raw data'!B25</f>
        <v>여</v>
      </c>
      <c r="C26" s="26" t="str">
        <f>'Raw data'!C25</f>
        <v>김민경</v>
      </c>
      <c r="D26" s="26">
        <f>'Raw data'!F25</f>
        <v>32</v>
      </c>
      <c r="E26" s="26">
        <f>'Raw data'!H25</f>
        <v>171</v>
      </c>
      <c r="F26" s="26" t="str">
        <f>'Raw data'!E25</f>
        <v>대기업계열사, 사이버 보안</v>
      </c>
      <c r="G26" s="26" t="str">
        <f>'Raw data'!G25</f>
        <v>31~34</v>
      </c>
      <c r="H26" s="26" t="str">
        <f>'Raw data'!I25</f>
        <v>175~180</v>
      </c>
      <c r="I26" s="26" t="str">
        <f>'Raw data'!J25</f>
        <v>ENFP</v>
      </c>
      <c r="J26" s="26" t="str">
        <f>'Raw data'!K25</f>
        <v>무관</v>
      </c>
      <c r="K26" s="26" t="str">
        <f>'Raw data'!L25</f>
        <v>불교</v>
      </c>
      <c r="L26" s="26" t="str">
        <f>'Raw data'!M25</f>
        <v>무관</v>
      </c>
      <c r="M26" s="26" t="str">
        <f>'Raw data'!P25</f>
        <v>자영업</v>
      </c>
      <c r="N26" s="26" t="str">
        <f>'Raw data'!N25</f>
        <v>잘웃고 리액션 장인이라는 소리를 많이 들어요</v>
      </c>
      <c r="O26" s="26" t="str">
        <f>'Raw data'!O25</f>
        <v>제 키를 부담스러워하지 않는 사람, 말을 예쁘게 하는 사람</v>
      </c>
      <c r="P26" s="26">
        <f>'Raw data'!Q25</f>
        <v>0</v>
      </c>
    </row>
    <row r="27" spans="1:16" ht="16.5" customHeight="1">
      <c r="A27" s="45">
        <v>25</v>
      </c>
      <c r="B27" s="26" t="str">
        <f>'Raw data'!B26</f>
        <v>여</v>
      </c>
      <c r="C27" s="26" t="str">
        <f>'Raw data'!C26</f>
        <v>김민영</v>
      </c>
      <c r="D27" s="26">
        <f>'Raw data'!F26</f>
        <v>35</v>
      </c>
      <c r="E27" s="26">
        <f>'Raw data'!H26</f>
        <v>156</v>
      </c>
      <c r="F27" s="26" t="str">
        <f>'Raw data'!E26</f>
        <v>디자이너</v>
      </c>
      <c r="G27" s="26" t="str">
        <f>'Raw data'!G26</f>
        <v>31~38</v>
      </c>
      <c r="H27" s="26" t="str">
        <f>'Raw data'!I26</f>
        <v>170~180</v>
      </c>
      <c r="I27" s="26" t="str">
        <f>'Raw data'!J26</f>
        <v>INFJ</v>
      </c>
      <c r="J27" s="26" t="str">
        <f>'Raw data'!K26</f>
        <v>무관</v>
      </c>
      <c r="K27" s="26" t="str">
        <f>'Raw data'!L26</f>
        <v>천주교</v>
      </c>
      <c r="L27" s="26" t="str">
        <f>'Raw data'!M26</f>
        <v>동일, 무관</v>
      </c>
      <c r="M27" s="26" t="str">
        <f>'Raw data'!P26</f>
        <v>무관</v>
      </c>
      <c r="N27" s="26" t="str">
        <f>'Raw data'!N26</f>
        <v>밝고 긍정적이고 유쾌한사람</v>
      </c>
      <c r="O27" s="26" t="str">
        <f>'Raw data'!O26</f>
        <v>운동하는 사람!</v>
      </c>
      <c r="P27" s="26">
        <f>'Raw data'!Q26</f>
        <v>0</v>
      </c>
    </row>
    <row r="28" spans="1:16" ht="16.5" customHeight="1">
      <c r="A28" s="46">
        <v>26</v>
      </c>
      <c r="B28" s="26" t="str">
        <f>'Raw data'!B27</f>
        <v>여</v>
      </c>
      <c r="C28" s="26" t="str">
        <f>'Raw data'!C27</f>
        <v>김민정</v>
      </c>
      <c r="D28" s="26">
        <f>'Raw data'!F27</f>
        <v>30</v>
      </c>
      <c r="E28" s="26">
        <f>'Raw data'!H27</f>
        <v>155</v>
      </c>
      <c r="F28" s="26" t="str">
        <f>'Raw data'!E27</f>
        <v>어린이집/보육교사</v>
      </c>
      <c r="G28" s="26" t="str">
        <f>'Raw data'!G27</f>
        <v>28~34</v>
      </c>
      <c r="H28" s="26" t="str">
        <f>'Raw data'!I27</f>
        <v>170~180</v>
      </c>
      <c r="I28" s="26" t="str">
        <f>'Raw data'!J27</f>
        <v>ISTJ</v>
      </c>
      <c r="J28" s="26" t="str">
        <f>'Raw data'!K27</f>
        <v>무관</v>
      </c>
      <c r="K28" s="26" t="str">
        <f>'Raw data'!L27</f>
        <v>무교</v>
      </c>
      <c r="L28" s="26" t="str">
        <f>'Raw data'!M27</f>
        <v>동일</v>
      </c>
      <c r="M28" s="26" t="str">
        <f>'Raw data'!P27</f>
        <v>자영업</v>
      </c>
      <c r="N28" s="26" t="str">
        <f>'Raw data'!N27</f>
        <v xml:space="preserve">안녕하세요.
아이들을 가르치는 일을 하고 있고, 성실하게 하루하루 보내려고 노력하는 편입니다. 아침 수영으로 하루를 시작하는 걸 좋아합니다. 대화가 편하고 서로 배려할 수 있는 분을 만나면 좋겠습니다.
</v>
      </c>
      <c r="O28" s="26" t="str">
        <f>'Raw data'!O27</f>
        <v>다정한사람</v>
      </c>
      <c r="P28" s="26">
        <f>'Raw data'!Q27</f>
        <v>0</v>
      </c>
    </row>
    <row r="29" spans="1:16" ht="16.5" customHeight="1">
      <c r="A29" s="46">
        <v>27</v>
      </c>
      <c r="B29" s="26" t="str">
        <f>'Raw data'!B28</f>
        <v>여</v>
      </c>
      <c r="C29" s="26" t="str">
        <f>'Raw data'!C28</f>
        <v>김민정</v>
      </c>
      <c r="D29" s="26">
        <f>'Raw data'!F28</f>
        <v>32</v>
      </c>
      <c r="E29" s="26">
        <f>'Raw data'!H28</f>
        <v>172</v>
      </c>
      <c r="F29" s="26" t="str">
        <f>'Raw data'!E28</f>
        <v>자영업자(애견미용사</v>
      </c>
      <c r="G29" s="26" t="str">
        <f>'Raw data'!G28</f>
        <v>28~34</v>
      </c>
      <c r="H29" s="26" t="str">
        <f>'Raw data'!I28</f>
        <v>180~</v>
      </c>
      <c r="I29" s="26" t="str">
        <f>'Raw data'!J28</f>
        <v>INFJ</v>
      </c>
      <c r="J29" s="26" t="str">
        <f>'Raw data'!K28</f>
        <v>무관</v>
      </c>
      <c r="K29" s="26" t="str">
        <f>'Raw data'!L28</f>
        <v>무교</v>
      </c>
      <c r="L29" s="26" t="str">
        <f>'Raw data'!M28</f>
        <v>무관</v>
      </c>
      <c r="M29" s="26" t="str">
        <f>'Raw data'!P28</f>
        <v>자영업, 무관</v>
      </c>
      <c r="N29" s="26" t="str">
        <f>'Raw data'!N28</f>
        <v>다정한사람</v>
      </c>
      <c r="O29" s="26" t="str">
        <f>'Raw data'!O28</f>
        <v>키크고 자기관리 잘하고 운동 잘하는 사람</v>
      </c>
      <c r="P29" s="26">
        <f>'Raw data'!Q28</f>
        <v>0</v>
      </c>
    </row>
    <row r="30" spans="1:16" ht="16.5" customHeight="1">
      <c r="A30" s="45">
        <v>28</v>
      </c>
      <c r="B30" s="26" t="str">
        <f>'Raw data'!B29</f>
        <v>여</v>
      </c>
      <c r="C30" s="26" t="str">
        <f>'Raw data'!C29</f>
        <v>김민정</v>
      </c>
      <c r="D30" s="26">
        <f>'Raw data'!F29</f>
        <v>39</v>
      </c>
      <c r="E30" s="26">
        <f>'Raw data'!H29</f>
        <v>153</v>
      </c>
      <c r="F30" s="26" t="str">
        <f>'Raw data'!E29</f>
        <v>유치원교사</v>
      </c>
      <c r="G30" s="26" t="str">
        <f>'Raw data'!G29</f>
        <v>35~41</v>
      </c>
      <c r="H30" s="26" t="str">
        <f>'Raw data'!I29</f>
        <v>170~180</v>
      </c>
      <c r="I30" s="26" t="str">
        <f>'Raw data'!J29</f>
        <v>ESFJ</v>
      </c>
      <c r="J30" s="26" t="str">
        <f>'Raw data'!K29</f>
        <v>무관</v>
      </c>
      <c r="K30" s="26" t="str">
        <f>'Raw data'!L29</f>
        <v>무교</v>
      </c>
      <c r="L30" s="26" t="str">
        <f>'Raw data'!M29</f>
        <v>동일</v>
      </c>
      <c r="M30" s="26" t="str">
        <f>'Raw data'!P29</f>
        <v>자영업</v>
      </c>
      <c r="N30" s="26" t="str">
        <f>'Raw data'!N29</f>
        <v>긍정적이고 활동적인 사람</v>
      </c>
      <c r="O30" s="26" t="str">
        <f>'Raw data'!O29</f>
        <v>대화가 잘되는 사람</v>
      </c>
      <c r="P30" s="26">
        <f>'Raw data'!Q29</f>
        <v>0</v>
      </c>
    </row>
    <row r="31" spans="1:16" ht="16.5" customHeight="1">
      <c r="A31" s="46">
        <v>29</v>
      </c>
      <c r="B31" s="26" t="str">
        <f>'Raw data'!B30</f>
        <v>남</v>
      </c>
      <c r="C31" s="26" t="str">
        <f>'Raw data'!C30</f>
        <v>김민호</v>
      </c>
      <c r="D31" s="26">
        <f>'Raw data'!F30</f>
        <v>31</v>
      </c>
      <c r="E31" s="26">
        <f>'Raw data'!H30</f>
        <v>171</v>
      </c>
      <c r="F31" s="26" t="str">
        <f>'Raw data'!E30</f>
        <v>회사원 (유통업)</v>
      </c>
      <c r="G31" s="26" t="str">
        <f>'Raw data'!G30</f>
        <v>24~31</v>
      </c>
      <c r="H31" s="26" t="str">
        <f>'Raw data'!I30</f>
        <v>160~165</v>
      </c>
      <c r="I31" s="26" t="str">
        <f>'Raw data'!J30</f>
        <v>ISFP</v>
      </c>
      <c r="J31" s="26" t="str">
        <f>'Raw data'!K30</f>
        <v>ISFP, ENFP, ESFP, ENFJ, ESFJ</v>
      </c>
      <c r="K31" s="26" t="str">
        <f>'Raw data'!L30</f>
        <v>무교</v>
      </c>
      <c r="L31" s="26" t="str">
        <f>'Raw data'!M30</f>
        <v>동일</v>
      </c>
      <c r="M31" s="26" t="str">
        <f>'Raw data'!P30</f>
        <v>무관</v>
      </c>
      <c r="N31" s="26" t="str">
        <f>'Raw data'!N30</f>
        <v>친해지기 전까진 조용한 꼼꼼한 에겐
친해지면 댕댕미 있는</v>
      </c>
      <c r="O31" s="26" t="str">
        <f>'Raw data'!O30</f>
        <v>고양이상 꼼꼼하고 돌려말하지않는 여자..?</v>
      </c>
      <c r="P31" s="26">
        <f>'Raw data'!Q30</f>
        <v>0</v>
      </c>
    </row>
    <row r="32" spans="1:16" ht="16.5" customHeight="1">
      <c r="A32" s="46">
        <v>30</v>
      </c>
      <c r="B32" s="26" t="str">
        <f>'Raw data'!B31</f>
        <v>여</v>
      </c>
      <c r="C32" s="26" t="str">
        <f>'Raw data'!C31</f>
        <v>김민희</v>
      </c>
      <c r="D32" s="26">
        <f>'Raw data'!F31</f>
        <v>31</v>
      </c>
      <c r="E32" s="26">
        <f>'Raw data'!H31</f>
        <v>175</v>
      </c>
      <c r="F32" s="26" t="str">
        <f>'Raw data'!E31</f>
        <v>전산직</v>
      </c>
      <c r="G32" s="26" t="str">
        <f>'Raw data'!G31</f>
        <v>28~31</v>
      </c>
      <c r="H32" s="26" t="str">
        <f>'Raw data'!I31</f>
        <v>180~</v>
      </c>
      <c r="I32" s="26" t="str">
        <f>'Raw data'!J31</f>
        <v>ESFJ</v>
      </c>
      <c r="J32" s="26" t="str">
        <f>'Raw data'!K31</f>
        <v>INFJ, ISTJ, INTJ, ISFJ, ENFJ, ESFJ, ESTJ</v>
      </c>
      <c r="K32" s="26">
        <f>'Raw data'!L31</f>
        <v>0</v>
      </c>
      <c r="L32" s="26">
        <f>'Raw data'!M31</f>
        <v>0</v>
      </c>
      <c r="M32" s="26" t="str">
        <f>'Raw data'!P31</f>
        <v>병원직군, 기술직, 공무원, 연구직, 회사원</v>
      </c>
      <c r="N32" s="26" t="str">
        <f>'Raw data'!N31</f>
        <v>매력적이고 다정한 사람. 타인을 이해하고 배려할 줄 안다.</v>
      </c>
      <c r="O32" s="26" t="str">
        <f>'Raw data'!O31</f>
        <v>키크고 마르지 않은 체형. 배려심 있고 책임감 있는 사람</v>
      </c>
      <c r="P32" s="26" t="str">
        <f>'Raw data'!Q31</f>
        <v>키 큰 사람을 원해요,,</v>
      </c>
    </row>
    <row r="33" spans="1:16" ht="16.5" customHeight="1">
      <c r="A33" s="45">
        <v>31</v>
      </c>
      <c r="B33" s="26" t="str">
        <f>'Raw data'!B32</f>
        <v>남</v>
      </c>
      <c r="C33" s="26" t="str">
        <f>'Raw data'!C32</f>
        <v>김반석</v>
      </c>
      <c r="D33" s="26">
        <f>'Raw data'!F32</f>
        <v>31</v>
      </c>
      <c r="E33" s="26">
        <f>'Raw data'!H32</f>
        <v>176</v>
      </c>
      <c r="F33" s="26" t="str">
        <f>'Raw data'!E32</f>
        <v>IT엔지니어</v>
      </c>
      <c r="G33" s="26" t="str">
        <f>'Raw data'!G32</f>
        <v>28~31</v>
      </c>
      <c r="H33" s="26" t="str">
        <f>'Raw data'!I32</f>
        <v>160~170</v>
      </c>
      <c r="I33" s="26" t="str">
        <f>'Raw data'!J32</f>
        <v>ISFP</v>
      </c>
      <c r="J33" s="26" t="str">
        <f>'Raw data'!K32</f>
        <v>무관</v>
      </c>
      <c r="K33" s="26" t="str">
        <f>'Raw data'!L32</f>
        <v>기독교</v>
      </c>
      <c r="L33" s="26" t="str">
        <f>'Raw data'!M32</f>
        <v>무관</v>
      </c>
      <c r="M33" s="26" t="str">
        <f>'Raw data'!P32</f>
        <v>무관</v>
      </c>
      <c r="N33" s="26" t="str">
        <f>'Raw data'!N32</f>
        <v>저는 솔직한 편이라, 좋고 싫은 게 표정에 조금 드러나는 편이에요. 그래서 오히려 편하다는 얘기를 듣기도 해요.
인연을 소중하게 생각하는 편이라 한 번 만나면 오래 보고 싶은 스타일이고요.
너무 무겁기보다는, 가끔씩 툭툭 웃기는 편이에요.
목표가 생기면 어떻게든 이루려고 노력하는 편이라, 스스로는 진취적인 성향이라고 생각합니다.
잘 부탁드립니다 🙂</v>
      </c>
      <c r="O33" s="26" t="str">
        <f>'Raw data'!O32</f>
        <v>비흡연자였으면 좋겠고, 긴 머리가 잘 어울리는 분을 좋아해요. 연하이신 분이 조금 더 편하게 느껴지고, 같이 있을 때 밝고 에너지가 좋은 분이면 더 잘 맞을 것 같아요.</v>
      </c>
      <c r="P33" s="26">
        <f>'Raw data'!Q32</f>
        <v>0</v>
      </c>
    </row>
    <row r="34" spans="1:16" ht="16.5" customHeight="1">
      <c r="A34" s="46">
        <v>32</v>
      </c>
      <c r="B34" s="26" t="str">
        <f>'Raw data'!B33</f>
        <v>남</v>
      </c>
      <c r="C34" s="26" t="str">
        <f>'Raw data'!C33</f>
        <v>김사윤</v>
      </c>
      <c r="D34" s="26">
        <f>'Raw data'!F33</f>
        <v>38</v>
      </c>
      <c r="E34" s="26">
        <f>'Raw data'!H33</f>
        <v>168</v>
      </c>
      <c r="F34" s="26" t="str">
        <f>'Raw data'!E33</f>
        <v>개인 광고사진 스튜디오</v>
      </c>
      <c r="G34" s="26" t="str">
        <f>'Raw data'!G33</f>
        <v>28~38</v>
      </c>
      <c r="H34" s="26" t="str">
        <f>'Raw data'!I33</f>
        <v>~165</v>
      </c>
      <c r="I34" s="26" t="str">
        <f>'Raw data'!J33</f>
        <v>INTJ</v>
      </c>
      <c r="J34" s="26" t="str">
        <f>'Raw data'!K33</f>
        <v>INFP, ISFP, INFJ, ENFP, ESFP, ENFJ, ENTJ</v>
      </c>
      <c r="K34" s="26" t="str">
        <f>'Raw data'!L33</f>
        <v>무교, 천주교, 불교</v>
      </c>
      <c r="L34" s="26" t="str">
        <f>'Raw data'!M33</f>
        <v>동일</v>
      </c>
      <c r="M34" s="26" t="str">
        <f>'Raw data'!P33</f>
        <v>병원직군, 기술직, 자영업, 공무원, 회사원, 무관</v>
      </c>
      <c r="N34" s="26" t="str">
        <f>'Raw data'!N33</f>
        <v>서울에서 광고사진 스튜디오를 운영하는 전문사진가입니다.</v>
      </c>
      <c r="O34" s="26">
        <f>'Raw data'!O33</f>
        <v>0</v>
      </c>
      <c r="P34" s="26">
        <f>'Raw data'!Q33</f>
        <v>0</v>
      </c>
    </row>
    <row r="35" spans="1:16" ht="16.5" customHeight="1">
      <c r="A35" s="46">
        <v>33</v>
      </c>
      <c r="B35" s="26" t="str">
        <f>'Raw data'!B34</f>
        <v>여</v>
      </c>
      <c r="C35" s="26" t="str">
        <f>'Raw data'!C34</f>
        <v>김상아</v>
      </c>
      <c r="D35" s="26">
        <f>'Raw data'!F34</f>
        <v>30</v>
      </c>
      <c r="E35" s="26">
        <f>'Raw data'!H34</f>
        <v>158</v>
      </c>
      <c r="F35" s="26" t="str">
        <f>'Raw data'!E34</f>
        <v>필라테스 협회 교육강사</v>
      </c>
      <c r="G35" s="26" t="str">
        <f>'Raw data'!G34</f>
        <v>31~38</v>
      </c>
      <c r="H35" s="26" t="str">
        <f>'Raw data'!I34</f>
        <v>175~</v>
      </c>
      <c r="I35" s="26" t="str">
        <f>'Raw data'!J34</f>
        <v>ESFP</v>
      </c>
      <c r="J35" s="26" t="str">
        <f>'Raw data'!K34</f>
        <v>INFP, ISFP, INFJ, INTJ, ISFJ, ENFJ, ESFJ, ENTJ, ESTJ</v>
      </c>
      <c r="K35" s="26" t="str">
        <f>'Raw data'!L34</f>
        <v>기독교</v>
      </c>
      <c r="L35" s="26" t="str">
        <f>'Raw data'!M34</f>
        <v>무관</v>
      </c>
      <c r="M35" s="26" t="str">
        <f>'Raw data'!P34</f>
        <v>무관</v>
      </c>
      <c r="N35" s="26" t="str">
        <f>'Raw data'!N34</f>
        <v>분위기가 밝고 따뜻한사람</v>
      </c>
      <c r="O35" s="26" t="str">
        <f>'Raw data'!O34</f>
        <v>회피형 아니고 대화 잘되는 분, 안정적인 사람</v>
      </c>
      <c r="P35" s="26">
        <f>'Raw data'!Q34</f>
        <v>0</v>
      </c>
    </row>
    <row r="36" spans="1:16" ht="16.5" customHeight="1">
      <c r="A36" s="45">
        <v>34</v>
      </c>
      <c r="B36" s="26" t="str">
        <f>'Raw data'!B35</f>
        <v>여</v>
      </c>
      <c r="C36" s="26" t="str">
        <f>'Raw data'!C35</f>
        <v>김성연</v>
      </c>
      <c r="D36" s="26">
        <f>'Raw data'!F35</f>
        <v>27</v>
      </c>
      <c r="E36" s="26">
        <f>'Raw data'!H35</f>
        <v>169</v>
      </c>
      <c r="F36" s="26" t="str">
        <f>'Raw data'!E35</f>
        <v>광고대행사 마케팅</v>
      </c>
      <c r="G36" s="26" t="str">
        <f>'Raw data'!G35</f>
        <v>28~34</v>
      </c>
      <c r="H36" s="26" t="str">
        <f>'Raw data'!I35</f>
        <v>170~</v>
      </c>
      <c r="I36" s="26" t="str">
        <f>'Raw data'!J35</f>
        <v>ESFP</v>
      </c>
      <c r="J36" s="26" t="str">
        <f>'Raw data'!K35</f>
        <v>무관</v>
      </c>
      <c r="K36" s="26" t="str">
        <f>'Raw data'!L35</f>
        <v>무교</v>
      </c>
      <c r="L36" s="26" t="str">
        <f>'Raw data'!M35</f>
        <v>무관</v>
      </c>
      <c r="M36" s="26" t="str">
        <f>'Raw data'!P35</f>
        <v>무관</v>
      </c>
      <c r="N36" s="26" t="str">
        <f>'Raw data'!N35</f>
        <v>챙겨주고 챙김받는 거 좋아하는 사람 온전히 집중할 줄 아는사람
밝고 활동적인사람</v>
      </c>
      <c r="O36" s="26" t="str">
        <f>'Raw data'!O35</f>
        <v>술 많이 좋아하지않고 거짓말하지않는 사람 자기일 잘 하고있고 자격지심없는사람</v>
      </c>
      <c r="P36" s="26">
        <f>'Raw data'!Q35</f>
        <v>0</v>
      </c>
    </row>
    <row r="37" spans="1:16" ht="16.5" customHeight="1">
      <c r="A37" s="46">
        <v>35</v>
      </c>
      <c r="B37" s="26" t="str">
        <f>'Raw data'!B36</f>
        <v>남</v>
      </c>
      <c r="C37" s="26" t="str">
        <f>'Raw data'!C36</f>
        <v>김성윤</v>
      </c>
      <c r="D37" s="26">
        <f>'Raw data'!F36</f>
        <v>28</v>
      </c>
      <c r="E37" s="26">
        <f>'Raw data'!H36</f>
        <v>180</v>
      </c>
      <c r="F37" s="26" t="str">
        <f>'Raw data'!E36</f>
        <v>인지컨트롤스 배터리설계팀</v>
      </c>
      <c r="G37" s="26" t="str">
        <f>'Raw data'!G36</f>
        <v>24~31</v>
      </c>
      <c r="H37" s="26" t="str">
        <f>'Raw data'!I36</f>
        <v>160~175</v>
      </c>
      <c r="I37" s="26" t="str">
        <f>'Raw data'!J36</f>
        <v>INFP</v>
      </c>
      <c r="J37" s="26" t="str">
        <f>'Raw data'!K36</f>
        <v>무관</v>
      </c>
      <c r="K37" s="26" t="str">
        <f>'Raw data'!L36</f>
        <v>무교</v>
      </c>
      <c r="L37" s="26" t="str">
        <f>'Raw data'!M36</f>
        <v>동일</v>
      </c>
      <c r="M37" s="26" t="str">
        <f>'Raw data'!P36</f>
        <v>자영업</v>
      </c>
      <c r="N37" s="26" t="str">
        <f>'Raw data'!N36</f>
        <v>항상 긍정적이며 밝은 이미지를 가졌고 친구들이 부르는 별명으로는 골든리트리버라는 별명을 가졌습니다 애교도 많고 잘 놀아요!</v>
      </c>
      <c r="O37" s="26" t="str">
        <f>'Raw data'!O36</f>
        <v>정직하고 순하면서 바람 안피고 감정에 높낮이가 없는 사람이요</v>
      </c>
      <c r="P37" s="26">
        <f>'Raw data'!Q36</f>
        <v>0</v>
      </c>
    </row>
    <row r="38" spans="1:16" ht="16.5" customHeight="1">
      <c r="A38" s="46">
        <v>36</v>
      </c>
      <c r="B38" s="26" t="str">
        <f>'Raw data'!B37</f>
        <v>여</v>
      </c>
      <c r="C38" s="26" t="str">
        <f>'Raw data'!C37</f>
        <v>김세련</v>
      </c>
      <c r="D38" s="26">
        <f>'Raw data'!F37</f>
        <v>38</v>
      </c>
      <c r="E38" s="26">
        <f>'Raw data'!H37</f>
        <v>167</v>
      </c>
      <c r="F38" s="26" t="str">
        <f>'Raw data'!E37</f>
        <v>경찰 공무원</v>
      </c>
      <c r="G38" s="26" t="str">
        <f>'Raw data'!G37</f>
        <v>35~41</v>
      </c>
      <c r="H38" s="26" t="str">
        <f>'Raw data'!I37</f>
        <v>175~</v>
      </c>
      <c r="I38" s="26" t="str">
        <f>'Raw data'!J37</f>
        <v>ISFJ</v>
      </c>
      <c r="J38" s="26" t="str">
        <f>'Raw data'!K37</f>
        <v>무관</v>
      </c>
      <c r="K38" s="26" t="str">
        <f>'Raw data'!L37</f>
        <v>무교</v>
      </c>
      <c r="L38" s="26" t="str">
        <f>'Raw data'!M37</f>
        <v>무관</v>
      </c>
      <c r="M38" s="26" t="str">
        <f>'Raw data'!P37</f>
        <v>무관</v>
      </c>
      <c r="N38" s="26" t="str">
        <f>'Raw data'!N37</f>
        <v>책임감이 강하고 성실하고 사랑하는 사람을 챙겨주고 지지해줄수 있는 지혜로운 사람!</v>
      </c>
      <c r="O38" s="26" t="str">
        <f>'Raw data'!O37</f>
        <v>사람을 소중하게 생각하고 다름을 인정하고 마음이 따뜻한 사람</v>
      </c>
      <c r="P38" s="26">
        <f>'Raw data'!Q37</f>
        <v>0</v>
      </c>
    </row>
    <row r="39" spans="1:16" ht="16.5" customHeight="1">
      <c r="A39" s="45">
        <v>37</v>
      </c>
      <c r="B39" s="26" t="str">
        <f>'Raw data'!B38</f>
        <v>여</v>
      </c>
      <c r="C39" s="26" t="str">
        <f>'Raw data'!C38</f>
        <v>김세아</v>
      </c>
      <c r="D39" s="26">
        <f>'Raw data'!F38</f>
        <v>38</v>
      </c>
      <c r="E39" s="26">
        <f>'Raw data'!H38</f>
        <v>170</v>
      </c>
      <c r="F39" s="26" t="str">
        <f>'Raw data'!E38</f>
        <v>삼화 -HR팀</v>
      </c>
      <c r="G39" s="26" t="str">
        <f>'Raw data'!G38</f>
        <v>35~41</v>
      </c>
      <c r="H39" s="26" t="str">
        <f>'Raw data'!I38</f>
        <v>175~</v>
      </c>
      <c r="I39" s="26" t="str">
        <f>'Raw data'!J38</f>
        <v>ENTP</v>
      </c>
      <c r="J39" s="26" t="str">
        <f>'Raw data'!K38</f>
        <v>무관, ENFP, ENFJ</v>
      </c>
      <c r="K39" s="26" t="str">
        <f>'Raw data'!L38</f>
        <v>무교</v>
      </c>
      <c r="L39" s="26" t="str">
        <f>'Raw data'!M38</f>
        <v>동일</v>
      </c>
      <c r="M39" s="26" t="str">
        <f>'Raw data'!P38</f>
        <v>무관</v>
      </c>
      <c r="N39" s="26" t="str">
        <f>'Raw data'!N38</f>
        <v>세련된 취향과 따뜻한 정을 동시에 가진, '알수록 무해하고 매력적인' 사람입니다. 평일엔 치열하게 일하고, 주말엔 드라이브와 운동으로 에너지를 채우는 갓생러(God-生)예요."</v>
      </c>
      <c r="O39" s="26" t="str">
        <f>'Raw data'!O38</f>
        <v>"함께 있으면 친구처럼 편안하고 티격태격 수다 떨 수 있는 분이 이상형이에요. 본인 일에 열정적이면서도 퇴근 후엔 드라이브 한 잔의 여유를 즐길 줄 아는 듬직한 체격의 남자다운 분이면 좋겠습니다. 무엇보다 대화가 잘 통하고 배울 점이 있는 분에게 매력을 느낍니다.</v>
      </c>
      <c r="P39" s="26">
        <f>'Raw data'!Q38</f>
        <v>0</v>
      </c>
    </row>
    <row r="40" spans="1:16" ht="16.5" customHeight="1">
      <c r="A40" s="46">
        <v>38</v>
      </c>
      <c r="B40" s="26" t="str">
        <f>'Raw data'!B39</f>
        <v>여</v>
      </c>
      <c r="C40" s="26" t="str">
        <f>'Raw data'!C39</f>
        <v>김세정</v>
      </c>
      <c r="D40" s="26">
        <f>'Raw data'!F39</f>
        <v>27</v>
      </c>
      <c r="E40" s="26">
        <f>'Raw data'!H39</f>
        <v>160</v>
      </c>
      <c r="F40" s="26" t="str">
        <f>'Raw data'!E39</f>
        <v>행사기획자(국제회의)</v>
      </c>
      <c r="G40" s="26" t="str">
        <f>'Raw data'!G39</f>
        <v>28~34</v>
      </c>
      <c r="H40" s="26" t="str">
        <f>'Raw data'!I39</f>
        <v>175~180</v>
      </c>
      <c r="I40" s="26" t="str">
        <f>'Raw data'!J39</f>
        <v>ISFJ</v>
      </c>
      <c r="J40" s="26" t="str">
        <f>'Raw data'!K39</f>
        <v>INFJ, ENFP, ESFJ</v>
      </c>
      <c r="K40" s="26" t="str">
        <f>'Raw data'!L39</f>
        <v>무교</v>
      </c>
      <c r="L40" s="26" t="str">
        <f>'Raw data'!M39</f>
        <v>동일</v>
      </c>
      <c r="M40" s="26" t="str">
        <f>'Raw data'!P39</f>
        <v>무관</v>
      </c>
      <c r="N40" s="26" t="str">
        <f>'Raw data'!N39</f>
        <v>차분하지만 밝은 사람</v>
      </c>
      <c r="O40" s="26" t="str">
        <f>'Raw data'!O39</f>
        <v>유머코드, 대화가 잘 통하는 사람, 외모(두부상)</v>
      </c>
      <c r="P40" s="26">
        <f>'Raw data'!Q39</f>
        <v>0</v>
      </c>
    </row>
    <row r="41" spans="1:16" ht="16.5" customHeight="1">
      <c r="A41" s="46">
        <v>39</v>
      </c>
      <c r="B41" s="26" t="str">
        <f>'Raw data'!B40</f>
        <v>여</v>
      </c>
      <c r="C41" s="26" t="str">
        <f>'Raw data'!C40</f>
        <v>김세향</v>
      </c>
      <c r="D41" s="26">
        <f>'Raw data'!F40</f>
        <v>31</v>
      </c>
      <c r="E41" s="26">
        <f>'Raw data'!H40</f>
        <v>164</v>
      </c>
      <c r="F41" s="26" t="str">
        <f>'Raw data'!E40</f>
        <v>엔터테인먼트/매니저</v>
      </c>
      <c r="G41" s="26" t="str">
        <f>'Raw data'!G40</f>
        <v>31~38</v>
      </c>
      <c r="H41" s="26" t="str">
        <f>'Raw data'!I40</f>
        <v>175~</v>
      </c>
      <c r="I41" s="26" t="str">
        <f>'Raw data'!J40</f>
        <v>ESFJ/ESTJ</v>
      </c>
      <c r="J41" s="26" t="str">
        <f>'Raw data'!K40</f>
        <v>무관</v>
      </c>
      <c r="K41" s="26" t="str">
        <f>'Raw data'!L40</f>
        <v>무교, 불교</v>
      </c>
      <c r="L41" s="26" t="str">
        <f>'Raw data'!M40</f>
        <v>동일</v>
      </c>
      <c r="M41" s="26" t="str">
        <f>'Raw data'!P40</f>
        <v>자영업</v>
      </c>
      <c r="N41" s="26" t="str">
        <f>'Raw data'!N40</f>
        <v>알아갈 수록 첫인상이랑 다른 사람</v>
      </c>
      <c r="O41" s="26" t="str">
        <f>'Raw data'!O40</f>
        <v>골격이 크고 다정하고 상대가 뭘 좋아할까 고민하는 사람</v>
      </c>
      <c r="P41" s="26">
        <f>'Raw data'!Q40</f>
        <v>0</v>
      </c>
    </row>
    <row r="42" spans="1:16" ht="16.5" customHeight="1">
      <c r="A42" s="45">
        <v>40</v>
      </c>
      <c r="B42" s="26" t="str">
        <f>'Raw data'!B41</f>
        <v>여</v>
      </c>
      <c r="C42" s="26" t="str">
        <f>'Raw data'!C41</f>
        <v>김송미</v>
      </c>
      <c r="D42" s="26">
        <f>'Raw data'!F41</f>
        <v>35</v>
      </c>
      <c r="E42" s="26">
        <f>'Raw data'!H41</f>
        <v>166</v>
      </c>
      <c r="F42" s="26" t="str">
        <f>'Raw data'!E41</f>
        <v>소니/scm</v>
      </c>
      <c r="G42" s="26" t="str">
        <f>'Raw data'!G41</f>
        <v>31~38</v>
      </c>
      <c r="H42" s="26" t="str">
        <f>'Raw data'!I41</f>
        <v>175~</v>
      </c>
      <c r="I42" s="26" t="str">
        <f>'Raw data'!J41</f>
        <v>ENFJ</v>
      </c>
      <c r="J42" s="26" t="str">
        <f>'Raw data'!K41</f>
        <v>INFJ, ISTJ, INTJ, ISFJ, ENFJ, ESFJ, ENTJ, ESTJ</v>
      </c>
      <c r="K42" s="26" t="str">
        <f>'Raw data'!L41</f>
        <v>무교</v>
      </c>
      <c r="L42" s="26" t="str">
        <f>'Raw data'!M41</f>
        <v>무관</v>
      </c>
      <c r="M42" s="26" t="str">
        <f>'Raw data'!P41</f>
        <v>자영업</v>
      </c>
      <c r="N42" s="26" t="str">
        <f>'Raw data'!N41</f>
        <v>밝고 긍정적인사람</v>
      </c>
      <c r="O42" s="26" t="str">
        <f>'Raw data'!O41</f>
        <v>자기 관리 열심히하고 배울점이 있는사람</v>
      </c>
      <c r="P42" s="26">
        <f>'Raw data'!Q41</f>
        <v>0</v>
      </c>
    </row>
    <row r="43" spans="1:16" ht="16.5" customHeight="1">
      <c r="A43" s="46">
        <v>41</v>
      </c>
      <c r="B43" s="26" t="str">
        <f>'Raw data'!B42</f>
        <v>여</v>
      </c>
      <c r="C43" s="26" t="str">
        <f>'Raw data'!C42</f>
        <v>김수경</v>
      </c>
      <c r="D43" s="26">
        <f>'Raw data'!F42</f>
        <v>26</v>
      </c>
      <c r="E43" s="26">
        <f>'Raw data'!H42</f>
        <v>171</v>
      </c>
      <c r="F43" s="26" t="str">
        <f>'Raw data'!E42</f>
        <v>보령 제약회사, 학술팀</v>
      </c>
      <c r="G43" s="26" t="str">
        <f>'Raw data'!G42</f>
        <v>24~34</v>
      </c>
      <c r="H43" s="26" t="str">
        <f>'Raw data'!I42</f>
        <v>180~</v>
      </c>
      <c r="I43" s="26" t="str">
        <f>'Raw data'!J42</f>
        <v>INTP, ISTP 둘다 나와요</v>
      </c>
      <c r="J43" s="26" t="str">
        <f>'Raw data'!K42</f>
        <v>ISTJ, INTJ, ISFJ, ESFJ, ESTP, ENTJ, ESTJ</v>
      </c>
      <c r="K43" s="26" t="str">
        <f>'Raw data'!L42</f>
        <v>무교</v>
      </c>
      <c r="L43" s="26" t="str">
        <f>'Raw data'!M42</f>
        <v>동일</v>
      </c>
      <c r="M43" s="26" t="str">
        <f>'Raw data'!P42</f>
        <v>자영업</v>
      </c>
      <c r="N43" s="26" t="str">
        <f>'Raw data'!N42</f>
        <v>처음에는 낯을 가리는데 1:1로 보면 말을 많이 하는 사람인것 같아요〰 털털한 것 같고 사람들을 웃기는 걸 좋아하는데 또 저도 잘 웃는 것 같습니다. 운동을 좋아하고 잘하는 편이에요</v>
      </c>
      <c r="O43" s="26" t="str">
        <f>'Raw data'!O42</f>
        <v>외적인건 코가 예쁘고 눈이 날카롭지 않은 사람이 좋은 것 같아요. 내적으로는 똑똑하고 지혜롭고 감정기복 없고 성실한 사람이 좋습니다. 잘 웃는 사람도 좋아요!</v>
      </c>
      <c r="P43" s="26">
        <f>'Raw data'!Q42</f>
        <v>0</v>
      </c>
    </row>
    <row r="44" spans="1:16" ht="16.5" customHeight="1">
      <c r="A44" s="46">
        <v>42</v>
      </c>
      <c r="B44" s="26" t="str">
        <f>'Raw data'!B43</f>
        <v>여</v>
      </c>
      <c r="C44" s="26" t="str">
        <f>'Raw data'!C43</f>
        <v>김수민</v>
      </c>
      <c r="D44" s="26">
        <f>'Raw data'!F43</f>
        <v>35</v>
      </c>
      <c r="E44" s="26">
        <f>'Raw data'!H43</f>
        <v>170</v>
      </c>
      <c r="F44" s="26" t="str">
        <f>'Raw data'!E43</f>
        <v>사이버대학교/콘텐츠개발 교직원</v>
      </c>
      <c r="G44" s="26" t="str">
        <f>'Raw data'!G43</f>
        <v>31~38</v>
      </c>
      <c r="H44" s="26" t="str">
        <f>'Raw data'!I43</f>
        <v>170~</v>
      </c>
      <c r="I44" s="26" t="str">
        <f>'Raw data'!J43</f>
        <v>ISTJ</v>
      </c>
      <c r="J44" s="26" t="str">
        <f>'Raw data'!K43</f>
        <v>ESFJ, ESTJ</v>
      </c>
      <c r="K44" s="26" t="str">
        <f>'Raw data'!L43</f>
        <v>무교, 불교</v>
      </c>
      <c r="L44" s="26" t="str">
        <f>'Raw data'!M43</f>
        <v>동일</v>
      </c>
      <c r="M44" s="26" t="str">
        <f>'Raw data'!P43</f>
        <v>자영업</v>
      </c>
      <c r="N44" s="26" t="str">
        <f>'Raw data'!N43</f>
        <v>활동적이지만 조용한 사람</v>
      </c>
      <c r="O44" s="26" t="str">
        <f>'Raw data'!O43</f>
        <v>말투가 이쁘고 다정한 사람</v>
      </c>
      <c r="P44" s="26">
        <f>'Raw data'!Q43</f>
        <v>0</v>
      </c>
    </row>
    <row r="45" spans="1:16" ht="16.5" customHeight="1">
      <c r="A45" s="45">
        <v>43</v>
      </c>
      <c r="B45" s="26" t="str">
        <f>'Raw data'!B44</f>
        <v>여</v>
      </c>
      <c r="C45" s="26" t="str">
        <f>'Raw data'!C44</f>
        <v>김슬기</v>
      </c>
      <c r="D45" s="26">
        <f>'Raw data'!F44</f>
        <v>33</v>
      </c>
      <c r="E45" s="26">
        <f>'Raw data'!H44</f>
        <v>155</v>
      </c>
      <c r="F45" s="26" t="str">
        <f>'Raw data'!E44</f>
        <v>간호사(경희대병원)</v>
      </c>
      <c r="G45" s="26" t="str">
        <f>'Raw data'!G44</f>
        <v>28~34</v>
      </c>
      <c r="H45" s="26" t="str">
        <f>'Raw data'!I44</f>
        <v>175~</v>
      </c>
      <c r="I45" s="26" t="str">
        <f>'Raw data'!J44</f>
        <v>ISFP</v>
      </c>
      <c r="J45" s="26" t="str">
        <f>'Raw data'!K44</f>
        <v>무관, ESFJ</v>
      </c>
      <c r="K45" s="26" t="str">
        <f>'Raw data'!L44</f>
        <v>무교</v>
      </c>
      <c r="L45" s="26" t="str">
        <f>'Raw data'!M44</f>
        <v>무관</v>
      </c>
      <c r="M45" s="26" t="str">
        <f>'Raw data'!P44</f>
        <v>자영업</v>
      </c>
      <c r="N45" s="26" t="str">
        <f>'Raw data'!N44</f>
        <v>친해지면 다정하고 정많은사람</v>
      </c>
      <c r="O45" s="26" t="str">
        <f>'Raw data'!O44</f>
        <v>무쌍에 눈이크고 웃는게 이쁘고 다정한사람</v>
      </c>
      <c r="P45" s="26" t="str">
        <f>'Raw data'!Q44</f>
        <v>혹시나 같은직장사람은 피하고싶어요ㅠㅠ</v>
      </c>
    </row>
    <row r="46" spans="1:16" ht="16.5" customHeight="1">
      <c r="A46" s="46">
        <v>44</v>
      </c>
      <c r="B46" s="26" t="str">
        <f>'Raw data'!B45</f>
        <v>여</v>
      </c>
      <c r="C46" s="26" t="str">
        <f>'Raw data'!C45</f>
        <v>김시온</v>
      </c>
      <c r="D46" s="26">
        <f>'Raw data'!F45</f>
        <v>35</v>
      </c>
      <c r="E46" s="26">
        <f>'Raw data'!H45</f>
        <v>160</v>
      </c>
      <c r="F46" s="26" t="str">
        <f>'Raw data'!E45</f>
        <v>쇼핑몰 및 무인카페운영</v>
      </c>
      <c r="G46" s="26" t="str">
        <f>'Raw data'!G45</f>
        <v>35~38</v>
      </c>
      <c r="H46" s="26" t="str">
        <f>'Raw data'!I45</f>
        <v>175~</v>
      </c>
      <c r="I46" s="26" t="str">
        <f>'Raw data'!J45</f>
        <v>ENFP</v>
      </c>
      <c r="J46" s="26" t="str">
        <f>'Raw data'!K45</f>
        <v>무관</v>
      </c>
      <c r="K46" s="26" t="str">
        <f>'Raw data'!L45</f>
        <v>기독교</v>
      </c>
      <c r="L46" s="26" t="str">
        <f>'Raw data'!M45</f>
        <v>동일</v>
      </c>
      <c r="M46" s="26" t="str">
        <f>'Raw data'!P45</f>
        <v>무관</v>
      </c>
      <c r="N46" s="26" t="str">
        <f>'Raw data'!N45</f>
        <v>딱 엔프피에요 성격밝고 긍정적인편</v>
      </c>
      <c r="O46" s="26" t="str">
        <f>'Raw data'!O45</f>
        <v>어느정도 체격있고 운동꾸준히하시는분 깔끔한 인상</v>
      </c>
      <c r="P46" s="26">
        <f>'Raw data'!Q45</f>
        <v>0</v>
      </c>
    </row>
    <row r="47" spans="1:16" ht="16.5" customHeight="1">
      <c r="A47" s="46">
        <v>45</v>
      </c>
      <c r="B47" s="26" t="str">
        <f>'Raw data'!B46</f>
        <v>여</v>
      </c>
      <c r="C47" s="26" t="str">
        <f>'Raw data'!C46</f>
        <v>김연재</v>
      </c>
      <c r="D47" s="26">
        <f>'Raw data'!F46</f>
        <v>31</v>
      </c>
      <c r="E47" s="26">
        <f>'Raw data'!H46</f>
        <v>165</v>
      </c>
      <c r="F47" s="26" t="str">
        <f>'Raw data'!E46</f>
        <v>프리랜서 강사</v>
      </c>
      <c r="G47" s="26" t="str">
        <f>'Raw data'!G46</f>
        <v>31~34</v>
      </c>
      <c r="H47" s="26" t="str">
        <f>'Raw data'!I46</f>
        <v>175~180</v>
      </c>
      <c r="I47" s="26" t="str">
        <f>'Raw data'!J46</f>
        <v>ISTP</v>
      </c>
      <c r="J47" s="26" t="str">
        <f>'Raw data'!K46</f>
        <v>무관</v>
      </c>
      <c r="K47" s="26" t="str">
        <f>'Raw data'!L46</f>
        <v>기독교</v>
      </c>
      <c r="L47" s="26" t="str">
        <f>'Raw data'!M46</f>
        <v>무관</v>
      </c>
      <c r="M47" s="26" t="str">
        <f>'Raw data'!P46</f>
        <v>무관</v>
      </c>
      <c r="N47" s="26" t="str">
        <f>'Raw data'!N46</f>
        <v>자기관리 잘하고 운동 좋아하고 온화하면 상대방 말을 잘 들어줌</v>
      </c>
      <c r="O47" s="26" t="str">
        <f>'Raw data'!O46</f>
        <v>재밌고 듬직하고 다정다감하고 자기관리 잘하시는 키큰 분</v>
      </c>
      <c r="P47" s="26">
        <f>'Raw data'!Q46</f>
        <v>0</v>
      </c>
    </row>
    <row r="48" spans="1:16" ht="16.5" customHeight="1">
      <c r="A48" s="45">
        <v>46</v>
      </c>
      <c r="B48" s="26" t="str">
        <f>'Raw data'!B47</f>
        <v>여</v>
      </c>
      <c r="C48" s="26" t="str">
        <f>'Raw data'!C47</f>
        <v>김영현</v>
      </c>
      <c r="D48" s="26">
        <f>'Raw data'!F47</f>
        <v>31</v>
      </c>
      <c r="E48" s="26">
        <f>'Raw data'!H47</f>
        <v>160</v>
      </c>
      <c r="F48" s="26" t="str">
        <f>'Raw data'!E47</f>
        <v>글로벌 마케팅 (아모레퍼시픽)</v>
      </c>
      <c r="G48" s="26" t="str">
        <f>'Raw data'!G47</f>
        <v>28~34</v>
      </c>
      <c r="H48" s="26" t="str">
        <f>'Raw data'!I47</f>
        <v>165~180</v>
      </c>
      <c r="I48" s="26" t="str">
        <f>'Raw data'!J47</f>
        <v>ESFJ</v>
      </c>
      <c r="J48" s="26" t="str">
        <f>'Raw data'!K47</f>
        <v>무관</v>
      </c>
      <c r="K48" s="26" t="str">
        <f>'Raw data'!L47</f>
        <v>무교</v>
      </c>
      <c r="L48" s="26" t="str">
        <f>'Raw data'!M47</f>
        <v>동일</v>
      </c>
      <c r="M48" s="26" t="str">
        <f>'Raw data'!P47</f>
        <v>자영업, 공무원</v>
      </c>
      <c r="N48" s="26" t="str">
        <f>'Raw data'!N47</f>
        <v>처음엔 차분하고 조용하지만 친해지면 장난도 많이 치는 친근한 스타일입니다</v>
      </c>
      <c r="O48" s="26" t="str">
        <f>'Raw data'!O47</f>
        <v>선한 사람, 본인 일에 열심히 인 사람</v>
      </c>
      <c r="P48" s="26">
        <f>'Raw data'!Q47</f>
        <v>0</v>
      </c>
    </row>
    <row r="49" spans="1:16" ht="16.5" customHeight="1">
      <c r="A49" s="46">
        <v>47</v>
      </c>
      <c r="B49" s="26" t="str">
        <f>'Raw data'!B48</f>
        <v>여</v>
      </c>
      <c r="C49" s="26" t="str">
        <f>'Raw data'!C48</f>
        <v>김예림</v>
      </c>
      <c r="D49" s="26">
        <f>'Raw data'!F48</f>
        <v>31</v>
      </c>
      <c r="E49" s="26">
        <f>'Raw data'!H48</f>
        <v>167</v>
      </c>
      <c r="F49" s="26" t="str">
        <f>'Raw data'!E48</f>
        <v>간호사</v>
      </c>
      <c r="G49" s="26" t="str">
        <f>'Raw data'!G48</f>
        <v>28~34</v>
      </c>
      <c r="H49" s="26" t="str">
        <f>'Raw data'!I48</f>
        <v>175~</v>
      </c>
      <c r="I49" s="26" t="str">
        <f>'Raw data'!J48</f>
        <v>ESFJ</v>
      </c>
      <c r="J49" s="26" t="str">
        <f>'Raw data'!K48</f>
        <v>무관</v>
      </c>
      <c r="K49" s="26" t="str">
        <f>'Raw data'!L48</f>
        <v>천주교</v>
      </c>
      <c r="L49" s="26" t="str">
        <f>'Raw data'!M48</f>
        <v>무관</v>
      </c>
      <c r="M49" s="26" t="str">
        <f>'Raw data'!P48</f>
        <v>자영업</v>
      </c>
      <c r="N49" s="26" t="str">
        <f>'Raw data'!N48</f>
        <v>밝고 리액션이 좋아 남의 이야기를 잘 들어줍니다. 주변에서는 분위기가 편안하다는 이야길 종종 듣습니다. 자기계발하는걸 좋아해 취미도 다양하게 가지고 있습니다. 최근에는 서울로 이직하고 싶어 이직준비 중입니다.</v>
      </c>
      <c r="O49" s="26" t="str">
        <f>'Raw data'!O48</f>
        <v>자신의 일에 자부심이 있고 이야기를 잘 들어주는 사람</v>
      </c>
      <c r="P49" s="26">
        <f>'Raw data'!Q48</f>
        <v>0</v>
      </c>
    </row>
    <row r="50" spans="1:16" ht="16.5" customHeight="1">
      <c r="A50" s="46">
        <v>48</v>
      </c>
      <c r="B50" s="26" t="str">
        <f>'Raw data'!B49</f>
        <v>남</v>
      </c>
      <c r="C50" s="26" t="str">
        <f>'Raw data'!C49</f>
        <v>김우영</v>
      </c>
      <c r="D50" s="26">
        <f>'Raw data'!F49</f>
        <v>34</v>
      </c>
      <c r="E50" s="26">
        <f>'Raw data'!H49</f>
        <v>174</v>
      </c>
      <c r="F50" s="26" t="str">
        <f>'Raw data'!E49</f>
        <v>테이블오더 법인회사 대표</v>
      </c>
      <c r="G50" s="26" t="str">
        <f>'Raw data'!G49</f>
        <v>20~38</v>
      </c>
      <c r="H50" s="26" t="str">
        <f>'Raw data'!I49</f>
        <v>~170</v>
      </c>
      <c r="I50" s="26" t="str">
        <f>'Raw data'!J49</f>
        <v>ESFJ</v>
      </c>
      <c r="J50" s="26" t="str">
        <f>'Raw data'!K49</f>
        <v>무관</v>
      </c>
      <c r="K50" s="26" t="str">
        <f>'Raw data'!L49</f>
        <v>무교</v>
      </c>
      <c r="L50" s="26" t="str">
        <f>'Raw data'!M49</f>
        <v>무관</v>
      </c>
      <c r="M50" s="26" t="str">
        <f>'Raw data'!P49</f>
        <v>무관</v>
      </c>
      <c r="N50" s="26" t="str">
        <f>'Raw data'!N49</f>
        <v>다정한듯 잘 챙겨주고 배려하는 재밌는 사람</v>
      </c>
      <c r="O50" s="26" t="str">
        <f>'Raw data'!O49</f>
        <v>반전매력의 소유자</v>
      </c>
      <c r="P50" s="26">
        <f>'Raw data'!Q49</f>
        <v>0</v>
      </c>
    </row>
    <row r="51" spans="1:16" ht="16.5" customHeight="1">
      <c r="A51" s="45">
        <v>49</v>
      </c>
      <c r="B51" s="26" t="str">
        <f>'Raw data'!B50</f>
        <v>여</v>
      </c>
      <c r="C51" s="26" t="str">
        <f>'Raw data'!C50</f>
        <v>김유경</v>
      </c>
      <c r="D51" s="26">
        <f>'Raw data'!F50</f>
        <v>36</v>
      </c>
      <c r="E51" s="26">
        <f>'Raw data'!H50</f>
        <v>168</v>
      </c>
      <c r="F51" s="26" t="str">
        <f>'Raw data'!E50</f>
        <v>학원 사업</v>
      </c>
      <c r="G51" s="26" t="str">
        <f>'Raw data'!G50</f>
        <v>28~38</v>
      </c>
      <c r="H51" s="26" t="str">
        <f>'Raw data'!I50</f>
        <v>170~</v>
      </c>
      <c r="I51" s="26" t="str">
        <f>'Raw data'!J50</f>
        <v>ENTP</v>
      </c>
      <c r="J51" s="26" t="str">
        <f>'Raw data'!K50</f>
        <v>INFP, INTP, INFJ, INTJ, ENFP, ENFJ, ENTP, ENTJ</v>
      </c>
      <c r="K51" s="26" t="str">
        <f>'Raw data'!L50</f>
        <v>무교</v>
      </c>
      <c r="L51" s="26" t="str">
        <f>'Raw data'!M50</f>
        <v>무관</v>
      </c>
      <c r="M51" s="26" t="str">
        <f>'Raw data'!P50</f>
        <v>무관</v>
      </c>
      <c r="N51" s="26" t="str">
        <f>'Raw data'!N50</f>
        <v>사람들과 금방 친해지고 배우는걸 좋아하는 호기심이 많은 사람입니다.</v>
      </c>
      <c r="O51" s="26" t="str">
        <f>'Raw data'!O50</f>
        <v>성실하고 다정한 분 . 예술가 선호 합니다.</v>
      </c>
      <c r="P51" s="26">
        <f>'Raw data'!Q50</f>
        <v>0</v>
      </c>
    </row>
    <row r="52" spans="1:16" ht="16.5" customHeight="1">
      <c r="A52" s="46">
        <v>50</v>
      </c>
      <c r="B52" s="26" t="str">
        <f>'Raw data'!B51</f>
        <v>여</v>
      </c>
      <c r="C52" s="26" t="str">
        <f>'Raw data'!C51</f>
        <v>김유빈</v>
      </c>
      <c r="D52" s="26">
        <f>'Raw data'!F51</f>
        <v>30</v>
      </c>
      <c r="E52" s="26">
        <f>'Raw data'!H51</f>
        <v>165</v>
      </c>
      <c r="F52" s="26" t="str">
        <f>'Raw data'!E51</f>
        <v>교사</v>
      </c>
      <c r="G52" s="26" t="str">
        <f>'Raw data'!G51</f>
        <v>31~34</v>
      </c>
      <c r="H52" s="26" t="str">
        <f>'Raw data'!I51</f>
        <v>170~180</v>
      </c>
      <c r="I52" s="26" t="str">
        <f>'Raw data'!J51</f>
        <v>ESTJ</v>
      </c>
      <c r="J52" s="26" t="str">
        <f>'Raw data'!K51</f>
        <v>무관</v>
      </c>
      <c r="K52" s="26" t="str">
        <f>'Raw data'!L51</f>
        <v>무교</v>
      </c>
      <c r="L52" s="26" t="str">
        <f>'Raw data'!M51</f>
        <v>동일</v>
      </c>
      <c r="M52" s="26" t="str">
        <f>'Raw data'!P51</f>
        <v>공무원, 연구직, 회사원</v>
      </c>
      <c r="N52" s="26" t="str">
        <f>'Raw data'!N51</f>
        <v>자기계발을 좋아하고 사람들과 함께하는 시간들을 좋아함</v>
      </c>
      <c r="O52" s="26" t="str">
        <f>'Raw data'!O51</f>
        <v>내적 외적 자기관리를 꾸준히 하는 사람</v>
      </c>
      <c r="P52" s="26">
        <f>'Raw data'!Q51</f>
        <v>0</v>
      </c>
    </row>
    <row r="53" spans="1:16" ht="16.5" customHeight="1">
      <c r="A53" s="46">
        <v>51</v>
      </c>
      <c r="B53" s="26" t="str">
        <f>'Raw data'!B52</f>
        <v>여</v>
      </c>
      <c r="C53" s="26" t="str">
        <f>'Raw data'!C52</f>
        <v>김유진</v>
      </c>
      <c r="D53" s="26">
        <f>'Raw data'!F52</f>
        <v>32</v>
      </c>
      <c r="E53" s="26">
        <f>'Raw data'!H52</f>
        <v>163</v>
      </c>
      <c r="F53" s="26" t="str">
        <f>'Raw data'!E52</f>
        <v>마케터</v>
      </c>
      <c r="G53" s="26" t="str">
        <f>'Raw data'!G52</f>
        <v>31~38</v>
      </c>
      <c r="H53" s="26" t="str">
        <f>'Raw data'!I52</f>
        <v>175~</v>
      </c>
      <c r="I53" s="26" t="str">
        <f>'Raw data'!J52</f>
        <v>ENTP &amp; ENFP</v>
      </c>
      <c r="J53" s="26" t="str">
        <f>'Raw data'!K52</f>
        <v>무관, ISFJ, ENFJ, ESFJ, ENTP, ENTJ</v>
      </c>
      <c r="K53" s="26" t="str">
        <f>'Raw data'!L52</f>
        <v>무교, 불교</v>
      </c>
      <c r="L53" s="26" t="str">
        <f>'Raw data'!M52</f>
        <v>동일</v>
      </c>
      <c r="M53" s="26" t="str">
        <f>'Raw data'!P52</f>
        <v>무관</v>
      </c>
      <c r="N53" s="26" t="str">
        <f>'Raw data'!N52</f>
        <v>취미부자 비타민c인간</v>
      </c>
      <c r="O53" s="26" t="str">
        <f>'Raw data'!O52</f>
        <v>티키타카잘되는사람</v>
      </c>
      <c r="P53" s="26">
        <f>'Raw data'!Q52</f>
        <v>0</v>
      </c>
    </row>
    <row r="54" spans="1:16" ht="16.5" customHeight="1">
      <c r="A54" s="45">
        <v>52</v>
      </c>
      <c r="B54" s="26" t="str">
        <f>'Raw data'!B53</f>
        <v>여</v>
      </c>
      <c r="C54" s="26" t="str">
        <f>'Raw data'!C53</f>
        <v>김유진</v>
      </c>
      <c r="D54" s="26">
        <f>'Raw data'!F53</f>
        <v>38</v>
      </c>
      <c r="E54" s="26">
        <f>'Raw data'!H53</f>
        <v>162</v>
      </c>
      <c r="F54" s="26" t="str">
        <f>'Raw data'!E53</f>
        <v>검안사</v>
      </c>
      <c r="G54" s="26" t="str">
        <f>'Raw data'!G53</f>
        <v>35~41</v>
      </c>
      <c r="H54" s="26" t="str">
        <f>'Raw data'!I53</f>
        <v>175~180</v>
      </c>
      <c r="I54" s="26" t="str">
        <f>'Raw data'!J53</f>
        <v>ENTJ</v>
      </c>
      <c r="J54" s="26" t="str">
        <f>'Raw data'!K53</f>
        <v>무관</v>
      </c>
      <c r="K54" s="26" t="str">
        <f>'Raw data'!L53</f>
        <v>무교</v>
      </c>
      <c r="L54" s="26" t="str">
        <f>'Raw data'!M53</f>
        <v>동일</v>
      </c>
      <c r="M54" s="26" t="str">
        <f>'Raw data'!P53</f>
        <v>자영업, 무관</v>
      </c>
      <c r="N54" s="26" t="str">
        <f>'Raw data'!N53</f>
        <v>잘 웃고 밝은사람, 긍정적인편, 강해보이지만여린편, 행복지수가 높은사람, 테겐녀, 배려도 있고 강단도 있음</v>
      </c>
      <c r="O54" s="26" t="str">
        <f>'Raw data'!O53</f>
        <v>나랑 비슷한 느낌의 사람(선하게 생겼고 잘 웃는 사람, 유연한사고를 하는사람, 자존심내세우지않고 자존감은 높은사람, 배려가 있는사람) 테겐남, 고은말을 사용하고 다정한 사람</v>
      </c>
      <c r="P54" s="26">
        <f>'Raw data'!Q53</f>
        <v>0</v>
      </c>
    </row>
    <row r="55" spans="1:16" ht="16.5" customHeight="1">
      <c r="A55" s="46">
        <v>53</v>
      </c>
      <c r="B55" s="26" t="str">
        <f>'Raw data'!B54</f>
        <v>여</v>
      </c>
      <c r="C55" s="26" t="str">
        <f>'Raw data'!C54</f>
        <v>김은하</v>
      </c>
      <c r="D55" s="26">
        <f>'Raw data'!F54</f>
        <v>35</v>
      </c>
      <c r="E55" s="26">
        <f>'Raw data'!H54</f>
        <v>160</v>
      </c>
      <c r="F55" s="26" t="str">
        <f>'Raw data'!E54</f>
        <v>대기업계열사 기획자</v>
      </c>
      <c r="G55" s="26" t="str">
        <f>'Raw data'!G54</f>
        <v>31~38</v>
      </c>
      <c r="H55" s="26" t="str">
        <f>'Raw data'!I54</f>
        <v>175~180</v>
      </c>
      <c r="I55" s="26" t="str">
        <f>'Raw data'!J54</f>
        <v>ENFJ</v>
      </c>
      <c r="J55" s="26" t="str">
        <f>'Raw data'!K54</f>
        <v>INFP, ISFP, INFJ, ISFJ</v>
      </c>
      <c r="K55" s="26" t="str">
        <f>'Raw data'!L54</f>
        <v>무교</v>
      </c>
      <c r="L55" s="26" t="str">
        <f>'Raw data'!M54</f>
        <v>동일</v>
      </c>
      <c r="M55" s="26" t="str">
        <f>'Raw data'!P54</f>
        <v>무관</v>
      </c>
      <c r="N55" s="26" t="str">
        <f>'Raw data'!N54</f>
        <v>활발하고 밝음</v>
      </c>
      <c r="O55" s="26" t="str">
        <f>'Raw data'!O54</f>
        <v>내향인, 운동 좋아하는 사람</v>
      </c>
      <c r="P55" s="26">
        <f>'Raw data'!Q54</f>
        <v>0</v>
      </c>
    </row>
    <row r="56" spans="1:16" ht="16.5" customHeight="1">
      <c r="A56" s="46">
        <v>54</v>
      </c>
      <c r="B56" s="26" t="str">
        <f>'Raw data'!B55</f>
        <v>남</v>
      </c>
      <c r="C56" s="26" t="str">
        <f>'Raw data'!C55</f>
        <v>김응혁</v>
      </c>
      <c r="D56" s="26">
        <f>'Raw data'!F55</f>
        <v>26</v>
      </c>
      <c r="E56" s="26">
        <f>'Raw data'!H55</f>
        <v>175</v>
      </c>
      <c r="F56" s="26" t="str">
        <f>'Raw data'!E55</f>
        <v>향수매장 직원</v>
      </c>
      <c r="G56" s="26" t="str">
        <f>'Raw data'!G55</f>
        <v>24~31</v>
      </c>
      <c r="H56" s="26" t="str">
        <f>'Raw data'!I55</f>
        <v>~165</v>
      </c>
      <c r="I56" s="26" t="str">
        <f>'Raw data'!J55</f>
        <v>ISTJ</v>
      </c>
      <c r="J56" s="26" t="str">
        <f>'Raw data'!K55</f>
        <v>무관</v>
      </c>
      <c r="K56" s="26" t="str">
        <f>'Raw data'!L55</f>
        <v>무교</v>
      </c>
      <c r="L56" s="26" t="str">
        <f>'Raw data'!M55</f>
        <v>무관</v>
      </c>
      <c r="M56" s="26" t="str">
        <f>'Raw data'!P55</f>
        <v>병원직군</v>
      </c>
      <c r="N56" s="26" t="str">
        <f>'Raw data'!N55</f>
        <v>솔직한 사람</v>
      </c>
      <c r="O56" s="26" t="str">
        <f>'Raw data'!O55</f>
        <v>기댈수있는 사람</v>
      </c>
      <c r="P56" s="26" t="str">
        <f>'Raw data'!Q55</f>
        <v>잘부탁드립니다!</v>
      </c>
    </row>
    <row r="57" spans="1:16" ht="16.5" customHeight="1">
      <c r="A57" s="45">
        <v>55</v>
      </c>
      <c r="B57" s="26" t="str">
        <f>'Raw data'!B56</f>
        <v>남</v>
      </c>
      <c r="C57" s="26" t="str">
        <f>'Raw data'!C56</f>
        <v>김정용</v>
      </c>
      <c r="D57" s="26">
        <f>'Raw data'!F56</f>
        <v>34</v>
      </c>
      <c r="E57" s="26">
        <f>'Raw data'!H56</f>
        <v>170</v>
      </c>
      <c r="F57" s="26" t="str">
        <f>'Raw data'!E56</f>
        <v>컬리, MD</v>
      </c>
      <c r="G57" s="26" t="str">
        <f>'Raw data'!G56</f>
        <v>28~34</v>
      </c>
      <c r="H57" s="26" t="str">
        <f>'Raw data'!I56</f>
        <v>~170</v>
      </c>
      <c r="I57" s="26" t="str">
        <f>'Raw data'!J56</f>
        <v>ENFP</v>
      </c>
      <c r="J57" s="26" t="str">
        <f>'Raw data'!K56</f>
        <v>INFP, INFJ, INTJ, ENFJ, ENTJ</v>
      </c>
      <c r="K57" s="26" t="str">
        <f>'Raw data'!L56</f>
        <v>기독교</v>
      </c>
      <c r="L57" s="26" t="str">
        <f>'Raw data'!M56</f>
        <v>무관</v>
      </c>
      <c r="M57" s="26">
        <f>'Raw data'!P56</f>
        <v>0</v>
      </c>
      <c r="N57" s="26" t="str">
        <f>'Raw data'!N56</f>
        <v>안녕하세요.
사람 만나는 걸 좋아하는 93년생 ENFP 남자입니다. 혼자보다는 여럿이 함께할 때 더 즐겁고, 같이 좋은 분위기를 만들어가는 걸 좋아합니다. 그래서 회사든 일상이든 혼자 결과를 내는 것보다, 함께 웃으면서 성과를 냈을 때 더 보람을 느끼는 편인 것 같습니다.
주변에서는 다정하고 세심하다는 이야기를 종종 듣습니다. 성격 자체가 즐거움을 추구하고 밝고 긍정적인 편이라서, 동성·이성 가리지 않고 재밌고 편한 분들과 잘 어울리는 것 같습니다.
[일상 &amp; 취미]
보통 쉬는 날에는 맛집이나 분위기가 좋은 카페에 가서 시간을 보내는 걸 좋아합니다. 노트북 하나 들고 가서 이것저것 기록하거나, 커피를 천천히 음미하면서 보내는 여유로운 시간이 평일에 커피 마시는 것과는 다르게 꽤 소중하다고 생각합니다.
운동도 꾸준히 하고 있습니다. 퇴근 후에 바로 크로스핏 같은 단체 운동을 3년 정도 하고 있는데, 친목 목적이라기보다는 “같이 운동하는 에너지”가 좋아서 꾸준히 하고 있습니다.
그리고 작년 여름부터 날씨 좋은 날에는 러닝도 하고 있습니다. 생각이 많을 때 뛰면 머리가 정리되고 기분이 한결 가벼워져서 주말에 자주 뛰는 편입니다.</v>
      </c>
      <c r="O57" s="26" t="str">
        <f>'Raw data'!O56</f>
        <v>[외적 부분] - 너무 화려하기 보다는 수수하고 청순한 느낌을 좋아합니다. 이목구비의 조화가 좋으신 분을 선호합니다. 또한, 머리숱이 많으신 분에게 매력을 느낍니다. - 이상형으로는 김아랑 선수, 최윤지 배우님, 한로로님, 김시현 셰프님과 같은 분들이 있지만, 결국 이상형은 이상형일 뿐 직접 만나서 느낌이 오는 분은 이 부분과 또 다르다고 생각합니다. [성격] - 성격은 저랑 비슷한 분을 선호합니다. 감정선이 너무 감정적이시기 보다는 조금은 평온한 성격을 좋아합니다. 그렇다고 감정이 없는 분이 아니라 기쁠 때 같이 기뻐하고, 화낼 때 같이 화낼 수 있는 분이 좋습니다. 그리고 너무 나서는 성격보다는 눈치를 보더라도 조금은 조심스러워하는 성격을 선호하는 편입니다. 또한 제가 장난치거나 재밌는 이야기를 하는 걸 좋아하는 편이다 보니 개그 코드가 잘 맞는 분이거나 잘 들어줄 수 있는 성격이면 좋을 것 같습니다. [직업] - 직업은 크게 상관 없다고 생각합니다. 비슷한 업계에서 일해서 업무적인 이야기를 어느 정도 해도 좋다고 생각하고, 아예 달라서 그런 점들을 이야기하는 것도 좋다고 생각합니다. 공통적으로 이야기할 것들이 많으면 좋을 것 같습니다. 다만, 스케줄 근무를 하시거나 직장을 다니시지 않는 프리랜서분들보다는 보통적인 9-6 직장인을 더 선호합니다. [취미] - 저처럼 운동을 즐길 수 있는 분이면 좋을 것 같습니다. 같이 운동을 하러 가거나 같이 런닝을 해도 좋을 것 같습니다. 그러면서 동시에 맛집이나 카페 같이 새로운 곳들에 가서 새로운 음식들을 경험하는 것을 좋아하는 분이면 좋을 것 같습니다.</v>
      </c>
      <c r="P57" s="26">
        <f>'Raw data'!Q56</f>
        <v>0</v>
      </c>
    </row>
    <row r="58" spans="1:16" ht="16.5" customHeight="1">
      <c r="A58" s="46">
        <v>56</v>
      </c>
      <c r="B58" s="26" t="str">
        <f>'Raw data'!B57</f>
        <v>남</v>
      </c>
      <c r="C58" s="26" t="str">
        <f>'Raw data'!C57</f>
        <v>김준수</v>
      </c>
      <c r="D58" s="26">
        <f>'Raw data'!F57</f>
        <v>30</v>
      </c>
      <c r="E58" s="26">
        <f>'Raw data'!H57</f>
        <v>173</v>
      </c>
      <c r="F58" s="26" t="str">
        <f>'Raw data'!E57</f>
        <v>체육관관장</v>
      </c>
      <c r="G58" s="26" t="str">
        <f>'Raw data'!G57</f>
        <v>24~31</v>
      </c>
      <c r="H58" s="26" t="str">
        <f>'Raw data'!I57</f>
        <v>~170</v>
      </c>
      <c r="I58" s="26" t="str">
        <f>'Raw data'!J57</f>
        <v>ENFP</v>
      </c>
      <c r="J58" s="26" t="str">
        <f>'Raw data'!K57</f>
        <v>무관</v>
      </c>
      <c r="K58" s="26" t="str">
        <f>'Raw data'!L57</f>
        <v>무교</v>
      </c>
      <c r="L58" s="26" t="str">
        <f>'Raw data'!M57</f>
        <v>무관</v>
      </c>
      <c r="M58" s="26" t="str">
        <f>'Raw data'!P57</f>
        <v>무관</v>
      </c>
      <c r="N58" s="26" t="str">
        <f>'Raw data'!N57</f>
        <v>재치있고 유머러스함.편하다는 소리를 자주 들음</v>
      </c>
      <c r="O58" s="26" t="str">
        <f>'Raw data'!O57</f>
        <v>귀엽고 나를 잘 이해해주고 공감해주는사람</v>
      </c>
      <c r="P58" s="26">
        <f>'Raw data'!Q57</f>
        <v>0</v>
      </c>
    </row>
    <row r="59" spans="1:16" ht="16.5" customHeight="1">
      <c r="A59" s="46">
        <v>57</v>
      </c>
      <c r="B59" s="26" t="str">
        <f>'Raw data'!B58</f>
        <v>여</v>
      </c>
      <c r="C59" s="26" t="str">
        <f>'Raw data'!C58</f>
        <v>김지연</v>
      </c>
      <c r="D59" s="26">
        <f>'Raw data'!F58</f>
        <v>32</v>
      </c>
      <c r="E59" s="26">
        <f>'Raw data'!H58</f>
        <v>158</v>
      </c>
      <c r="F59" s="26" t="str">
        <f>'Raw data'!E58</f>
        <v>초등교사</v>
      </c>
      <c r="G59" s="26" t="str">
        <f>'Raw data'!G58</f>
        <v>28~34</v>
      </c>
      <c r="H59" s="26" t="str">
        <f>'Raw data'!I58</f>
        <v>170~</v>
      </c>
      <c r="I59" s="26" t="str">
        <f>'Raw data'!J58</f>
        <v>ENFJ</v>
      </c>
      <c r="J59" s="26" t="str">
        <f>'Raw data'!K58</f>
        <v>무관</v>
      </c>
      <c r="K59" s="26" t="str">
        <f>'Raw data'!L58</f>
        <v>무교</v>
      </c>
      <c r="L59" s="26" t="str">
        <f>'Raw data'!M58</f>
        <v>무관</v>
      </c>
      <c r="M59" s="26" t="str">
        <f>'Raw data'!P58</f>
        <v>자영업, 공무원</v>
      </c>
      <c r="N59" s="26" t="str">
        <f>'Raw data'!N58</f>
        <v>긍정적이고 밝은 에너지를 가진 사람. 다정하고 책임감 있음. 새로운 거에 대한 두려움 없음.</v>
      </c>
      <c r="O59" s="26" t="str">
        <f>'Raw data'!O58</f>
        <v>맹구(무던, 듬직, 자기 분야가 있는 사람!)</v>
      </c>
      <c r="P59" s="26">
        <f>'Raw data'!Q58</f>
        <v>0</v>
      </c>
    </row>
    <row r="60" spans="1:16" ht="16.5" customHeight="1">
      <c r="A60" s="45">
        <v>58</v>
      </c>
      <c r="B60" s="26" t="str">
        <f>'Raw data'!B59</f>
        <v>여</v>
      </c>
      <c r="C60" s="26" t="str">
        <f>'Raw data'!C59</f>
        <v>김지현</v>
      </c>
      <c r="D60" s="26">
        <f>'Raw data'!F59</f>
        <v>35</v>
      </c>
      <c r="E60" s="26">
        <f>'Raw data'!H59</f>
        <v>158</v>
      </c>
      <c r="F60" s="26" t="str">
        <f>'Raw data'!E59</f>
        <v>건축설계 프리랜서</v>
      </c>
      <c r="G60" s="26" t="str">
        <f>'Raw data'!G59</f>
        <v>31~41</v>
      </c>
      <c r="H60" s="26" t="str">
        <f>'Raw data'!I59</f>
        <v>170~</v>
      </c>
      <c r="I60" s="26" t="str">
        <f>'Raw data'!J59</f>
        <v>ESFJ</v>
      </c>
      <c r="J60" s="26" t="str">
        <f>'Raw data'!K59</f>
        <v>ENFP, ESFP, ENFJ, ESFJ, ENTP, ESTP, ENTJ, ESTJ</v>
      </c>
      <c r="K60" s="26" t="str">
        <f>'Raw data'!L59</f>
        <v>무교</v>
      </c>
      <c r="L60" s="26" t="str">
        <f>'Raw data'!M59</f>
        <v>동일</v>
      </c>
      <c r="M60" s="26" t="str">
        <f>'Raw data'!P59</f>
        <v>공무원</v>
      </c>
      <c r="N60" s="26" t="str">
        <f>'Raw data'!N59</f>
        <v>활발 긍정 밝음</v>
      </c>
      <c r="O60" s="26" t="str">
        <f>'Raw data'!O59</f>
        <v>활동적 진취적</v>
      </c>
      <c r="P60" s="26">
        <f>'Raw data'!Q59</f>
        <v>0</v>
      </c>
    </row>
    <row r="61" spans="1:16" ht="16.5" customHeight="1">
      <c r="A61" s="46">
        <v>59</v>
      </c>
      <c r="B61" s="26" t="str">
        <f>'Raw data'!B60</f>
        <v>여</v>
      </c>
      <c r="C61" s="26" t="str">
        <f>'Raw data'!C60</f>
        <v>김진리</v>
      </c>
      <c r="D61" s="26">
        <f>'Raw data'!F60</f>
        <v>40</v>
      </c>
      <c r="E61" s="26">
        <f>'Raw data'!H60</f>
        <v>157</v>
      </c>
      <c r="F61" s="26" t="str">
        <f>'Raw data'!E60</f>
        <v>사무직(주임)</v>
      </c>
      <c r="G61" s="26" t="str">
        <f>'Raw data'!G60</f>
        <v>무관</v>
      </c>
      <c r="H61" s="26" t="str">
        <f>'Raw data'!I60</f>
        <v>175~180</v>
      </c>
      <c r="I61" s="26" t="str">
        <f>'Raw data'!J60</f>
        <v>INFP</v>
      </c>
      <c r="J61" s="26" t="str">
        <f>'Raw data'!K60</f>
        <v>무관, ISTJ, INTJ, ENTJ, ESTJ</v>
      </c>
      <c r="K61" s="26" t="str">
        <f>'Raw data'!L60</f>
        <v>무교</v>
      </c>
      <c r="L61" s="26" t="str">
        <f>'Raw data'!M60</f>
        <v>무관</v>
      </c>
      <c r="M61" s="26" t="str">
        <f>'Raw data'!P60</f>
        <v>무관</v>
      </c>
      <c r="N61" s="26" t="str">
        <f>'Raw data'!N60</f>
        <v>동안/사랑스러움</v>
      </c>
      <c r="O61" s="26" t="str">
        <f>'Raw data'!O60</f>
        <v>표현잘하는 사람</v>
      </c>
      <c r="P61" s="26">
        <f>'Raw data'!Q60</f>
        <v>0</v>
      </c>
    </row>
    <row r="62" spans="1:16" ht="16.5" customHeight="1">
      <c r="A62" s="46">
        <v>60</v>
      </c>
      <c r="B62" s="26" t="str">
        <f>'Raw data'!B61</f>
        <v>여</v>
      </c>
      <c r="C62" s="26" t="str">
        <f>'Raw data'!C61</f>
        <v>김진연</v>
      </c>
      <c r="D62" s="26">
        <f>'Raw data'!F61</f>
        <v>31</v>
      </c>
      <c r="E62" s="26">
        <f>'Raw data'!H61</f>
        <v>170</v>
      </c>
      <c r="F62" s="26" t="str">
        <f>'Raw data'!E61</f>
        <v>베이커리</v>
      </c>
      <c r="G62" s="26" t="str">
        <f>'Raw data'!G61</f>
        <v>28~34</v>
      </c>
      <c r="H62" s="26" t="str">
        <f>'Raw data'!I61</f>
        <v>170~180</v>
      </c>
      <c r="I62" s="26" t="str">
        <f>'Raw data'!J61</f>
        <v>ESTP ISTP</v>
      </c>
      <c r="J62" s="26" t="str">
        <f>'Raw data'!K61</f>
        <v>무관, ENFP</v>
      </c>
      <c r="K62" s="26" t="str">
        <f>'Raw data'!L61</f>
        <v>무교</v>
      </c>
      <c r="L62" s="26" t="str">
        <f>'Raw data'!M61</f>
        <v>무관</v>
      </c>
      <c r="M62" s="26" t="str">
        <f>'Raw data'!P61</f>
        <v>무관</v>
      </c>
      <c r="N62" s="26" t="str">
        <f>'Raw data'!N61</f>
        <v>하루하루가 즐거운사람</v>
      </c>
      <c r="O62" s="26" t="str">
        <f>'Raw data'!O61</f>
        <v>배려있고 저를 먼저 생각해주는 사람</v>
      </c>
      <c r="P62" s="26">
        <f>'Raw data'!Q61</f>
        <v>0</v>
      </c>
    </row>
    <row r="63" spans="1:16" ht="16.5" customHeight="1">
      <c r="A63" s="45">
        <v>61</v>
      </c>
      <c r="B63" s="26" t="str">
        <f>'Raw data'!B62</f>
        <v>여</v>
      </c>
      <c r="C63" s="26" t="str">
        <f>'Raw data'!C62</f>
        <v>김해님</v>
      </c>
      <c r="D63" s="26">
        <f>'Raw data'!F62</f>
        <v>37</v>
      </c>
      <c r="E63" s="26">
        <f>'Raw data'!H62</f>
        <v>163</v>
      </c>
      <c r="F63" s="26" t="str">
        <f>'Raw data'!E62</f>
        <v>의료컨설팅, 간호사</v>
      </c>
      <c r="G63" s="26" t="str">
        <f>'Raw data'!G62</f>
        <v>31~38</v>
      </c>
      <c r="H63" s="26" t="str">
        <f>'Raw data'!I62</f>
        <v>175~</v>
      </c>
      <c r="I63" s="26" t="str">
        <f>'Raw data'!J62</f>
        <v>INFP</v>
      </c>
      <c r="J63" s="26" t="str">
        <f>'Raw data'!K62</f>
        <v>무관, ESFP, ENFJ</v>
      </c>
      <c r="K63" s="26" t="str">
        <f>'Raw data'!L62</f>
        <v>무교</v>
      </c>
      <c r="L63" s="26" t="str">
        <f>'Raw data'!M62</f>
        <v>무관</v>
      </c>
      <c r="M63" s="26" t="str">
        <f>'Raw data'!P62</f>
        <v>무관</v>
      </c>
      <c r="N63" s="26" t="str">
        <f>'Raw data'!N62</f>
        <v>내성적이지만 친해지면 활발한 모습, 차가워 보이지만 세상 따뜻한 사람! 운동을 사랑함</v>
      </c>
      <c r="O63" s="26" t="str">
        <f>'Raw data'!O62</f>
        <v>매녀, 배려심, 이해심이 많고 착한사람. 자기관리와 운동하는 재밌는 사람.</v>
      </c>
      <c r="P63" s="26">
        <f>'Raw data'!Q62</f>
        <v>0</v>
      </c>
    </row>
    <row r="64" spans="1:16" ht="16.5" customHeight="1">
      <c r="A64" s="46">
        <v>62</v>
      </c>
      <c r="B64" s="26" t="str">
        <f>'Raw data'!B63</f>
        <v>남</v>
      </c>
      <c r="C64" s="26" t="str">
        <f>'Raw data'!C63</f>
        <v>김형준</v>
      </c>
      <c r="D64" s="26">
        <f>'Raw data'!F63</f>
        <v>31</v>
      </c>
      <c r="E64" s="26">
        <f>'Raw data'!H63</f>
        <v>173</v>
      </c>
      <c r="F64" s="26" t="str">
        <f>'Raw data'!E63</f>
        <v>발전소 사무직</v>
      </c>
      <c r="G64" s="26" t="str">
        <f>'Raw data'!G63</f>
        <v>24~31</v>
      </c>
      <c r="H64" s="26" t="str">
        <f>'Raw data'!I63</f>
        <v>~165</v>
      </c>
      <c r="I64" s="26" t="str">
        <f>'Raw data'!J63</f>
        <v>ISTP</v>
      </c>
      <c r="J64" s="26" t="str">
        <f>'Raw data'!K63</f>
        <v>무관</v>
      </c>
      <c r="K64" s="26" t="str">
        <f>'Raw data'!L63</f>
        <v>무교</v>
      </c>
      <c r="L64" s="26" t="str">
        <f>'Raw data'!M63</f>
        <v>동일</v>
      </c>
      <c r="M64" s="26" t="str">
        <f>'Raw data'!P63</f>
        <v>병원직군, 자영업</v>
      </c>
      <c r="N64" s="26" t="str">
        <f>'Raw data'!N63</f>
        <v>잘웃는 웃상에 다정한사람</v>
      </c>
      <c r="O64" s="26" t="str">
        <f>'Raw data'!O63</f>
        <v>나와 비슷한 루틴한사람</v>
      </c>
      <c r="P64" s="26">
        <f>'Raw data'!Q63</f>
        <v>0</v>
      </c>
    </row>
    <row r="65" spans="1:16" ht="16.5" customHeight="1">
      <c r="A65" s="46">
        <v>63</v>
      </c>
      <c r="B65" s="26" t="str">
        <f>'Raw data'!B64</f>
        <v>여</v>
      </c>
      <c r="C65" s="26" t="str">
        <f>'Raw data'!C64</f>
        <v>김효진</v>
      </c>
      <c r="D65" s="26">
        <f>'Raw data'!F64</f>
        <v>38</v>
      </c>
      <c r="E65" s="26">
        <f>'Raw data'!H64</f>
        <v>170</v>
      </c>
      <c r="F65" s="26" t="str">
        <f>'Raw data'!E64</f>
        <v>외국계기업/인허가</v>
      </c>
      <c r="G65" s="26" t="str">
        <f>'Raw data'!G64</f>
        <v>35~41</v>
      </c>
      <c r="H65" s="26" t="str">
        <f>'Raw data'!I64</f>
        <v>175~180</v>
      </c>
      <c r="I65" s="26" t="str">
        <f>'Raw data'!J64</f>
        <v>INFJ</v>
      </c>
      <c r="J65" s="26" t="str">
        <f>'Raw data'!K64</f>
        <v>무관</v>
      </c>
      <c r="K65" s="26" t="str">
        <f>'Raw data'!L64</f>
        <v>무교</v>
      </c>
      <c r="L65" s="26" t="str">
        <f>'Raw data'!M64</f>
        <v>동일</v>
      </c>
      <c r="M65" s="26" t="str">
        <f>'Raw data'!P64</f>
        <v>자영업</v>
      </c>
      <c r="N65" s="26" t="str">
        <f>'Raw data'!N64</f>
        <v>이해를 잘 하는 사람</v>
      </c>
      <c r="O65" s="26" t="str">
        <f>'Raw data'!O64</f>
        <v>다정하고 이해를 잘 하는 사람</v>
      </c>
      <c r="P65" s="26">
        <f>'Raw data'!Q64</f>
        <v>0</v>
      </c>
    </row>
    <row r="66" spans="1:16" ht="16.5" customHeight="1">
      <c r="A66" s="45">
        <v>64</v>
      </c>
      <c r="B66" s="26" t="str">
        <f>'Raw data'!B65</f>
        <v>남</v>
      </c>
      <c r="C66" s="26" t="str">
        <f>'Raw data'!C65</f>
        <v>남대우</v>
      </c>
      <c r="D66" s="26">
        <f>'Raw data'!F65</f>
        <v>35</v>
      </c>
      <c r="E66" s="26">
        <f>'Raw data'!H65</f>
        <v>175</v>
      </c>
      <c r="F66" s="26" t="str">
        <f>'Raw data'!E65</f>
        <v>사업</v>
      </c>
      <c r="G66" s="26" t="str">
        <f>'Raw data'!G65</f>
        <v>31~38</v>
      </c>
      <c r="H66" s="26" t="str">
        <f>'Raw data'!I65</f>
        <v>160~165</v>
      </c>
      <c r="I66" s="26" t="str">
        <f>'Raw data'!J65</f>
        <v>ISFJ</v>
      </c>
      <c r="J66" s="26" t="str">
        <f>'Raw data'!K65</f>
        <v>무관</v>
      </c>
      <c r="K66" s="26" t="str">
        <f>'Raw data'!L65</f>
        <v>불교</v>
      </c>
      <c r="L66" s="26" t="str">
        <f>'Raw data'!M65</f>
        <v>무관</v>
      </c>
      <c r="M66" s="26">
        <f>'Raw data'!P65</f>
        <v>0</v>
      </c>
      <c r="N66" s="26" t="str">
        <f>'Raw data'!N65</f>
        <v>솔직한사람</v>
      </c>
      <c r="O66" s="26" t="str">
        <f>'Raw data'!O65</f>
        <v>솔직하고 반전있는 스타일</v>
      </c>
      <c r="P66" s="26">
        <f>'Raw data'!Q65</f>
        <v>0</v>
      </c>
    </row>
    <row r="67" spans="1:16" ht="16.5" customHeight="1">
      <c r="A67" s="46">
        <v>65</v>
      </c>
      <c r="B67" s="26" t="str">
        <f>'Raw data'!B66</f>
        <v>여</v>
      </c>
      <c r="C67" s="26" t="str">
        <f>'Raw data'!C66</f>
        <v>남현지</v>
      </c>
      <c r="D67" s="26">
        <f>'Raw data'!F66</f>
        <v>32</v>
      </c>
      <c r="E67" s="26">
        <f>'Raw data'!H66</f>
        <v>155</v>
      </c>
      <c r="F67" s="26" t="str">
        <f>'Raw data'!E66</f>
        <v>병원 간호사</v>
      </c>
      <c r="G67" s="26" t="str">
        <f>'Raw data'!G66</f>
        <v>31~38</v>
      </c>
      <c r="H67" s="26" t="str">
        <f>'Raw data'!I66</f>
        <v>무관</v>
      </c>
      <c r="I67" s="26" t="str">
        <f>'Raw data'!J66</f>
        <v xml:space="preserve">ESTP </v>
      </c>
      <c r="J67" s="26" t="str">
        <f>'Raw data'!K66</f>
        <v>무관</v>
      </c>
      <c r="K67" s="26" t="str">
        <f>'Raw data'!L66</f>
        <v>무교</v>
      </c>
      <c r="L67" s="26" t="str">
        <f>'Raw data'!M66</f>
        <v>무관</v>
      </c>
      <c r="M67" s="26" t="str">
        <f>'Raw data'!P66</f>
        <v>무관</v>
      </c>
      <c r="N67" s="26" t="str">
        <f>'Raw data'!N66</f>
        <v>재밌고 잘웃는 밝은 사람</v>
      </c>
      <c r="O67" s="26" t="str">
        <f>'Raw data'!O66</f>
        <v>자기일 열심히 하는 다정한 사람</v>
      </c>
      <c r="P67" s="26">
        <f>'Raw data'!Q66</f>
        <v>0</v>
      </c>
    </row>
    <row r="68" spans="1:16" ht="16.5" customHeight="1">
      <c r="A68" s="46">
        <v>66</v>
      </c>
      <c r="B68" s="26" t="str">
        <f>'Raw data'!B67</f>
        <v>여</v>
      </c>
      <c r="C68" s="26" t="str">
        <f>'Raw data'!C67</f>
        <v>노소진</v>
      </c>
      <c r="D68" s="26">
        <f>'Raw data'!F67</f>
        <v>35</v>
      </c>
      <c r="E68" s="26">
        <f>'Raw data'!H67</f>
        <v>167</v>
      </c>
      <c r="F68" s="26" t="str">
        <f>'Raw data'!E67</f>
        <v>수학강사</v>
      </c>
      <c r="G68" s="26" t="str">
        <f>'Raw data'!G67</f>
        <v>31~38</v>
      </c>
      <c r="H68" s="26" t="str">
        <f>'Raw data'!I67</f>
        <v>175~</v>
      </c>
      <c r="I68" s="26" t="str">
        <f>'Raw data'!J67</f>
        <v>ESTJ</v>
      </c>
      <c r="J68" s="26" t="str">
        <f>'Raw data'!K67</f>
        <v>무관</v>
      </c>
      <c r="K68" s="26" t="str">
        <f>'Raw data'!L67</f>
        <v>무교</v>
      </c>
      <c r="L68" s="26" t="str">
        <f>'Raw data'!M67</f>
        <v>무관</v>
      </c>
      <c r="M68" s="26" t="str">
        <f>'Raw data'!P67</f>
        <v>공무원</v>
      </c>
      <c r="N68" s="26" t="str">
        <f>'Raw data'!N67</f>
        <v>무던 털털 성격좋은</v>
      </c>
      <c r="O68" s="26" t="str">
        <f>'Raw data'!O67</f>
        <v>훈훈한 똑똑하고 다정한</v>
      </c>
      <c r="P68" s="26">
        <f>'Raw data'!Q67</f>
        <v>0</v>
      </c>
    </row>
    <row r="69" spans="1:16" ht="16.5" customHeight="1">
      <c r="A69" s="45">
        <v>67</v>
      </c>
      <c r="B69" s="26" t="str">
        <f>'Raw data'!B68</f>
        <v>여</v>
      </c>
      <c r="C69" s="26" t="str">
        <f>'Raw data'!C68</f>
        <v>다솜</v>
      </c>
      <c r="D69" s="26">
        <f>'Raw data'!F68</f>
        <v>35</v>
      </c>
      <c r="E69" s="26">
        <f>'Raw data'!H68</f>
        <v>160</v>
      </c>
      <c r="F69" s="26" t="str">
        <f>'Raw data'!E68</f>
        <v>대학병원 간호사</v>
      </c>
      <c r="G69" s="26" t="str">
        <f>'Raw data'!G68</f>
        <v>28~38</v>
      </c>
      <c r="H69" s="26" t="str">
        <f>'Raw data'!I68</f>
        <v>175~</v>
      </c>
      <c r="I69" s="26" t="str">
        <f>'Raw data'!J68</f>
        <v>ESFJ</v>
      </c>
      <c r="J69" s="26" t="str">
        <f>'Raw data'!K68</f>
        <v>무관</v>
      </c>
      <c r="K69" s="26" t="str">
        <f>'Raw data'!L68</f>
        <v>무교</v>
      </c>
      <c r="L69" s="26" t="str">
        <f>'Raw data'!M68</f>
        <v>무관</v>
      </c>
      <c r="M69" s="26" t="str">
        <f>'Raw data'!P68</f>
        <v>무관</v>
      </c>
      <c r="N69" s="26" t="str">
        <f>'Raw data'!N68</f>
        <v xml:space="preserve">웃는 모습이 선하고 배려심 깊은 사람 </v>
      </c>
      <c r="O69" s="26" t="str">
        <f>'Raw data'!O68</f>
        <v>웃는 모습이 선하고 대화 잘 통하고 가치관 비슷한 사람</v>
      </c>
      <c r="P69" s="26" t="str">
        <f>'Raw data'!Q68</f>
        <v>카톡은 연락처 검색 비허용을 해놓아서 문자로 연락부탁드려용</v>
      </c>
    </row>
    <row r="70" spans="1:16" ht="16.5" customHeight="1">
      <c r="A70" s="46">
        <v>68</v>
      </c>
      <c r="B70" s="26" t="str">
        <f>'Raw data'!B69</f>
        <v>여</v>
      </c>
      <c r="C70" s="26" t="str">
        <f>'Raw data'!C69</f>
        <v>문지현</v>
      </c>
      <c r="D70" s="26">
        <f>'Raw data'!F69</f>
        <v>33</v>
      </c>
      <c r="E70" s="26">
        <f>'Raw data'!H69</f>
        <v>163</v>
      </c>
      <c r="F70" s="26" t="str">
        <f>'Raw data'!E69</f>
        <v>디자이너(제약회사 계열사)</v>
      </c>
      <c r="G70" s="26" t="str">
        <f>'Raw data'!G69</f>
        <v>28~38</v>
      </c>
      <c r="H70" s="26" t="str">
        <f>'Raw data'!I69</f>
        <v>175~180</v>
      </c>
      <c r="I70" s="26" t="str">
        <f>'Raw data'!J69</f>
        <v>INFP</v>
      </c>
      <c r="J70" s="26" t="str">
        <f>'Raw data'!K69</f>
        <v>ENFJ, ESFJ</v>
      </c>
      <c r="K70" s="26" t="str">
        <f>'Raw data'!L69</f>
        <v>무교</v>
      </c>
      <c r="L70" s="26" t="str">
        <f>'Raw data'!M69</f>
        <v>동일</v>
      </c>
      <c r="M70" s="26" t="str">
        <f>'Raw data'!P69</f>
        <v>기술직, 자영업</v>
      </c>
      <c r="N70" s="26" t="str">
        <f>'Raw data'!N69</f>
        <v>선하고 밝은 사람</v>
      </c>
      <c r="O70" s="26" t="str">
        <f>'Raw data'!O69</f>
        <v>댕댕미 있는 강아지상</v>
      </c>
      <c r="P70" s="26">
        <f>'Raw data'!Q69</f>
        <v>0</v>
      </c>
    </row>
    <row r="71" spans="1:16" ht="16.5" customHeight="1">
      <c r="A71" s="46">
        <v>69</v>
      </c>
      <c r="B71" s="26" t="str">
        <f>'Raw data'!B70</f>
        <v>여</v>
      </c>
      <c r="C71" s="26" t="str">
        <f>'Raw data'!C70</f>
        <v>문지호</v>
      </c>
      <c r="D71" s="26">
        <f>'Raw data'!F70</f>
        <v>30</v>
      </c>
      <c r="E71" s="26">
        <f>'Raw data'!H70</f>
        <v>165</v>
      </c>
      <c r="F71" s="26" t="str">
        <f>'Raw data'!E70</f>
        <v>삼성서울병원/ 신경외과 병동</v>
      </c>
      <c r="G71" s="26" t="str">
        <f>'Raw data'!G70</f>
        <v>28~34</v>
      </c>
      <c r="H71" s="26" t="str">
        <f>'Raw data'!I70</f>
        <v>170~</v>
      </c>
      <c r="I71" s="26" t="str">
        <f>'Raw data'!J70</f>
        <v>ESFJ</v>
      </c>
      <c r="J71" s="26" t="str">
        <f>'Raw data'!K70</f>
        <v>무관, ISTJ, ESFP, ESFJ, ESTJ</v>
      </c>
      <c r="K71" s="26" t="str">
        <f>'Raw data'!L70</f>
        <v>무교</v>
      </c>
      <c r="L71" s="26" t="str">
        <f>'Raw data'!M70</f>
        <v>무관</v>
      </c>
      <c r="M71" s="26" t="str">
        <f>'Raw data'!P70</f>
        <v>무관</v>
      </c>
      <c r="N71" s="26" t="str">
        <f>'Raw data'!N70</f>
        <v>활동적인 것에 관심이 많은 사람/데이트 할 때 제안하는 것도 좋아하고 제안을 받는 것도 좋아하는 편인 것 같습니다</v>
      </c>
      <c r="O71" s="26" t="str">
        <f>'Raw data'!O70</f>
        <v>피지컬이 좋고 성격이 좋은 사람</v>
      </c>
      <c r="P71" s="26">
        <f>'Raw data'!Q70</f>
        <v>0</v>
      </c>
    </row>
    <row r="72" spans="1:16" ht="16.5" customHeight="1">
      <c r="A72" s="45">
        <v>70</v>
      </c>
      <c r="B72" s="26" t="str">
        <f>'Raw data'!B71</f>
        <v>남</v>
      </c>
      <c r="C72" s="26" t="str">
        <f>'Raw data'!C71</f>
        <v>문채영</v>
      </c>
      <c r="D72" s="26">
        <f>'Raw data'!F71</f>
        <v>28</v>
      </c>
      <c r="E72" s="26">
        <f>'Raw data'!H71</f>
        <v>179</v>
      </c>
      <c r="F72" s="26" t="str">
        <f>'Raw data'!E71</f>
        <v>모의해커</v>
      </c>
      <c r="G72" s="26" t="str">
        <f>'Raw data'!G71</f>
        <v>20~27</v>
      </c>
      <c r="H72" s="26" t="str">
        <f>'Raw data'!I71</f>
        <v>~175</v>
      </c>
      <c r="I72" s="26" t="str">
        <f>'Raw data'!J71</f>
        <v>ISFP</v>
      </c>
      <c r="J72" s="26" t="str">
        <f>'Raw data'!K71</f>
        <v>무관</v>
      </c>
      <c r="K72" s="26" t="str">
        <f>'Raw data'!L71</f>
        <v>무교</v>
      </c>
      <c r="L72" s="26" t="str">
        <f>'Raw data'!M71</f>
        <v>동일</v>
      </c>
      <c r="M72" s="26">
        <f>'Raw data'!P71</f>
        <v>0</v>
      </c>
      <c r="N72" s="26" t="str">
        <f>'Raw data'!N71</f>
        <v>다정하고 알고보면 재밌는 사람??</v>
      </c>
      <c r="O72" s="26" t="str">
        <f>'Raw data'!O71</f>
        <v>하얗고 고양이상에 꾸미는걸 좋아하는분</v>
      </c>
      <c r="P72" s="26" t="str">
        <f>'Raw data'!Q71</f>
        <v>비흡연자가 좋습니다</v>
      </c>
    </row>
    <row r="73" spans="1:16" ht="16.5" customHeight="1">
      <c r="A73" s="46">
        <v>71</v>
      </c>
      <c r="B73" s="26" t="str">
        <f>'Raw data'!B72</f>
        <v>여</v>
      </c>
      <c r="C73" s="26" t="str">
        <f>'Raw data'!C72</f>
        <v>문채영</v>
      </c>
      <c r="D73" s="26">
        <f>'Raw data'!F72</f>
        <v>28</v>
      </c>
      <c r="E73" s="26">
        <f>'Raw data'!H72</f>
        <v>162</v>
      </c>
      <c r="F73" s="26" t="str">
        <f>'Raw data'!E72</f>
        <v>강동성심병원 간호사</v>
      </c>
      <c r="G73" s="26" t="str">
        <f>'Raw data'!G72</f>
        <v>28~34</v>
      </c>
      <c r="H73" s="26" t="str">
        <f>'Raw data'!I72</f>
        <v>170~</v>
      </c>
      <c r="I73" s="26" t="str">
        <f>'Raw data'!J72</f>
        <v>ISFP</v>
      </c>
      <c r="J73" s="26" t="str">
        <f>'Raw data'!K72</f>
        <v>무관</v>
      </c>
      <c r="K73" s="26" t="str">
        <f>'Raw data'!L72</f>
        <v>천주교</v>
      </c>
      <c r="L73" s="26" t="str">
        <f>'Raw data'!M72</f>
        <v>동일</v>
      </c>
      <c r="M73" s="26" t="str">
        <f>'Raw data'!P72</f>
        <v>병원직군</v>
      </c>
      <c r="N73" s="26" t="str">
        <f>'Raw data'!N72</f>
        <v>선하고 단단한 사람</v>
      </c>
      <c r="O73" s="26" t="str">
        <f>'Raw data'!O72</f>
        <v>섬세하고 유머있는 분</v>
      </c>
      <c r="P73" s="26" t="str">
        <f>'Raw data'!Q72</f>
        <v>종교는 기독교만 아니면 괜찮습니다</v>
      </c>
    </row>
    <row r="74" spans="1:16" ht="16.5" customHeight="1">
      <c r="A74" s="46">
        <v>72</v>
      </c>
      <c r="B74" s="26" t="str">
        <f>'Raw data'!B73</f>
        <v>여</v>
      </c>
      <c r="C74" s="26" t="str">
        <f>'Raw data'!C73</f>
        <v>박다솜</v>
      </c>
      <c r="D74" s="26">
        <f>'Raw data'!F73</f>
        <v>32</v>
      </c>
      <c r="E74" s="26">
        <f>'Raw data'!H73</f>
        <v>170</v>
      </c>
      <c r="F74" s="26" t="str">
        <f>'Raw data'!E73</f>
        <v>교사</v>
      </c>
      <c r="G74" s="26" t="str">
        <f>'Raw data'!G73</f>
        <v>31~38</v>
      </c>
      <c r="H74" s="26" t="str">
        <f>'Raw data'!I73</f>
        <v>175~</v>
      </c>
      <c r="I74" s="26" t="str">
        <f>'Raw data'!J73</f>
        <v>ESFP</v>
      </c>
      <c r="J74" s="26" t="str">
        <f>'Raw data'!K73</f>
        <v>무관</v>
      </c>
      <c r="K74" s="26" t="str">
        <f>'Raw data'!L73</f>
        <v>천주교</v>
      </c>
      <c r="L74" s="26" t="str">
        <f>'Raw data'!M73</f>
        <v>동일</v>
      </c>
      <c r="M74" s="26" t="str">
        <f>'Raw data'!P73</f>
        <v>자영업</v>
      </c>
      <c r="N74" s="26" t="str">
        <f>'Raw data'!N73</f>
        <v>긍정적이고 밝은 사람!</v>
      </c>
      <c r="O74" s="26" t="str">
        <f>'Raw data'!O73</f>
        <v>선한 인상의 선한 사람</v>
      </c>
      <c r="P74" s="26">
        <f>'Raw data'!Q73</f>
        <v>0</v>
      </c>
    </row>
    <row r="75" spans="1:16" ht="16.5" customHeight="1">
      <c r="A75" s="45">
        <v>73</v>
      </c>
      <c r="B75" s="26" t="str">
        <f>'Raw data'!B74</f>
        <v>여</v>
      </c>
      <c r="C75" s="26" t="str">
        <f>'Raw data'!C74</f>
        <v>박수빈</v>
      </c>
      <c r="D75" s="26">
        <f>'Raw data'!F74</f>
        <v>31</v>
      </c>
      <c r="E75" s="26">
        <f>'Raw data'!H74</f>
        <v>163</v>
      </c>
      <c r="F75" s="26" t="str">
        <f>'Raw data'!E74</f>
        <v>대학원생</v>
      </c>
      <c r="G75" s="26" t="str">
        <f>'Raw data'!G74</f>
        <v>31~34</v>
      </c>
      <c r="H75" s="26" t="str">
        <f>'Raw data'!I74</f>
        <v>175~180</v>
      </c>
      <c r="I75" s="26" t="str">
        <f>'Raw data'!J74</f>
        <v>ENTP</v>
      </c>
      <c r="J75" s="26" t="str">
        <f>'Raw data'!K74</f>
        <v>무관</v>
      </c>
      <c r="K75" s="26" t="str">
        <f>'Raw data'!L74</f>
        <v>무교</v>
      </c>
      <c r="L75" s="26" t="str">
        <f>'Raw data'!M74</f>
        <v>무관</v>
      </c>
      <c r="M75" s="26" t="str">
        <f>'Raw data'!P74</f>
        <v>무관</v>
      </c>
      <c r="N75" s="26" t="str">
        <f>'Raw data'!N74</f>
        <v>하고싶은거 다하는사람</v>
      </c>
      <c r="O75" s="26" t="str">
        <f>'Raw data'!O74</f>
        <v>무던하고 예의바른사람</v>
      </c>
      <c r="P75" s="26">
        <f>'Raw data'!Q74</f>
        <v>0</v>
      </c>
    </row>
    <row r="76" spans="1:16" ht="16.5" customHeight="1">
      <c r="A76" s="46">
        <v>74</v>
      </c>
      <c r="B76" s="26" t="str">
        <f>'Raw data'!B75</f>
        <v>여</v>
      </c>
      <c r="C76" s="26" t="str">
        <f>'Raw data'!C75</f>
        <v>박수지</v>
      </c>
      <c r="D76" s="26">
        <f>'Raw data'!F75</f>
        <v>30</v>
      </c>
      <c r="E76" s="26">
        <f>'Raw data'!H75</f>
        <v>166</v>
      </c>
      <c r="F76" s="26" t="str">
        <f>'Raw data'!E75</f>
        <v>안경사</v>
      </c>
      <c r="G76" s="26" t="str">
        <f>'Raw data'!G75</f>
        <v>31~38</v>
      </c>
      <c r="H76" s="26" t="str">
        <f>'Raw data'!I75</f>
        <v>175~</v>
      </c>
      <c r="I76" s="26" t="str">
        <f>'Raw data'!J75</f>
        <v>ISTJ</v>
      </c>
      <c r="J76" s="26" t="str">
        <f>'Raw data'!K75</f>
        <v>무관, ISFJ, ESFJ</v>
      </c>
      <c r="K76" s="26" t="str">
        <f>'Raw data'!L75</f>
        <v>무교</v>
      </c>
      <c r="L76" s="26" t="str">
        <f>'Raw data'!M75</f>
        <v>동일</v>
      </c>
      <c r="M76" s="26" t="str">
        <f>'Raw data'!P75</f>
        <v>무관</v>
      </c>
      <c r="N76" s="26" t="str">
        <f>'Raw data'!N75</f>
        <v>첫만남보단 알아갈수록 매력있는 사람!</v>
      </c>
      <c r="O76" s="26" t="str">
        <f>'Raw data'!O75</f>
        <v>키크고 골격있고 다정하고 세심한 쌍꺼풀 진하지 않은 책임감 있는 연상같은 사람</v>
      </c>
      <c r="P76" s="26">
        <f>'Raw data'!Q75</f>
        <v>0</v>
      </c>
    </row>
    <row r="77" spans="1:16" ht="16.5" customHeight="1">
      <c r="A77" s="46">
        <v>75</v>
      </c>
      <c r="B77" s="26" t="str">
        <f>'Raw data'!B76</f>
        <v>남</v>
      </c>
      <c r="C77" s="26" t="str">
        <f>'Raw data'!C76</f>
        <v>박승원</v>
      </c>
      <c r="D77" s="26">
        <f>'Raw data'!F76</f>
        <v>33</v>
      </c>
      <c r="E77" s="26">
        <f>'Raw data'!H76</f>
        <v>179</v>
      </c>
      <c r="F77" s="26" t="str">
        <f>'Raw data'!E76</f>
        <v>중학교 교사</v>
      </c>
      <c r="G77" s="26" t="str">
        <f>'Raw data'!G76</f>
        <v>28~34</v>
      </c>
      <c r="H77" s="26" t="str">
        <f>'Raw data'!I76</f>
        <v>무관</v>
      </c>
      <c r="I77" s="26" t="str">
        <f>'Raw data'!J76</f>
        <v>ESTJ</v>
      </c>
      <c r="J77" s="26" t="str">
        <f>'Raw data'!K76</f>
        <v>무관, ISFP, ISFJ, ESFP, ESFJ, ESTJ</v>
      </c>
      <c r="K77" s="26" t="str">
        <f>'Raw data'!L76</f>
        <v>무교</v>
      </c>
      <c r="L77" s="26" t="str">
        <f>'Raw data'!M76</f>
        <v>무관</v>
      </c>
      <c r="M77" s="26" t="str">
        <f>'Raw data'!P76</f>
        <v>무관</v>
      </c>
      <c r="N77" s="26" t="str">
        <f>'Raw data'!N76</f>
        <v>재밌는 걸 좋아하고 알잘딱깔센이 어느정도 되는 성격</v>
      </c>
      <c r="O77" s="26" t="str">
        <f>'Raw data'!O76</f>
        <v>대화가 잘통하는 사람, 활발한 사람, 재밌는 사람</v>
      </c>
      <c r="P77" s="26">
        <f>'Raw data'!Q76</f>
        <v>0</v>
      </c>
    </row>
    <row r="78" spans="1:16" ht="16.5" customHeight="1">
      <c r="A78" s="45">
        <v>76</v>
      </c>
      <c r="B78" s="26" t="str">
        <f>'Raw data'!B77</f>
        <v>여</v>
      </c>
      <c r="C78" s="26" t="str">
        <f>'Raw data'!C77</f>
        <v>박예령</v>
      </c>
      <c r="D78" s="26">
        <f>'Raw data'!F77</f>
        <v>26</v>
      </c>
      <c r="E78" s="26">
        <f>'Raw data'!H77</f>
        <v>155</v>
      </c>
      <c r="F78" s="26" t="str">
        <f>'Raw data'!E77</f>
        <v>간호학과 졸업 후 취업 대기중입니다!</v>
      </c>
      <c r="G78" s="26" t="str">
        <f>'Raw data'!G77</f>
        <v>24~34</v>
      </c>
      <c r="H78" s="26" t="str">
        <f>'Raw data'!I77</f>
        <v>170~</v>
      </c>
      <c r="I78" s="26" t="str">
        <f>'Raw data'!J77</f>
        <v>ESTP</v>
      </c>
      <c r="J78" s="26" t="str">
        <f>'Raw data'!K77</f>
        <v>INFP, ISFP, INFJ, ISTJ, INTJ, ISFJ, ENFP, ESFP, ENFJ, ESFJ, ENTP, ESTP, ENTJ, ESTJ</v>
      </c>
      <c r="K78" s="26" t="str">
        <f>'Raw data'!L77</f>
        <v>무교</v>
      </c>
      <c r="L78" s="26" t="str">
        <f>'Raw data'!M77</f>
        <v>무관</v>
      </c>
      <c r="M78" s="26" t="str">
        <f>'Raw data'!P77</f>
        <v>무관</v>
      </c>
      <c r="N78" s="26" t="str">
        <f>'Raw data'!N77</f>
        <v>밝고 텐션 높아요! 무던하고 뒤끝없고 즉흥적인 면이 있어요! 특별히 싫어하는 일이 아니면 상대 취미도 함께 해주고 같이 추억만드는걸 좋아해요. 성격은 조금 빠른편인것 같고 자기자신을 꾸미는 것을 좋아합니당</v>
      </c>
      <c r="O78" s="26" t="str">
        <f>'Raw data'!O77</f>
        <v>외적으로는 뚱뚱하지 않은 체형에 순한 인상이나 반장했을것 같은 반듯한 사람을 좋아합니다! 내적으로는 나를 웃겨줄수 있는 센스와 재치가 있었으면 좋겠어요! 친구같은 연애하는것을 추구하고 연락이나 만남횟수 같은것에 효율따지지 않고 최선을 다하는 연애하는 사람이 좋아요</v>
      </c>
      <c r="P78" s="26">
        <f>'Raw data'!Q77</f>
        <v>0</v>
      </c>
    </row>
    <row r="79" spans="1:16" ht="16.5" customHeight="1">
      <c r="A79" s="46">
        <v>77</v>
      </c>
      <c r="B79" s="26" t="str">
        <f>'Raw data'!B78</f>
        <v>여</v>
      </c>
      <c r="C79" s="26" t="str">
        <f>'Raw data'!C78</f>
        <v>박예림</v>
      </c>
      <c r="D79" s="26">
        <f>'Raw data'!F78</f>
        <v>32</v>
      </c>
      <c r="E79" s="26">
        <f>'Raw data'!H78</f>
        <v>153</v>
      </c>
      <c r="F79" s="26" t="str">
        <f>'Raw data'!E78</f>
        <v>치과 진료실(대학 치위생과 다니면서 일하는중)</v>
      </c>
      <c r="G79" s="26" t="str">
        <f>'Raw data'!G78</f>
        <v>24~31</v>
      </c>
      <c r="H79" s="26" t="str">
        <f>'Raw data'!I78</f>
        <v>170~180</v>
      </c>
      <c r="I79" s="26" t="str">
        <f>'Raw data'!J78</f>
        <v>ISFP</v>
      </c>
      <c r="J79" s="26" t="str">
        <f>'Raw data'!K78</f>
        <v>무관</v>
      </c>
      <c r="K79" s="26" t="str">
        <f>'Raw data'!L78</f>
        <v>무교</v>
      </c>
      <c r="L79" s="26" t="str">
        <f>'Raw data'!M78</f>
        <v>무관</v>
      </c>
      <c r="M79" s="26" t="str">
        <f>'Raw data'!P78</f>
        <v>무관</v>
      </c>
      <c r="N79" s="26" t="str">
        <f>'Raw data'!N78</f>
        <v>처음에는 낯가리는데 친해지면 활발</v>
      </c>
      <c r="O79" s="26" t="str">
        <f>'Raw data'!O78</f>
        <v>다정한성격</v>
      </c>
      <c r="P79" s="26">
        <f>'Raw data'!Q78</f>
        <v>0</v>
      </c>
    </row>
    <row r="80" spans="1:16" ht="16.5" customHeight="1">
      <c r="A80" s="46">
        <v>78</v>
      </c>
      <c r="B80" s="26" t="str">
        <f>'Raw data'!B79</f>
        <v>남</v>
      </c>
      <c r="C80" s="26" t="str">
        <f>'Raw data'!C79</f>
        <v>박종훈</v>
      </c>
      <c r="D80" s="26">
        <f>'Raw data'!F79</f>
        <v>39</v>
      </c>
      <c r="E80" s="26">
        <f>'Raw data'!H79</f>
        <v>177</v>
      </c>
      <c r="F80" s="26" t="str">
        <f>'Raw data'!E79</f>
        <v>ktds 보안파트</v>
      </c>
      <c r="G80" s="26" t="str">
        <f>'Raw data'!G79</f>
        <v>31~38</v>
      </c>
      <c r="H80" s="26" t="str">
        <f>'Raw data'!I79</f>
        <v>~175</v>
      </c>
      <c r="I80" s="26" t="str">
        <f>'Raw data'!J79</f>
        <v>ISTJ</v>
      </c>
      <c r="J80" s="26" t="str">
        <f>'Raw data'!K79</f>
        <v>무관</v>
      </c>
      <c r="K80" s="26" t="str">
        <f>'Raw data'!L79</f>
        <v>무교</v>
      </c>
      <c r="L80" s="26" t="str">
        <f>'Raw data'!M79</f>
        <v>무관</v>
      </c>
      <c r="M80" s="26" t="str">
        <f>'Raw data'!P79</f>
        <v>무관</v>
      </c>
      <c r="N80" s="26" t="str">
        <f>'Raw data'!N79</f>
        <v>처음에는 어색하지만 친해지면 친구처럼 편한사람입니다
베이킹 하면서 좋은 인연 만들었으면 좋겠습니다</v>
      </c>
      <c r="O80" s="26" t="str">
        <f>'Raw data'!O79</f>
        <v>말 잘 통하고 생각이 깊은 사람</v>
      </c>
      <c r="P80" s="26" t="str">
        <f>'Raw data'!Q79</f>
        <v>친구랑 같이 신청 할수 있으면 같이 하고 싶어요
친구도 여기 같이 신청 했습니다
친구 이름은 황동민 입니다</v>
      </c>
    </row>
    <row r="81" spans="1:16" ht="16.5" customHeight="1">
      <c r="A81" s="45">
        <v>79</v>
      </c>
      <c r="B81" s="26" t="str">
        <f>'Raw data'!B80</f>
        <v>남</v>
      </c>
      <c r="C81" s="26" t="str">
        <f>'Raw data'!C80</f>
        <v>박준형</v>
      </c>
      <c r="D81" s="26">
        <f>'Raw data'!F80</f>
        <v>31</v>
      </c>
      <c r="E81" s="26">
        <f>'Raw data'!H80</f>
        <v>174</v>
      </c>
      <c r="F81" s="26" t="str">
        <f>'Raw data'!E80</f>
        <v>패션마케터</v>
      </c>
      <c r="G81" s="26" t="str">
        <f>'Raw data'!G80</f>
        <v>무관</v>
      </c>
      <c r="H81" s="26" t="str">
        <f>'Raw data'!I80</f>
        <v>무관</v>
      </c>
      <c r="I81" s="26" t="str">
        <f>'Raw data'!J80</f>
        <v>ENFP</v>
      </c>
      <c r="J81" s="26" t="str">
        <f>'Raw data'!K80</f>
        <v>무관</v>
      </c>
      <c r="K81" s="26" t="str">
        <f>'Raw data'!L80</f>
        <v>무교</v>
      </c>
      <c r="L81" s="26" t="str">
        <f>'Raw data'!M80</f>
        <v>동일</v>
      </c>
      <c r="M81" s="26" t="str">
        <f>'Raw data'!P80</f>
        <v>무관</v>
      </c>
      <c r="N81" s="26" t="str">
        <f>'Raw data'!N80</f>
        <v>밝게 웃으며 상대를 배려 하는 사람</v>
      </c>
      <c r="O81" s="26" t="str">
        <f>'Raw data'!O80</f>
        <v>모자 안경이 잘 어울리는사람</v>
      </c>
      <c r="P81" s="26" t="str">
        <f>'Raw data'!Q80</f>
        <v>빵 만드는거 배워보고싶습니다</v>
      </c>
    </row>
    <row r="82" spans="1:16" ht="16.5" customHeight="1">
      <c r="A82" s="46">
        <v>80</v>
      </c>
      <c r="B82" s="26" t="str">
        <f>'Raw data'!B81</f>
        <v>여</v>
      </c>
      <c r="C82" s="26" t="str">
        <f>'Raw data'!C81</f>
        <v>박지연</v>
      </c>
      <c r="D82" s="26">
        <f>'Raw data'!F81</f>
        <v>34</v>
      </c>
      <c r="E82" s="26">
        <f>'Raw data'!H81</f>
        <v>168</v>
      </c>
      <c r="F82" s="26" t="str">
        <f>'Raw data'!E81</f>
        <v>성형외과 웹디자이너</v>
      </c>
      <c r="G82" s="26" t="str">
        <f>'Raw data'!G81</f>
        <v>31~38</v>
      </c>
      <c r="H82" s="26" t="str">
        <f>'Raw data'!I81</f>
        <v>175~</v>
      </c>
      <c r="I82" s="26" t="str">
        <f>'Raw data'!J81</f>
        <v>INFP</v>
      </c>
      <c r="J82" s="26" t="str">
        <f>'Raw data'!K81</f>
        <v>INFJ, INTJ, ISFJ</v>
      </c>
      <c r="K82" s="26" t="str">
        <f>'Raw data'!L81</f>
        <v>기독교</v>
      </c>
      <c r="L82" s="26" t="str">
        <f>'Raw data'!M81</f>
        <v>무관</v>
      </c>
      <c r="M82" s="26" t="str">
        <f>'Raw data'!P81</f>
        <v>기술직, 연구직, 회사원, 무관</v>
      </c>
      <c r="N82" s="26" t="str">
        <f>'Raw data'!N81</f>
        <v>차분하지만 가끔 사차원 매력이 있다!</v>
      </c>
      <c r="O82" s="26" t="str">
        <f>'Raw data'!O81</f>
        <v>감정기복이 심하지않고 진중하고 배려심이 많은 사람</v>
      </c>
      <c r="P82" s="26">
        <f>'Raw data'!Q81</f>
        <v>0</v>
      </c>
    </row>
    <row r="83" spans="1:16" ht="16.5" customHeight="1">
      <c r="A83" s="46">
        <v>81</v>
      </c>
      <c r="B83" s="26" t="str">
        <f>'Raw data'!B82</f>
        <v>남</v>
      </c>
      <c r="C83" s="26" t="str">
        <f>'Raw data'!C82</f>
        <v>박진훈</v>
      </c>
      <c r="D83" s="26">
        <f>'Raw data'!F82</f>
        <v>33</v>
      </c>
      <c r="E83" s="26">
        <f>'Raw data'!H82</f>
        <v>173</v>
      </c>
      <c r="F83" s="26" t="str">
        <f>'Raw data'!E82</f>
        <v>연구직 ( 열유동 시뮬레이션 해석 및 개발)</v>
      </c>
      <c r="G83" s="26" t="str">
        <f>'Raw data'!G82</f>
        <v>24~31</v>
      </c>
      <c r="H83" s="26" t="str">
        <f>'Raw data'!I82</f>
        <v>~165</v>
      </c>
      <c r="I83" s="26" t="str">
        <f>'Raw data'!J82</f>
        <v>INTP</v>
      </c>
      <c r="J83" s="26" t="str">
        <f>'Raw data'!K82</f>
        <v>무관</v>
      </c>
      <c r="K83" s="26" t="str">
        <f>'Raw data'!L82</f>
        <v>무교</v>
      </c>
      <c r="L83" s="26" t="str">
        <f>'Raw data'!M82</f>
        <v>동일</v>
      </c>
      <c r="M83" s="26" t="str">
        <f>'Raw data'!P82</f>
        <v>무관</v>
      </c>
      <c r="N83" s="26" t="str">
        <f>'Raw data'!N82</f>
        <v>순하고 착한 사람! 매사 긍정적인 사고를 하고 열심히 사는 사람!</v>
      </c>
      <c r="O83" s="26" t="str">
        <f>'Raw data'!O82</f>
        <v>청순하고 귀여운 사람! 착하고 순한 사람!</v>
      </c>
      <c r="P83" s="26" t="str">
        <f>'Raw data'!Q82</f>
        <v>잘부탁드립니다..!</v>
      </c>
    </row>
    <row r="84" spans="1:16" ht="16.5" customHeight="1">
      <c r="A84" s="45">
        <v>82</v>
      </c>
      <c r="B84" s="26" t="str">
        <f>'Raw data'!B83</f>
        <v>남</v>
      </c>
      <c r="C84" s="26" t="str">
        <f>'Raw data'!C83</f>
        <v>박찬용</v>
      </c>
      <c r="D84" s="26">
        <f>'Raw data'!F83</f>
        <v>38</v>
      </c>
      <c r="E84" s="26">
        <f>'Raw data'!H83</f>
        <v>172</v>
      </c>
      <c r="F84" s="26" t="str">
        <f>'Raw data'!E83</f>
        <v>대기업 해외영업</v>
      </c>
      <c r="G84" s="26" t="str">
        <f>'Raw data'!G83</f>
        <v>20~34</v>
      </c>
      <c r="H84" s="26" t="str">
        <f>'Raw data'!I83</f>
        <v>160~175</v>
      </c>
      <c r="I84" s="26" t="str">
        <f>'Raw data'!J83</f>
        <v>ESTP</v>
      </c>
      <c r="J84" s="26" t="str">
        <f>'Raw data'!K83</f>
        <v>무관</v>
      </c>
      <c r="K84" s="26" t="str">
        <f>'Raw data'!L83</f>
        <v>무교</v>
      </c>
      <c r="L84" s="26" t="str">
        <f>'Raw data'!M83</f>
        <v>동일</v>
      </c>
      <c r="M84" s="26" t="str">
        <f>'Raw data'!P83</f>
        <v>무관</v>
      </c>
      <c r="N84" s="26" t="str">
        <f>'Raw data'!N83</f>
        <v>유머러스하고 다정다감한 느낌</v>
      </c>
      <c r="O84" s="26" t="str">
        <f>'Raw data'!O83</f>
        <v>티키타카가 잘 통하시는 분</v>
      </c>
      <c r="P84" s="26">
        <f>'Raw data'!Q83</f>
        <v>0</v>
      </c>
    </row>
    <row r="85" spans="1:16" ht="16.5" customHeight="1">
      <c r="A85" s="46">
        <v>83</v>
      </c>
      <c r="B85" s="26" t="str">
        <f>'Raw data'!B84</f>
        <v>남</v>
      </c>
      <c r="C85" s="26" t="str">
        <f>'Raw data'!C84</f>
        <v>박찬우</v>
      </c>
      <c r="D85" s="26">
        <f>'Raw data'!F84</f>
        <v>33</v>
      </c>
      <c r="E85" s="26">
        <f>'Raw data'!H84</f>
        <v>168</v>
      </c>
      <c r="F85" s="26" t="str">
        <f>'Raw data'!E84</f>
        <v>한국원자력의학원 / 연구원</v>
      </c>
      <c r="G85" s="26" t="str">
        <f>'Raw data'!G84</f>
        <v>20~34</v>
      </c>
      <c r="H85" s="26" t="str">
        <f>'Raw data'!I84</f>
        <v>~170</v>
      </c>
      <c r="I85" s="26" t="str">
        <f>'Raw data'!J84</f>
        <v>ISTJ</v>
      </c>
      <c r="J85" s="26" t="str">
        <f>'Raw data'!K84</f>
        <v>무관</v>
      </c>
      <c r="K85" s="26" t="str">
        <f>'Raw data'!L84</f>
        <v>무교</v>
      </c>
      <c r="L85" s="26" t="str">
        <f>'Raw data'!M84</f>
        <v>무관</v>
      </c>
      <c r="M85" s="26" t="str">
        <f>'Raw data'!P84</f>
        <v>무관</v>
      </c>
      <c r="N85" s="26" t="str">
        <f>'Raw data'!N84</f>
        <v>#성실함 # 안정감 #신중함 # 몰입</v>
      </c>
      <c r="O85" s="26" t="str">
        <f>'Raw data'!O84</f>
        <v># 긍정적 # 다정함 # 밝음 # 존중</v>
      </c>
      <c r="P85" s="26">
        <f>'Raw data'!Q84</f>
        <v>0</v>
      </c>
    </row>
    <row r="86" spans="1:16" ht="16.5" customHeight="1">
      <c r="A86" s="46">
        <v>84</v>
      </c>
      <c r="B86" s="26" t="str">
        <f>'Raw data'!B85</f>
        <v>여</v>
      </c>
      <c r="C86" s="26" t="str">
        <f>'Raw data'!C85</f>
        <v>박혜리</v>
      </c>
      <c r="D86" s="26">
        <f>'Raw data'!F85</f>
        <v>36</v>
      </c>
      <c r="E86" s="26">
        <f>'Raw data'!H85</f>
        <v>154</v>
      </c>
      <c r="F86" s="26" t="str">
        <f>'Raw data'!E85</f>
        <v>인테리어디자이너(설계실)</v>
      </c>
      <c r="G86" s="26" t="str">
        <f>'Raw data'!G85</f>
        <v>31~38</v>
      </c>
      <c r="H86" s="26" t="str">
        <f>'Raw data'!I85</f>
        <v>175~</v>
      </c>
      <c r="I86" s="26" t="str">
        <f>'Raw data'!J85</f>
        <v>ESTP</v>
      </c>
      <c r="J86" s="26" t="str">
        <f>'Raw data'!K85</f>
        <v>무관</v>
      </c>
      <c r="K86" s="26" t="str">
        <f>'Raw data'!L85</f>
        <v>무교</v>
      </c>
      <c r="L86" s="26" t="str">
        <f>'Raw data'!M85</f>
        <v>동일</v>
      </c>
      <c r="M86" s="26" t="str">
        <f>'Raw data'!P85</f>
        <v>무관</v>
      </c>
      <c r="N86" s="26" t="str">
        <f>'Raw data'!N85</f>
        <v>새로운 경험을 좋아하고 즐겁게 지내는 사람</v>
      </c>
      <c r="O86" s="26" t="str">
        <f>'Raw data'!O85</f>
        <v>웃기고귀여운사람</v>
      </c>
      <c r="P86" s="26">
        <f>'Raw data'!Q85</f>
        <v>0</v>
      </c>
    </row>
    <row r="87" spans="1:16" ht="16.5" customHeight="1">
      <c r="A87" s="45">
        <v>85</v>
      </c>
      <c r="B87" s="26" t="str">
        <f>'Raw data'!B86</f>
        <v>여</v>
      </c>
      <c r="C87" s="26" t="str">
        <f>'Raw data'!C86</f>
        <v>박혜빈</v>
      </c>
      <c r="D87" s="26">
        <f>'Raw data'!F86</f>
        <v>31</v>
      </c>
      <c r="E87" s="26">
        <f>'Raw data'!H86</f>
        <v>161</v>
      </c>
      <c r="F87" s="26" t="str">
        <f>'Raw data'!E86</f>
        <v>간호사</v>
      </c>
      <c r="G87" s="26" t="str">
        <f>'Raw data'!G86</f>
        <v>28~34</v>
      </c>
      <c r="H87" s="26" t="str">
        <f>'Raw data'!I86</f>
        <v>170~</v>
      </c>
      <c r="I87" s="26" t="str">
        <f>'Raw data'!J86</f>
        <v>ISTP</v>
      </c>
      <c r="J87" s="26" t="str">
        <f>'Raw data'!K86</f>
        <v>ISFP, ISFJ, ESFJ, ENTJ, ESTJ</v>
      </c>
      <c r="K87" s="26" t="str">
        <f>'Raw data'!L86</f>
        <v>기독교</v>
      </c>
      <c r="L87" s="26" t="str">
        <f>'Raw data'!M86</f>
        <v>동일</v>
      </c>
      <c r="M87" s="26" t="str">
        <f>'Raw data'!P86</f>
        <v>무관</v>
      </c>
      <c r="N87" s="26" t="str">
        <f>'Raw data'!N86</f>
        <v>책임감 있고 처음엔 낯을 가리지만 수용적인 상대를 만나면 금방 친해짐</v>
      </c>
      <c r="O87" s="26" t="str">
        <f>'Raw data'!O86</f>
        <v>비흡연자. 기독교인. 성실하고 다정한 사람.</v>
      </c>
      <c r="P87" s="26" t="str">
        <f>'Raw data'!Q86</f>
        <v>교대근무라 일정조율 문제가 있습니다</v>
      </c>
    </row>
    <row r="88" spans="1:16" ht="16.5" customHeight="1">
      <c r="A88" s="46">
        <v>86</v>
      </c>
      <c r="B88" s="26" t="str">
        <f>'Raw data'!B87</f>
        <v>여</v>
      </c>
      <c r="C88" s="26" t="str">
        <f>'Raw data'!C87</f>
        <v>배민정</v>
      </c>
      <c r="D88" s="26">
        <f>'Raw data'!F87</f>
        <v>39</v>
      </c>
      <c r="E88" s="26">
        <f>'Raw data'!H87</f>
        <v>165</v>
      </c>
      <c r="F88" s="26" t="str">
        <f>'Raw data'!E87</f>
        <v>현대모비스 진천공장</v>
      </c>
      <c r="G88" s="26" t="str">
        <f>'Raw data'!G87</f>
        <v>38~41</v>
      </c>
      <c r="H88" s="26" t="str">
        <f>'Raw data'!I87</f>
        <v>무관</v>
      </c>
      <c r="I88" s="26" t="str">
        <f>'Raw data'!J87</f>
        <v>ENTP</v>
      </c>
      <c r="J88" s="26" t="str">
        <f>'Raw data'!K87</f>
        <v>INFP, INTP, INFJ, INTJ, ENFP, ENFJ, ENTP, ENTJ</v>
      </c>
      <c r="K88" s="26" t="str">
        <f>'Raw data'!L87</f>
        <v>무교</v>
      </c>
      <c r="L88" s="26" t="str">
        <f>'Raw data'!M87</f>
        <v>무관</v>
      </c>
      <c r="M88" s="26" t="str">
        <f>'Raw data'!P87</f>
        <v>무관</v>
      </c>
      <c r="N88" s="26" t="str">
        <f>'Raw data'!N87</f>
        <v>감정이 얼굴에 들어날 정도로 약간 솔직한편 입니다.
(남에 대한것이 아닌 제 감정에 솔직히 말하는편)
말로 서로 조율하는걸 선호 하는 편 입니다.
성격은 약간 테토스러운 면이 있습니다
먼저 사과하고 먼저 연락 잘 합니다</v>
      </c>
      <c r="O88" s="26" t="str">
        <f>'Raw data'!O87</f>
        <v>느낌이 좋고 말이 잘 통하며 유머가 있었으면 합니다</v>
      </c>
      <c r="P88" s="26" t="str">
        <f>'Raw data'!Q87</f>
        <v>특이사항 없습니다. 아 지방사람이라 주말에만 가능 합니다</v>
      </c>
    </row>
    <row r="89" spans="1:16">
      <c r="A89" s="46">
        <v>87</v>
      </c>
      <c r="B89" s="26" t="e">
        <f>'Raw data'!#REF!</f>
        <v>#REF!</v>
      </c>
      <c r="C89" s="26" t="e">
        <f>'Raw data'!#REF!</f>
        <v>#REF!</v>
      </c>
      <c r="D89" s="26" t="e">
        <f>'Raw data'!#REF!</f>
        <v>#REF!</v>
      </c>
      <c r="E89" s="26" t="e">
        <f>'Raw data'!#REF!</f>
        <v>#REF!</v>
      </c>
      <c r="F89" s="26" t="e">
        <f>'Raw data'!#REF!</f>
        <v>#REF!</v>
      </c>
      <c r="G89" s="26" t="e">
        <f>'Raw data'!#REF!</f>
        <v>#REF!</v>
      </c>
      <c r="H89" s="26" t="e">
        <f>'Raw data'!#REF!</f>
        <v>#REF!</v>
      </c>
      <c r="I89" s="26" t="e">
        <f>'Raw data'!#REF!</f>
        <v>#REF!</v>
      </c>
      <c r="J89" s="26" t="e">
        <f>'Raw data'!#REF!</f>
        <v>#REF!</v>
      </c>
      <c r="K89" s="26" t="e">
        <f>'Raw data'!#REF!</f>
        <v>#REF!</v>
      </c>
      <c r="L89" s="26" t="e">
        <f>'Raw data'!#REF!</f>
        <v>#REF!</v>
      </c>
      <c r="M89" s="26" t="e">
        <f>'Raw data'!#REF!</f>
        <v>#REF!</v>
      </c>
      <c r="N89" s="26" t="e">
        <f>'Raw data'!#REF!</f>
        <v>#REF!</v>
      </c>
      <c r="O89" s="26" t="e">
        <f>'Raw data'!#REF!</f>
        <v>#REF!</v>
      </c>
      <c r="P89" s="26" t="e">
        <f>'Raw data'!#REF!</f>
        <v>#REF!</v>
      </c>
    </row>
    <row r="90" spans="1:16">
      <c r="A90" s="45">
        <v>88</v>
      </c>
      <c r="B90" s="26" t="str">
        <f>'Raw data'!B88</f>
        <v>여</v>
      </c>
      <c r="C90" s="26" t="str">
        <f>'Raw data'!C88</f>
        <v>백엄지</v>
      </c>
      <c r="D90" s="26">
        <f>'Raw data'!F88</f>
        <v>35</v>
      </c>
      <c r="E90" s="26">
        <f>'Raw data'!H88</f>
        <v>168</v>
      </c>
      <c r="F90" s="26" t="str">
        <f>'Raw data'!E88</f>
        <v>트로트백업댄서</v>
      </c>
      <c r="G90" s="26" t="str">
        <f>'Raw data'!G88</f>
        <v>31~41</v>
      </c>
      <c r="H90" s="26" t="str">
        <f>'Raw data'!I88</f>
        <v>175~</v>
      </c>
      <c r="I90" s="26" t="str">
        <f>'Raw data'!J88</f>
        <v>INTP</v>
      </c>
      <c r="J90" s="26" t="str">
        <f>'Raw data'!K88</f>
        <v>INTP, INFJ, ISTJ, INTJ, ISFJ, ENFJ, ENTJ</v>
      </c>
      <c r="K90" s="26" t="str">
        <f>'Raw data'!L88</f>
        <v>무교</v>
      </c>
      <c r="L90" s="26" t="str">
        <f>'Raw data'!M88</f>
        <v>무관</v>
      </c>
      <c r="M90" s="26" t="str">
        <f>'Raw data'!P88</f>
        <v>무관</v>
      </c>
      <c r="N90" s="26" t="str">
        <f>'Raw data'!N88</f>
        <v>긍정적이고 밝은사람 매사 진지한 편이고 토론을 좋아함</v>
      </c>
      <c r="O90" s="26" t="str">
        <f>'Raw data'!O88</f>
        <v>내가 배울수있는 존경할만한 사람</v>
      </c>
      <c r="P90" s="26">
        <f>'Raw data'!Q88</f>
        <v>0</v>
      </c>
    </row>
    <row r="91" spans="1:16">
      <c r="A91" s="46">
        <v>89</v>
      </c>
      <c r="B91" s="26" t="str">
        <f>'Raw data'!B89</f>
        <v>여</v>
      </c>
      <c r="C91" s="26" t="str">
        <f>'Raw data'!C89</f>
        <v>서다빈</v>
      </c>
      <c r="D91" s="26">
        <f>'Raw data'!F89</f>
        <v>28</v>
      </c>
      <c r="E91" s="26">
        <f>'Raw data'!H89</f>
        <v>158</v>
      </c>
      <c r="F91" s="26" t="str">
        <f>'Raw data'!E89</f>
        <v>사회복지사(장애인 자립생활센터)</v>
      </c>
      <c r="G91" s="26" t="str">
        <f>'Raw data'!G89</f>
        <v>24~34</v>
      </c>
      <c r="H91" s="26" t="str">
        <f>'Raw data'!I89</f>
        <v>175~</v>
      </c>
      <c r="I91" s="26" t="str">
        <f>'Raw data'!J89</f>
        <v>INT(F)P</v>
      </c>
      <c r="J91" s="26" t="str">
        <f>'Raw data'!K89</f>
        <v>무관, ESFJ</v>
      </c>
      <c r="K91" s="26" t="str">
        <f>'Raw data'!L89</f>
        <v>기독교</v>
      </c>
      <c r="L91" s="26" t="str">
        <f>'Raw data'!M89</f>
        <v>동일</v>
      </c>
      <c r="M91" s="26" t="str">
        <f>'Raw data'!P89</f>
        <v>병원직군, 기술직, 공무원, 연구직, 회사원, 무관</v>
      </c>
      <c r="N91" s="26" t="str">
        <f>'Raw data'!N89</f>
        <v>귀여운 사람</v>
      </c>
      <c r="O91" s="26" t="str">
        <f>'Raw data'!O89</f>
        <v>쩝쩝거리지 않고 주먹으로 젓가락질 하지 않는 사람</v>
      </c>
      <c r="P91" s="26">
        <f>'Raw data'!Q89</f>
        <v>0</v>
      </c>
    </row>
    <row r="92" spans="1:16">
      <c r="A92" s="46">
        <v>90</v>
      </c>
      <c r="B92" s="26" t="str">
        <f>'Raw data'!B90</f>
        <v>여</v>
      </c>
      <c r="C92" s="26" t="str">
        <f>'Raw data'!C90</f>
        <v>서지연</v>
      </c>
      <c r="D92" s="26">
        <f>'Raw data'!F90</f>
        <v>36</v>
      </c>
      <c r="E92" s="26">
        <f>'Raw data'!H90</f>
        <v>164</v>
      </c>
      <c r="F92" s="26" t="str">
        <f>'Raw data'!E90</f>
        <v>사무직(티빙/광고사업부)</v>
      </c>
      <c r="G92" s="26" t="str">
        <f>'Raw data'!G90</f>
        <v>35~41</v>
      </c>
      <c r="H92" s="26" t="str">
        <f>'Raw data'!I90</f>
        <v>175~</v>
      </c>
      <c r="I92" s="26" t="str">
        <f>'Raw data'!J90</f>
        <v>ENTJ</v>
      </c>
      <c r="J92" s="26" t="str">
        <f>'Raw data'!K90</f>
        <v>무관</v>
      </c>
      <c r="K92" s="26" t="str">
        <f>'Raw data'!L90</f>
        <v>무교</v>
      </c>
      <c r="L92" s="26" t="str">
        <f>'Raw data'!M90</f>
        <v>동일</v>
      </c>
      <c r="M92" s="26" t="str">
        <f>'Raw data'!P90</f>
        <v>기술직, 공무원</v>
      </c>
      <c r="N92" s="26" t="str">
        <f>'Raw data'!N90</f>
        <v>처음엔 낯을 가리지만 친해지면 털털</v>
      </c>
      <c r="O92" s="26" t="str">
        <f>'Raw data'!O90</f>
        <v>다정하고 가볍지 않은 사람</v>
      </c>
      <c r="P92" s="26">
        <f>'Raw data'!Q90</f>
        <v>0</v>
      </c>
    </row>
    <row r="93" spans="1:16">
      <c r="A93" s="45">
        <v>91</v>
      </c>
      <c r="B93" s="26" t="str">
        <f>'Raw data'!B91</f>
        <v>남</v>
      </c>
      <c r="C93" s="26" t="str">
        <f>'Raw data'!C91</f>
        <v>서현석</v>
      </c>
      <c r="D93" s="26">
        <f>'Raw data'!F91</f>
        <v>34</v>
      </c>
      <c r="E93" s="26">
        <f>'Raw data'!H91</f>
        <v>168</v>
      </c>
      <c r="F93" s="26" t="str">
        <f>'Raw data'!E91</f>
        <v>소프트웨어 개발자(RSQUARE 홈닷FE)</v>
      </c>
      <c r="G93" s="26" t="str">
        <f>'Raw data'!G91</f>
        <v>28~34</v>
      </c>
      <c r="H93" s="26" t="str">
        <f>'Raw data'!I91</f>
        <v>~165</v>
      </c>
      <c r="I93" s="26" t="str">
        <f>'Raw data'!J91</f>
        <v>ENFJ</v>
      </c>
      <c r="J93" s="26" t="str">
        <f>'Raw data'!K91</f>
        <v>무관</v>
      </c>
      <c r="K93" s="26" t="str">
        <f>'Raw data'!L91</f>
        <v>무교</v>
      </c>
      <c r="L93" s="26" t="str">
        <f>'Raw data'!M91</f>
        <v>동일</v>
      </c>
      <c r="M93" s="26" t="str">
        <f>'Raw data'!P91</f>
        <v>무관</v>
      </c>
      <c r="N93" s="26" t="str">
        <f>'Raw data'!N91</f>
        <v>평소에 성실하고 섬세하다는 말을 많이 듣습니다.</v>
      </c>
      <c r="O93" s="26" t="str">
        <f>'Raw data'!O91</f>
        <v>관계 유지에 노력을 기울이는 사람을 선호합니다. 외적으로는 작고 귀여운 두부상 스타일 좋아합니다.</v>
      </c>
      <c r="P93" s="26">
        <f>'Raw data'!Q91</f>
        <v>0</v>
      </c>
    </row>
    <row r="94" spans="1:16">
      <c r="A94" s="46">
        <v>92</v>
      </c>
      <c r="B94" s="26" t="str">
        <f>'Raw data'!B92</f>
        <v>여</v>
      </c>
      <c r="C94" s="26" t="str">
        <f>'Raw data'!C92</f>
        <v>성은진</v>
      </c>
      <c r="D94" s="26">
        <f>'Raw data'!F92</f>
        <v>29</v>
      </c>
      <c r="E94" s="26">
        <f>'Raw data'!H92</f>
        <v>162</v>
      </c>
      <c r="F94" s="26" t="str">
        <f>'Raw data'!E92</f>
        <v>대학병원 의료기사</v>
      </c>
      <c r="G94" s="26" t="str">
        <f>'Raw data'!G92</f>
        <v>28~34</v>
      </c>
      <c r="H94" s="26" t="str">
        <f>'Raw data'!I92</f>
        <v>175~</v>
      </c>
      <c r="I94" s="26" t="str">
        <f>'Raw data'!J92</f>
        <v>ESFJ</v>
      </c>
      <c r="J94" s="26" t="str">
        <f>'Raw data'!K92</f>
        <v>무관</v>
      </c>
      <c r="K94" s="26" t="str">
        <f>'Raw data'!L92</f>
        <v>무교, 천주교</v>
      </c>
      <c r="L94" s="26" t="str">
        <f>'Raw data'!M92</f>
        <v>무관</v>
      </c>
      <c r="M94" s="26" t="str">
        <f>'Raw data'!P92</f>
        <v>무관</v>
      </c>
      <c r="N94" s="26" t="str">
        <f>'Raw data'!N92</f>
        <v>자기관리를 잘하고 성격은 밝고 긍정적이며 책임감 있고 배려심 많음</v>
      </c>
      <c r="O94" s="26" t="str">
        <f>'Raw data'!O92</f>
        <v>다정하고 배려심 많으며 배울 점이 많고 안정감이 드는 사람</v>
      </c>
      <c r="P94" s="26" t="str">
        <f>'Raw data'!Q92</f>
        <v>잘부탁드립니다!!!</v>
      </c>
    </row>
    <row r="95" spans="1:16">
      <c r="A95" s="46">
        <v>93</v>
      </c>
      <c r="B95" s="26" t="str">
        <f>'Raw data'!B93</f>
        <v>여</v>
      </c>
      <c r="C95" s="26" t="str">
        <f>'Raw data'!C93</f>
        <v>성지원</v>
      </c>
      <c r="D95" s="26">
        <f>'Raw data'!F93</f>
        <v>44</v>
      </c>
      <c r="E95" s="26">
        <f>'Raw data'!H93</f>
        <v>165</v>
      </c>
      <c r="F95" s="26" t="str">
        <f>'Raw data'!E93</f>
        <v>서울장곡초등학교 교사</v>
      </c>
      <c r="G95" s="26" t="str">
        <f>'Raw data'!G93</f>
        <v>38~</v>
      </c>
      <c r="H95" s="26" t="str">
        <f>'Raw data'!I93</f>
        <v>170~</v>
      </c>
      <c r="I95" s="26" t="str">
        <f>'Raw data'!J93</f>
        <v>ISTJ</v>
      </c>
      <c r="J95" s="26" t="str">
        <f>'Raw data'!K93</f>
        <v>무관, ISTJ, ISFJ, ESTJ</v>
      </c>
      <c r="K95" s="26" t="str">
        <f>'Raw data'!L93</f>
        <v>무교</v>
      </c>
      <c r="L95" s="26" t="str">
        <f>'Raw data'!M93</f>
        <v>무관</v>
      </c>
      <c r="M95" s="26" t="str">
        <f>'Raw data'!P93</f>
        <v>병원직군, 연구직, 회사원</v>
      </c>
      <c r="N95" s="26" t="str">
        <f>'Raw data'!N93</f>
        <v>차분하고 친해지면 귀여운 매력</v>
      </c>
      <c r="O95" s="26" t="str">
        <f>'Raw data'!O93</f>
        <v>심신이 건강한 사람</v>
      </c>
      <c r="P95" s="26">
        <f>'Raw data'!Q93</f>
        <v>0</v>
      </c>
    </row>
    <row r="96" spans="1:16">
      <c r="A96" s="45">
        <v>94</v>
      </c>
      <c r="B96" s="26" t="str">
        <f>'Raw data'!B94</f>
        <v>남</v>
      </c>
      <c r="C96" s="26" t="str">
        <f>'Raw data'!C94</f>
        <v>소혜민</v>
      </c>
      <c r="D96" s="26">
        <f>'Raw data'!F94</f>
        <v>32</v>
      </c>
      <c r="E96" s="26">
        <f>'Raw data'!H94</f>
        <v>175</v>
      </c>
      <c r="F96" s="26" t="str">
        <f>'Raw data'!E94</f>
        <v>자영업</v>
      </c>
      <c r="G96" s="26" t="str">
        <f>'Raw data'!G94</f>
        <v>24~31</v>
      </c>
      <c r="H96" s="26" t="str">
        <f>'Raw data'!I94</f>
        <v>160~170</v>
      </c>
      <c r="I96" s="26" t="str">
        <f>'Raw data'!J94</f>
        <v>ENFP</v>
      </c>
      <c r="J96" s="26" t="str">
        <f>'Raw data'!K94</f>
        <v>무관</v>
      </c>
      <c r="K96" s="26" t="str">
        <f>'Raw data'!L94</f>
        <v>무교</v>
      </c>
      <c r="L96" s="26" t="str">
        <f>'Raw data'!M94</f>
        <v>무관</v>
      </c>
      <c r="M96" s="26" t="str">
        <f>'Raw data'!P94</f>
        <v>무관</v>
      </c>
      <c r="N96" s="26" t="str">
        <f>'Raw data'!N94</f>
        <v>긍정적이고 센스있다</v>
      </c>
      <c r="O96" s="26" t="str">
        <f>'Raw data'!O94</f>
        <v>긴머리 유쌍 예의 있으신분</v>
      </c>
      <c r="P96" s="26">
        <f>'Raw data'!Q94</f>
        <v>0</v>
      </c>
    </row>
    <row r="97" spans="1:16">
      <c r="A97" s="46">
        <v>95</v>
      </c>
      <c r="B97" s="26" t="str">
        <f>'Raw data'!B95</f>
        <v>남</v>
      </c>
      <c r="C97" s="26" t="str">
        <f>'Raw data'!C95</f>
        <v>손종민</v>
      </c>
      <c r="D97" s="26">
        <f>'Raw data'!F95</f>
        <v>45</v>
      </c>
      <c r="E97" s="26">
        <f>'Raw data'!H95</f>
        <v>173</v>
      </c>
      <c r="F97" s="26" t="str">
        <f>'Raw data'!E95</f>
        <v>학원강사 (초중고)</v>
      </c>
      <c r="G97" s="26" t="str">
        <f>'Raw data'!G95</f>
        <v>무관</v>
      </c>
      <c r="H97" s="26" t="str">
        <f>'Raw data'!I95</f>
        <v>무관</v>
      </c>
      <c r="I97" s="26" t="str">
        <f>'Raw data'!J95</f>
        <v>INFP</v>
      </c>
      <c r="J97" s="26" t="str">
        <f>'Raw data'!K95</f>
        <v>무관</v>
      </c>
      <c r="K97" s="26" t="str">
        <f>'Raw data'!L95</f>
        <v>기독교</v>
      </c>
      <c r="L97" s="26" t="str">
        <f>'Raw data'!M95</f>
        <v>동일</v>
      </c>
      <c r="M97" s="26" t="str">
        <f>'Raw data'!P95</f>
        <v>무관</v>
      </c>
      <c r="N97" s="26" t="str">
        <f>'Raw data'!N95</f>
        <v>착함(진짜) (타칭)</v>
      </c>
      <c r="O97" s="26" t="str">
        <f>'Raw data'!O95</f>
        <v>귀여운(but 무관)</v>
      </c>
      <c r="P97" s="26" t="str">
        <f>'Raw data'!Q95</f>
        <v>시간이 어떻게되는지 모르겠네요ㅠ</v>
      </c>
    </row>
    <row r="98" spans="1:16">
      <c r="A98" s="46">
        <v>96</v>
      </c>
      <c r="B98" s="26" t="str">
        <f>'Raw data'!B96</f>
        <v>여</v>
      </c>
      <c r="C98" s="26" t="str">
        <f>'Raw data'!C96</f>
        <v>손진</v>
      </c>
      <c r="D98" s="26">
        <f>'Raw data'!F96</f>
        <v>31</v>
      </c>
      <c r="E98" s="26">
        <f>'Raw data'!H96</f>
        <v>165</v>
      </c>
      <c r="F98" s="26" t="str">
        <f>'Raw data'!E96</f>
        <v>패션업 / 마케팅</v>
      </c>
      <c r="G98" s="26" t="str">
        <f>'Raw data'!G96</f>
        <v>31~34</v>
      </c>
      <c r="H98" s="26" t="str">
        <f>'Raw data'!I96</f>
        <v>175~</v>
      </c>
      <c r="I98" s="26" t="str">
        <f>'Raw data'!J96</f>
        <v>ESFP</v>
      </c>
      <c r="J98" s="26" t="str">
        <f>'Raw data'!K96</f>
        <v>무관</v>
      </c>
      <c r="K98" s="26" t="str">
        <f>'Raw data'!L96</f>
        <v>무교</v>
      </c>
      <c r="L98" s="26" t="str">
        <f>'Raw data'!M96</f>
        <v>동일</v>
      </c>
      <c r="M98" s="26" t="str">
        <f>'Raw data'!P96</f>
        <v>무관</v>
      </c>
      <c r="N98" s="26" t="str">
        <f>'Raw data'!N96</f>
        <v>텐션은 있는데 감정은 안정된 사람</v>
      </c>
      <c r="O98" s="26" t="str">
        <f>'Raw data'!O96</f>
        <v>대화가 통하고, 삶의 결이 어느 정도 자리 잡힌 사람</v>
      </c>
      <c r="P98" s="26">
        <f>'Raw data'!Q96</f>
        <v>0</v>
      </c>
    </row>
    <row r="99" spans="1:16">
      <c r="A99" s="45">
        <v>97</v>
      </c>
      <c r="B99" s="26" t="str">
        <f>'Raw data'!B97</f>
        <v>여</v>
      </c>
      <c r="C99" s="26" t="str">
        <f>'Raw data'!C97</f>
        <v>송수연</v>
      </c>
      <c r="D99" s="26">
        <f>'Raw data'!F97</f>
        <v>36</v>
      </c>
      <c r="E99" s="26">
        <f>'Raw data'!H97</f>
        <v>166</v>
      </c>
      <c r="F99" s="26" t="str">
        <f>'Raw data'!E97</f>
        <v>필라테스 강사</v>
      </c>
      <c r="G99" s="26" t="str">
        <f>'Raw data'!G97</f>
        <v>31~38</v>
      </c>
      <c r="H99" s="26" t="str">
        <f>'Raw data'!I97</f>
        <v>170~</v>
      </c>
      <c r="I99" s="26" t="str">
        <f>'Raw data'!J97</f>
        <v>ESTJ</v>
      </c>
      <c r="J99" s="26" t="str">
        <f>'Raw data'!K97</f>
        <v>무관</v>
      </c>
      <c r="K99" s="26" t="str">
        <f>'Raw data'!L97</f>
        <v>무교</v>
      </c>
      <c r="L99" s="26" t="str">
        <f>'Raw data'!M97</f>
        <v>동일</v>
      </c>
      <c r="M99" s="26" t="str">
        <f>'Raw data'!P97</f>
        <v>자영업, 무관</v>
      </c>
      <c r="N99" s="26" t="str">
        <f>'Raw data'!N97</f>
        <v>바르고 자기관리 잘하고 거짓말,내숭 없는 사람이에요! 베이킹 하는걸 좋아해서 원데이 클래스를 많이 다녀봤어요! 항상 열심히하고 제 일에 자부심을 가지고 사는 사람입니다 :) 오래 회사생활 하다가 이직한거라 굉장히 긍정적으로 활발하게 공부하며 살고있어요!</v>
      </c>
      <c r="O99" s="26" t="str">
        <f>'Raw data'!O97</f>
        <v>깔끔하고 다정하고 센스있는 분을 좋아해요! 예의있으면서 상대방한테 맞는 배려가 뭔지 아는 너드남 스타일🩷</v>
      </c>
      <c r="P99" s="26" t="str">
        <f>'Raw data'!Q97</f>
        <v>무조건 안된다는 아니지만 enfj entp enfp 분들이랑은 별로 안맞았던 것 같아서 좀 만나기 두려워요 😂</v>
      </c>
    </row>
    <row r="100" spans="1:16">
      <c r="A100" s="46">
        <v>98</v>
      </c>
      <c r="B100" s="26" t="str">
        <f>'Raw data'!B98</f>
        <v>여</v>
      </c>
      <c r="C100" s="26" t="str">
        <f>'Raw data'!C98</f>
        <v>송아현</v>
      </c>
      <c r="D100" s="26">
        <f>'Raw data'!F98</f>
        <v>29</v>
      </c>
      <c r="E100" s="26">
        <f>'Raw data'!H98</f>
        <v>172</v>
      </c>
      <c r="F100" s="26" t="str">
        <f>'Raw data'!E98</f>
        <v>자산운용사</v>
      </c>
      <c r="G100" s="26" t="str">
        <f>'Raw data'!G98</f>
        <v>31~38</v>
      </c>
      <c r="H100" s="26" t="str">
        <f>'Raw data'!I98</f>
        <v>175~</v>
      </c>
      <c r="I100" s="26" t="str">
        <f>'Raw data'!J98</f>
        <v>INTJ</v>
      </c>
      <c r="J100" s="26" t="str">
        <f>'Raw data'!K98</f>
        <v>ENFJ, ESFJ, ENTJ, ESTJ</v>
      </c>
      <c r="K100" s="26" t="str">
        <f>'Raw data'!L98</f>
        <v>무교</v>
      </c>
      <c r="L100" s="26" t="str">
        <f>'Raw data'!M98</f>
        <v>무관</v>
      </c>
      <c r="M100" s="26" t="str">
        <f>'Raw data'!P98</f>
        <v>공무원</v>
      </c>
      <c r="N100" s="26" t="str">
        <f>'Raw data'!N98</f>
        <v>차분하고 열심히 사는 사람</v>
      </c>
      <c r="O100" s="26" t="str">
        <f>'Raw data'!O98</f>
        <v>예의바르고 열심히 사는 사람</v>
      </c>
      <c r="P100" s="26">
        <f>'Raw data'!Q98</f>
        <v>0</v>
      </c>
    </row>
    <row r="101" spans="1:16">
      <c r="A101" s="46">
        <v>99</v>
      </c>
      <c r="B101" s="26" t="str">
        <f>'Raw data'!B99</f>
        <v>여</v>
      </c>
      <c r="C101" s="26" t="str">
        <f>'Raw data'!C99</f>
        <v>신영랑</v>
      </c>
      <c r="D101" s="26">
        <f>'Raw data'!F99</f>
        <v>39</v>
      </c>
      <c r="E101" s="26">
        <f>'Raw data'!H99</f>
        <v>163</v>
      </c>
      <c r="F101" s="26" t="str">
        <f>'Raw data'!E99</f>
        <v>공무원</v>
      </c>
      <c r="G101" s="26" t="str">
        <f>'Raw data'!G99</f>
        <v>35~38</v>
      </c>
      <c r="H101" s="26" t="str">
        <f>'Raw data'!I99</f>
        <v>175~180</v>
      </c>
      <c r="I101" s="26" t="str">
        <f>'Raw data'!J99</f>
        <v>ISFP</v>
      </c>
      <c r="J101" s="26" t="str">
        <f>'Raw data'!K99</f>
        <v>무관</v>
      </c>
      <c r="K101" s="26" t="str">
        <f>'Raw data'!L99</f>
        <v>무교</v>
      </c>
      <c r="L101" s="26" t="str">
        <f>'Raw data'!M99</f>
        <v>동일</v>
      </c>
      <c r="M101" s="26" t="str">
        <f>'Raw data'!P99</f>
        <v>무관</v>
      </c>
      <c r="N101" s="26" t="str">
        <f>'Raw data'!N99</f>
        <v>솔직하고 신뢰를 중시하는 사람</v>
      </c>
      <c r="O101" s="26" t="str">
        <f>'Raw data'!O99</f>
        <v>다정하고 재밋는 사람</v>
      </c>
      <c r="P101" s="26">
        <f>'Raw data'!Q99</f>
        <v>0</v>
      </c>
    </row>
    <row r="102" spans="1:16">
      <c r="A102" s="45">
        <v>100</v>
      </c>
      <c r="B102" s="26" t="str">
        <f>'Raw data'!B100</f>
        <v>여</v>
      </c>
      <c r="C102" s="26" t="str">
        <f>'Raw data'!C100</f>
        <v>신현정</v>
      </c>
      <c r="D102" s="26">
        <f>'Raw data'!F100</f>
        <v>33</v>
      </c>
      <c r="E102" s="26">
        <f>'Raw data'!H100</f>
        <v>165</v>
      </c>
      <c r="F102" s="26" t="str">
        <f>'Raw data'!E100</f>
        <v>외국계회사/영업지원</v>
      </c>
      <c r="G102" s="26" t="str">
        <f>'Raw data'!G100</f>
        <v>28~34</v>
      </c>
      <c r="H102" s="26" t="str">
        <f>'Raw data'!I100</f>
        <v>175~</v>
      </c>
      <c r="I102" s="26" t="str">
        <f>'Raw data'!J100</f>
        <v>ISFJ</v>
      </c>
      <c r="J102" s="26" t="str">
        <f>'Raw data'!K100</f>
        <v>무관</v>
      </c>
      <c r="K102" s="26" t="str">
        <f>'Raw data'!L100</f>
        <v>무교</v>
      </c>
      <c r="L102" s="26" t="str">
        <f>'Raw data'!M100</f>
        <v>무관</v>
      </c>
      <c r="M102" s="26" t="str">
        <f>'Raw data'!P100</f>
        <v>무관</v>
      </c>
      <c r="N102" s="26" t="str">
        <f>'Raw data'!N100</f>
        <v>잘웃고 책임감이 강한 사람</v>
      </c>
      <c r="O102" s="26" t="str">
        <f>'Raw data'!O100</f>
        <v>쌍커풀 없고 다정한 사람, 재밌는 사람</v>
      </c>
      <c r="P102" s="26">
        <f>'Raw data'!Q100</f>
        <v>0</v>
      </c>
    </row>
    <row r="103" spans="1:16">
      <c r="A103" s="46">
        <v>101</v>
      </c>
      <c r="B103" s="26" t="str">
        <f>'Raw data'!B101</f>
        <v>남</v>
      </c>
      <c r="C103" s="26" t="str">
        <f>'Raw data'!C101</f>
        <v>안광현</v>
      </c>
      <c r="D103" s="26">
        <f>'Raw data'!F101</f>
        <v>41</v>
      </c>
      <c r="E103" s="26">
        <f>'Raw data'!H101</f>
        <v>176</v>
      </c>
      <c r="F103" s="26" t="str">
        <f>'Raw data'!E101</f>
        <v>교육 컨설턴트</v>
      </c>
      <c r="G103" s="26" t="str">
        <f>'Raw data'!G101</f>
        <v>28~38</v>
      </c>
      <c r="H103" s="26" t="str">
        <f>'Raw data'!I101</f>
        <v>~160</v>
      </c>
      <c r="I103" s="26" t="str">
        <f>'Raw data'!J101</f>
        <v>INFJ</v>
      </c>
      <c r="J103" s="26" t="str">
        <f>'Raw data'!K101</f>
        <v>무관</v>
      </c>
      <c r="K103" s="26" t="str">
        <f>'Raw data'!L101</f>
        <v>천주교</v>
      </c>
      <c r="L103" s="26" t="str">
        <f>'Raw data'!M101</f>
        <v>무관</v>
      </c>
      <c r="M103" s="26" t="str">
        <f>'Raw data'!P101</f>
        <v>무관</v>
      </c>
      <c r="N103" s="26" t="str">
        <f>'Raw data'!N101</f>
        <v>다정다감하고 배려심이 있는 사람</v>
      </c>
      <c r="O103" s="26" t="str">
        <f>'Raw data'!O101</f>
        <v>피부가 하얗고 웃는 모습이 예쁜 사람</v>
      </c>
      <c r="P103" s="26">
        <f>'Raw data'!Q101</f>
        <v>0</v>
      </c>
    </row>
    <row r="104" spans="1:16">
      <c r="A104" s="46">
        <v>102</v>
      </c>
      <c r="B104" s="26" t="str">
        <f>'Raw data'!B102</f>
        <v>남</v>
      </c>
      <c r="C104" s="26" t="str">
        <f>'Raw data'!C102</f>
        <v>안석준</v>
      </c>
      <c r="D104" s="26">
        <f>'Raw data'!F102</f>
        <v>31</v>
      </c>
      <c r="E104" s="26">
        <f>'Raw data'!H102</f>
        <v>166</v>
      </c>
      <c r="F104" s="26" t="str">
        <f>'Raw data'!E102</f>
        <v>1인 개인사업자</v>
      </c>
      <c r="G104" s="26" t="str">
        <f>'Raw data'!G102</f>
        <v>28~34</v>
      </c>
      <c r="H104" s="26" t="str">
        <f>'Raw data'!I102</f>
        <v>160이하</v>
      </c>
      <c r="I104" s="26" t="str">
        <f>'Raw data'!J102</f>
        <v>INFP</v>
      </c>
      <c r="J104" s="26" t="str">
        <f>'Raw data'!K102</f>
        <v>무관</v>
      </c>
      <c r="K104" s="26" t="str">
        <f>'Raw data'!L102</f>
        <v>무교</v>
      </c>
      <c r="L104" s="26" t="str">
        <f>'Raw data'!M102</f>
        <v>무관</v>
      </c>
      <c r="M104" s="26" t="str">
        <f>'Raw data'!P102</f>
        <v>무관</v>
      </c>
      <c r="N104" s="26" t="str">
        <f>'Raw data'!N102</f>
        <v>다정, 유머, 긍정적인 사람, 강아지 좋아하고 키우고 있어요!</v>
      </c>
      <c r="O104" s="26" t="str">
        <f>'Raw data'!O102</f>
        <v>귀여운 외모를 가지신 분, 유쾌하고 긍정적이신 분</v>
      </c>
      <c r="P104" s="26">
        <f>'Raw data'!Q102</f>
        <v>0</v>
      </c>
    </row>
    <row r="105" spans="1:16">
      <c r="A105" s="45">
        <v>103</v>
      </c>
      <c r="B105" s="26" t="str">
        <f>'Raw data'!B103</f>
        <v>여</v>
      </c>
      <c r="C105" s="26" t="str">
        <f>'Raw data'!C103</f>
        <v>안정원</v>
      </c>
      <c r="D105" s="26">
        <f>'Raw data'!F103</f>
        <v>35</v>
      </c>
      <c r="E105" s="26">
        <f>'Raw data'!H103</f>
        <v>159</v>
      </c>
      <c r="F105" s="26" t="str">
        <f>'Raw data'!E103</f>
        <v>BYN블랙야크</v>
      </c>
      <c r="G105" s="26" t="str">
        <f>'Raw data'!G103</f>
        <v>31~38</v>
      </c>
      <c r="H105" s="26" t="str">
        <f>'Raw data'!I103</f>
        <v>175~</v>
      </c>
      <c r="I105" s="26" t="str">
        <f>'Raw data'!J103</f>
        <v>ESTP/ISTP</v>
      </c>
      <c r="J105" s="26" t="str">
        <f>'Raw data'!K103</f>
        <v>ISFP, ISTP, ISTJ, ISFJ, ESFP, ESFJ, ESTP, ESTJ</v>
      </c>
      <c r="K105" s="26" t="str">
        <f>'Raw data'!L103</f>
        <v>무교</v>
      </c>
      <c r="L105" s="26" t="str">
        <f>'Raw data'!M103</f>
        <v>동일</v>
      </c>
      <c r="M105" s="26" t="str">
        <f>'Raw data'!P103</f>
        <v>무관</v>
      </c>
      <c r="N105" s="26" t="str">
        <f>'Raw data'!N103</f>
        <v>투명한 사람</v>
      </c>
      <c r="O105" s="26" t="str">
        <f>'Raw data'!O103</f>
        <v>훈훈한 두부상/피부 좋은분/절제력이 있는 분</v>
      </c>
      <c r="P105" s="26">
        <f>'Raw data'!Q103</f>
        <v>0</v>
      </c>
    </row>
    <row r="106" spans="1:16">
      <c r="A106" s="46">
        <v>104</v>
      </c>
      <c r="B106" s="26" t="str">
        <f>'Raw data'!B104</f>
        <v>남</v>
      </c>
      <c r="C106" s="26" t="str">
        <f>'Raw data'!C104</f>
        <v>안정진</v>
      </c>
      <c r="D106" s="26">
        <f>'Raw data'!F104</f>
        <v>41</v>
      </c>
      <c r="E106" s="26">
        <f>'Raw data'!H104</f>
        <v>176</v>
      </c>
      <c r="F106" s="26" t="str">
        <f>'Raw data'!E104</f>
        <v>회사원(마케팅)</v>
      </c>
      <c r="G106" s="26" t="str">
        <f>'Raw data'!G104</f>
        <v>35~41</v>
      </c>
      <c r="H106" s="26" t="str">
        <f>'Raw data'!I104</f>
        <v>165~180</v>
      </c>
      <c r="I106" s="26" t="str">
        <f>'Raw data'!J104</f>
        <v>INFJ</v>
      </c>
      <c r="J106" s="26" t="str">
        <f>'Raw data'!K104</f>
        <v>무관</v>
      </c>
      <c r="K106" s="26" t="str">
        <f>'Raw data'!L104</f>
        <v>무교</v>
      </c>
      <c r="L106" s="26" t="str">
        <f>'Raw data'!M104</f>
        <v>동일</v>
      </c>
      <c r="M106" s="26" t="str">
        <f>'Raw data'!P104</f>
        <v>무관</v>
      </c>
      <c r="N106" s="26" t="str">
        <f>'Raw data'!N104</f>
        <v>차분하고 상냥한 사람. 차분한 첫인상 때문에 오해받기도 하지만, 알고 보면 꽤 장난기 넘치고 활발한 성격이에요.</v>
      </c>
      <c r="O106" s="26" t="str">
        <f>'Raw data'!O104</f>
        <v>제가 차분한 편이라, 밝고 에너제틱한 기운을 가진 분과 함께할 때 즐거움을 느낍니다. 겉모습을 화려하게 포장하기보다 자신의 있는 그대로를 사랑할 줄 아는 분이 이상형이에요.</v>
      </c>
      <c r="P106" s="26">
        <f>'Raw data'!Q104</f>
        <v>0</v>
      </c>
    </row>
    <row r="107" spans="1:16">
      <c r="A107" s="46">
        <v>105</v>
      </c>
      <c r="B107" s="26" t="str">
        <f>'Raw data'!B105</f>
        <v>남</v>
      </c>
      <c r="C107" s="26" t="str">
        <f>'Raw data'!C105</f>
        <v>양대광</v>
      </c>
      <c r="D107" s="26">
        <f>'Raw data'!F105</f>
        <v>38</v>
      </c>
      <c r="E107" s="26">
        <f>'Raw data'!H105</f>
        <v>176</v>
      </c>
      <c r="F107" s="26" t="str">
        <f>'Raw data'!E105</f>
        <v>중소기업(유통업) 팀장</v>
      </c>
      <c r="G107" s="26" t="str">
        <f>'Raw data'!G105</f>
        <v>28~34</v>
      </c>
      <c r="H107" s="26" t="str">
        <f>'Raw data'!I105</f>
        <v>160~170</v>
      </c>
      <c r="I107" s="26" t="str">
        <f>'Raw data'!J105</f>
        <v>ISFJ</v>
      </c>
      <c r="J107" s="26" t="str">
        <f>'Raw data'!K105</f>
        <v>무관</v>
      </c>
      <c r="K107" s="26" t="str">
        <f>'Raw data'!L105</f>
        <v>무교</v>
      </c>
      <c r="L107" s="26" t="str">
        <f>'Raw data'!M105</f>
        <v>무관</v>
      </c>
      <c r="M107" s="26" t="str">
        <f>'Raw data'!P105</f>
        <v>무관</v>
      </c>
      <c r="N107" s="26" t="str">
        <f>'Raw data'!N105</f>
        <v>다정한사람</v>
      </c>
      <c r="O107" s="26" t="str">
        <f>'Raw data'!O105</f>
        <v>웃음 많고 밝고 말많은사람</v>
      </c>
      <c r="P107" s="26">
        <f>'Raw data'!Q105</f>
        <v>0</v>
      </c>
    </row>
    <row r="108" spans="1:16">
      <c r="A108" s="45">
        <v>106</v>
      </c>
      <c r="B108" s="26" t="str">
        <f>'Raw data'!B106</f>
        <v>여</v>
      </c>
      <c r="C108" s="26" t="str">
        <f>'Raw data'!C106</f>
        <v>양예림</v>
      </c>
      <c r="D108" s="26">
        <f>'Raw data'!F106</f>
        <v>26</v>
      </c>
      <c r="E108" s="26">
        <f>'Raw data'!H106</f>
        <v>160</v>
      </c>
      <c r="F108" s="26" t="str">
        <f>'Raw data'!E106</f>
        <v>치기공사</v>
      </c>
      <c r="G108" s="26" t="str">
        <f>'Raw data'!G106</f>
        <v>24~31</v>
      </c>
      <c r="H108" s="26" t="str">
        <f>'Raw data'!I106</f>
        <v>175~180</v>
      </c>
      <c r="I108" s="26" t="str">
        <f>'Raw data'!J106</f>
        <v>ESFP</v>
      </c>
      <c r="J108" s="26" t="str">
        <f>'Raw data'!K106</f>
        <v>ESFJ</v>
      </c>
      <c r="K108" s="26" t="str">
        <f>'Raw data'!L106</f>
        <v>무교, 기독교</v>
      </c>
      <c r="L108" s="26" t="str">
        <f>'Raw data'!M106</f>
        <v>무관</v>
      </c>
      <c r="M108" s="26" t="str">
        <f>'Raw data'!P106</f>
        <v>병원직군, 연구직, 회사원</v>
      </c>
      <c r="N108" s="26" t="str">
        <f>'Raw data'!N106</f>
        <v>재밌고 통통튀는 사람</v>
      </c>
      <c r="O108" s="26" t="str">
        <f>'Raw data'!O106</f>
        <v>단정하고 구릿빛 피부 웃기고 다정한사람</v>
      </c>
      <c r="P108" s="26">
        <f>'Raw data'!Q106</f>
        <v>0</v>
      </c>
    </row>
    <row r="109" spans="1:16">
      <c r="A109" s="46">
        <v>107</v>
      </c>
      <c r="B109" s="26" t="str">
        <f>'Raw data'!B107</f>
        <v>여</v>
      </c>
      <c r="C109" s="26" t="str">
        <f>'Raw data'!C107</f>
        <v>어예나</v>
      </c>
      <c r="D109" s="26">
        <f>'Raw data'!F107</f>
        <v>32</v>
      </c>
      <c r="E109" s="26">
        <f>'Raw data'!H107</f>
        <v>165</v>
      </c>
      <c r="F109" s="26" t="str">
        <f>'Raw data'!E107</f>
        <v>회계법인 세무대리</v>
      </c>
      <c r="G109" s="26" t="str">
        <f>'Raw data'!G107</f>
        <v>28~34</v>
      </c>
      <c r="H109" s="26" t="str">
        <f>'Raw data'!I107</f>
        <v>180~</v>
      </c>
      <c r="I109" s="26" t="str">
        <f>'Raw data'!J107</f>
        <v>ISTP</v>
      </c>
      <c r="J109" s="26" t="str">
        <f>'Raw data'!K107</f>
        <v>ISFP, ISTJ, ENTP, ESTP, ENTJ, ESTJ</v>
      </c>
      <c r="K109" s="26" t="str">
        <f>'Raw data'!L107</f>
        <v>무교</v>
      </c>
      <c r="L109" s="26" t="str">
        <f>'Raw data'!M107</f>
        <v>동일</v>
      </c>
      <c r="M109" s="26" t="str">
        <f>'Raw data'!P107</f>
        <v>무관</v>
      </c>
      <c r="N109" s="26" t="str">
        <f>'Raw data'!N107</f>
        <v>말 수는 적지만 할 말은 다 하는 편이고, 의외로 챙겨주는거 좋아하고 다정한 면이 있습니다!</v>
      </c>
      <c r="O109" s="26" t="str">
        <f>'Raw data'!O107</f>
        <v>다정하고 무던한 분/ 자기관리 하는 분</v>
      </c>
      <c r="P109" s="26">
        <f>'Raw data'!Q107</f>
        <v>0</v>
      </c>
    </row>
    <row r="110" spans="1:16">
      <c r="A110" s="46">
        <v>108</v>
      </c>
      <c r="B110" s="26" t="str">
        <f>'Raw data'!B108</f>
        <v>여</v>
      </c>
      <c r="C110" s="26" t="str">
        <f>'Raw data'!C108</f>
        <v>엄승희</v>
      </c>
      <c r="D110" s="26">
        <f>'Raw data'!F108</f>
        <v>34</v>
      </c>
      <c r="E110" s="26">
        <f>'Raw data'!H108</f>
        <v>158</v>
      </c>
      <c r="F110" s="26" t="str">
        <f>'Raw data'!E108</f>
        <v>공무원(녹지직)</v>
      </c>
      <c r="G110" s="26" t="str">
        <f>'Raw data'!G108</f>
        <v>35~38</v>
      </c>
      <c r="H110" s="26" t="str">
        <f>'Raw data'!I108</f>
        <v>170~180</v>
      </c>
      <c r="I110" s="26" t="str">
        <f>'Raw data'!J108</f>
        <v>ISFP</v>
      </c>
      <c r="J110" s="26" t="str">
        <f>'Raw data'!K108</f>
        <v>INFJ, ISFJ, ENFJ, ESFJ</v>
      </c>
      <c r="K110" s="26" t="str">
        <f>'Raw data'!L108</f>
        <v>무교</v>
      </c>
      <c r="L110" s="26" t="str">
        <f>'Raw data'!M108</f>
        <v>동일</v>
      </c>
      <c r="M110" s="26" t="str">
        <f>'Raw data'!P108</f>
        <v>자영업, 공무원</v>
      </c>
      <c r="N110" s="26" t="str">
        <f>'Raw data'!N108</f>
        <v>저는 전공을 살려 서울시에서 기술직 공무원으로 일하고 있습니다. 제가 일하므로써 이 사회가 굴러가고 제 전공으로 사람들에게 기여한다는 생각을 가지고 일에 임하고 있어요! 안정적이고 복지가 좋은 회사에 다니고 있다고 자부 할 수 있습니다ㅎㅎ
저는 이것저것 해보는 것도 좋아하고 여행,캠핑 등 활동적인 것들도 여러가지 도전해보는거를 좋아합니다. 하지만 이제는 혼자 하기보다는 좋은 분과 함께하는 도전을 하고 싶네요🤭
연애할때는 연애에 몰입하면 후회남지 않는 연애를 하는거 같아요 상대방을 최대한 배려해주고 아닌 부분은 대화를 통해 맞춰가는 연애를 추구해요</v>
      </c>
      <c r="O110" s="26" t="str">
        <f>'Raw data'!O108</f>
        <v>기본적으로 다정한 분 좋아하구, 술자리&amp;술 잦으신분들은 죄송합니다. 저는 연애에서 연락과 책임감을 중요하게 여겨요! 연락은 하루종일 붙잡고 있는게 아니더라도 상대가 궁금하거나 답답해하지 않을 정도는 해줘야 한다고 생각해요 그리고 관계에 책임감이 없는분은 작은 위기라도 같이 극복하기 어렵다고 생각하는 편이에요 ㅎㅎ *회피형 지양합니다 연애 및 결혼은 쿵짝 맞는 최고의 동반자를 찾는 과정이라고 생각해요. 그렇기 때문에 연애에서 서로에게 좋은 영향을 줄 수 있는 관계가 되었으면 좋겠어요 누군가에게 결핍이 있다면 채워줄 수 있고 서로 밀고 끌어줄 수 있는 관계요! 또 저는 상대방을 최대한 이해하려고 노력하고 맞추려고 하기때문에 상대도 본성이 선한 책임감 있는 분이 었으면 좋겠어요</v>
      </c>
      <c r="P110" s="26" t="str">
        <f>'Raw data'!Q108</f>
        <v>이상형에 적합한 답변을 내주신 분과 매칭해주세요</v>
      </c>
    </row>
    <row r="111" spans="1:16">
      <c r="A111" s="45">
        <v>109</v>
      </c>
      <c r="B111" s="26" t="str">
        <f>'Raw data'!B109</f>
        <v>여</v>
      </c>
      <c r="C111" s="26" t="str">
        <f>'Raw data'!C109</f>
        <v>여세린</v>
      </c>
      <c r="D111" s="26">
        <f>'Raw data'!F109</f>
        <v>38</v>
      </c>
      <c r="E111" s="26">
        <f>'Raw data'!H109</f>
        <v>163</v>
      </c>
      <c r="F111" s="26" t="str">
        <f>'Raw data'!E109</f>
        <v>안양시청소년재단 석수청소년문화의집(청소년지도사)</v>
      </c>
      <c r="G111" s="26" t="str">
        <f>'Raw data'!G109</f>
        <v>35~41</v>
      </c>
      <c r="H111" s="26" t="str">
        <f>'Raw data'!I109</f>
        <v>175~</v>
      </c>
      <c r="I111" s="26" t="str">
        <f>'Raw data'!J109</f>
        <v>INFP</v>
      </c>
      <c r="J111" s="26" t="str">
        <f>'Raw data'!K109</f>
        <v>무관</v>
      </c>
      <c r="K111" s="26" t="str">
        <f>'Raw data'!L109</f>
        <v>무교</v>
      </c>
      <c r="L111" s="26" t="str">
        <f>'Raw data'!M109</f>
        <v>동일, 무관</v>
      </c>
      <c r="M111" s="26" t="str">
        <f>'Raw data'!P109</f>
        <v>무관</v>
      </c>
      <c r="N111" s="26" t="str">
        <f>'Raw data'!N109</f>
        <v>해맑다가도 고민이 많고 스스로 성찰하다가도 도닥이는 편, 사람을 좋아하지만 혼자만의 시간도 중요한 성향의 사람입니다. 낯을 많이 가리지만, 가까워진 사람에게는 더할 나위 없는 EEEE입니다.</v>
      </c>
      <c r="O111" s="26" t="str">
        <f>'Raw data'!O109</f>
        <v>저와 도덕적 가치가 잘 맞는 분, 고집스럽지않고 관용적인 사람. 고찰하는 성향, 고민하는 사람들이 좋은 것 같습니다. 무엇보다 다정한 사람</v>
      </c>
      <c r="P111" s="26">
        <f>'Raw data'!Q109</f>
        <v>0</v>
      </c>
    </row>
    <row r="112" spans="1:16">
      <c r="A112" s="46">
        <v>110</v>
      </c>
      <c r="B112" s="26" t="str">
        <f>'Raw data'!B110</f>
        <v>여</v>
      </c>
      <c r="C112" s="26" t="str">
        <f>'Raw data'!C110</f>
        <v>오예성</v>
      </c>
      <c r="D112" s="26">
        <f>'Raw data'!F110</f>
        <v>36</v>
      </c>
      <c r="E112" s="26">
        <f>'Raw data'!H110</f>
        <v>156</v>
      </c>
      <c r="F112" s="26" t="str">
        <f>'Raw data'!E110</f>
        <v>디자이너 BX파트</v>
      </c>
      <c r="G112" s="26" t="str">
        <f>'Raw data'!G110</f>
        <v>31~38</v>
      </c>
      <c r="H112" s="26" t="str">
        <f>'Raw data'!I110</f>
        <v>175~180</v>
      </c>
      <c r="I112" s="26" t="str">
        <f>'Raw data'!J110</f>
        <v>ISTJ / ISFJ</v>
      </c>
      <c r="J112" s="26" t="str">
        <f>'Raw data'!K110</f>
        <v>무관</v>
      </c>
      <c r="K112" s="26" t="str">
        <f>'Raw data'!L110</f>
        <v>기독교</v>
      </c>
      <c r="L112" s="26" t="str">
        <f>'Raw data'!M110</f>
        <v>무관</v>
      </c>
      <c r="M112" s="26" t="str">
        <f>'Raw data'!P110</f>
        <v>회사원</v>
      </c>
      <c r="N112" s="26" t="str">
        <f>'Raw data'!N110</f>
        <v>저는 낯을 많이 가리는 소극적잉 집순이지만 예의를 잘 지키고 잘 웃고 다른 사람 얘기 듣는것도 좋아합니다 ! 
디자이너라는 직업을 사랑하고 앞으로도 계속 일하고 싶구요 ! 
꾸미는 걸 좋아해서 옷도 잘입고 외모는 동안입니다 :) 
(그렇다고 상대방도 잘 꾸미는걸 원하는건 아니에요..)</v>
      </c>
      <c r="O112" s="26" t="str">
        <f>'Raw data'!O110</f>
        <v>티키타카 대화가 잘 되는 분이셨으면 좋겠어요. 본인의 일 착실하게 잘하고 ! 피부 좋으신분 !</v>
      </c>
      <c r="P112" s="26">
        <f>'Raw data'!Q110</f>
        <v>0</v>
      </c>
    </row>
    <row r="113" spans="1:16">
      <c r="A113" s="46">
        <v>111</v>
      </c>
      <c r="B113" s="26" t="str">
        <f>'Raw data'!B111</f>
        <v>여</v>
      </c>
      <c r="C113" s="26" t="str">
        <f>'Raw data'!C111</f>
        <v>오유진</v>
      </c>
      <c r="D113" s="26">
        <f>'Raw data'!F111</f>
        <v>37</v>
      </c>
      <c r="E113" s="26">
        <f>'Raw data'!H111</f>
        <v>168</v>
      </c>
      <c r="F113" s="26" t="str">
        <f>'Raw data'!E111</f>
        <v>안과에서 근무- 상담실장</v>
      </c>
      <c r="G113" s="26" t="str">
        <f>'Raw data'!G111</f>
        <v>35~</v>
      </c>
      <c r="H113" s="26" t="str">
        <f>'Raw data'!I111</f>
        <v>175~</v>
      </c>
      <c r="I113" s="26" t="str">
        <f>'Raw data'!J111</f>
        <v>ESTP</v>
      </c>
      <c r="J113" s="26" t="str">
        <f>'Raw data'!K111</f>
        <v>무관</v>
      </c>
      <c r="K113" s="26">
        <f>'Raw data'!L111</f>
        <v>0</v>
      </c>
      <c r="L113" s="26">
        <f>'Raw data'!M111</f>
        <v>0</v>
      </c>
      <c r="M113" s="26">
        <f>'Raw data'!P111</f>
        <v>0</v>
      </c>
      <c r="N113" s="26" t="str">
        <f>'Raw data'!N111</f>
        <v>잘 웃고 밝은 성격으로 처음 보는 사람들이 어색하지 않게 주도적으로 대화를 이끌어 가는편이고 
운동을 좋아해서 꾸준한 운동으로 자기 관리 열심히 하고있어요
연애하는 스타일은 집착적이지않고 쿨한편이나 
상대방에 가부장적이고, 거짓말하거나 무책임한 과시적인 성향인 사람에게는 매력을 느끼지 못하는 것 같아요</v>
      </c>
      <c r="O113" s="26">
        <f>'Raw data'!O111</f>
        <v>0</v>
      </c>
      <c r="P113" s="26">
        <f>'Raw data'!Q111</f>
        <v>0</v>
      </c>
    </row>
    <row r="114" spans="1:16">
      <c r="A114" s="45">
        <v>112</v>
      </c>
      <c r="B114" s="26" t="str">
        <f>'Raw data'!B112</f>
        <v>남</v>
      </c>
      <c r="C114" s="26" t="str">
        <f>'Raw data'!C112</f>
        <v>오진우</v>
      </c>
      <c r="D114" s="26">
        <f>'Raw data'!F112</f>
        <v>43</v>
      </c>
      <c r="E114" s="26">
        <f>'Raw data'!H112</f>
        <v>174</v>
      </c>
      <c r="F114" s="26" t="str">
        <f>'Raw data'!E112</f>
        <v>종합건설사 /관리직</v>
      </c>
      <c r="G114" s="26" t="str">
        <f>'Raw data'!G112</f>
        <v>35~38</v>
      </c>
      <c r="H114" s="26" t="str">
        <f>'Raw data'!I112</f>
        <v>160~170</v>
      </c>
      <c r="I114" s="26" t="str">
        <f>'Raw data'!J112</f>
        <v>INFP</v>
      </c>
      <c r="J114" s="26" t="str">
        <f>'Raw data'!K112</f>
        <v>무관</v>
      </c>
      <c r="K114" s="26" t="str">
        <f>'Raw data'!L112</f>
        <v>무교</v>
      </c>
      <c r="L114" s="26" t="str">
        <f>'Raw data'!M112</f>
        <v>무관</v>
      </c>
      <c r="M114" s="26" t="str">
        <f>'Raw data'!P112</f>
        <v>무관</v>
      </c>
      <c r="N114" s="26" t="str">
        <f>'Raw data'!N112</f>
        <v>배려하고 경청을잘하고 친해지면 말많음</v>
      </c>
      <c r="O114" s="26" t="str">
        <f>'Raw data'!O112</f>
        <v>배려하고 마음씨가 착하신분</v>
      </c>
      <c r="P114" s="26">
        <f>'Raw data'!Q112</f>
        <v>0</v>
      </c>
    </row>
    <row r="115" spans="1:16">
      <c r="A115" s="46">
        <v>113</v>
      </c>
      <c r="B115" s="26" t="str">
        <f>'Raw data'!B113</f>
        <v>여</v>
      </c>
      <c r="C115" s="26" t="str">
        <f>'Raw data'!C113</f>
        <v>우지연</v>
      </c>
      <c r="D115" s="26">
        <f>'Raw data'!F113</f>
        <v>31</v>
      </c>
      <c r="E115" s="26">
        <f>'Raw data'!H113</f>
        <v>158</v>
      </c>
      <c r="F115" s="26" t="str">
        <f>'Raw data'!E113</f>
        <v>물리치료사, 사원</v>
      </c>
      <c r="G115" s="26" t="str">
        <f>'Raw data'!G113</f>
        <v>28~34</v>
      </c>
      <c r="H115" s="26" t="str">
        <f>'Raw data'!I113</f>
        <v>170~</v>
      </c>
      <c r="I115" s="26" t="str">
        <f>'Raw data'!J113</f>
        <v>INFJ</v>
      </c>
      <c r="J115" s="26" t="str">
        <f>'Raw data'!K113</f>
        <v>무관</v>
      </c>
      <c r="K115" s="26" t="str">
        <f>'Raw data'!L113</f>
        <v>불교</v>
      </c>
      <c r="L115" s="26" t="str">
        <f>'Raw data'!M113</f>
        <v>동일, 무관</v>
      </c>
      <c r="M115" s="26" t="str">
        <f>'Raw data'!P113</f>
        <v>무관</v>
      </c>
      <c r="N115" s="26" t="str">
        <f>'Raw data'!N113</f>
        <v>자연을 좋아하고 산책과 맛있는거 먹는것을 좋아한다.
낯 가려서 친해지기까지 시간이 걸리지만 친해지면 세상 다정한 사람이 된다.
지인들에게 다정하고 착하다는 말을 듣는다.</v>
      </c>
      <c r="O115" s="26" t="str">
        <f>'Raw data'!O113</f>
        <v>웃는게 이쁜사람, 대화의 티키타카가 잘되는 사람, 다정한 사람</v>
      </c>
      <c r="P115" s="26">
        <f>'Raw data'!Q113</f>
        <v>0</v>
      </c>
    </row>
    <row r="116" spans="1:16">
      <c r="A116" s="46">
        <v>114</v>
      </c>
      <c r="B116" s="26" t="str">
        <f>'Raw data'!B114</f>
        <v>여</v>
      </c>
      <c r="C116" s="26" t="str">
        <f>'Raw data'!C114</f>
        <v>원하경</v>
      </c>
      <c r="D116" s="26">
        <f>'Raw data'!F114</f>
        <v>34</v>
      </c>
      <c r="E116" s="26">
        <f>'Raw data'!H114</f>
        <v>174</v>
      </c>
      <c r="F116" s="26" t="str">
        <f>'Raw data'!E114</f>
        <v>박물관 인사</v>
      </c>
      <c r="G116" s="26" t="str">
        <f>'Raw data'!G114</f>
        <v>31~38</v>
      </c>
      <c r="H116" s="26" t="str">
        <f>'Raw data'!I114</f>
        <v>180~</v>
      </c>
      <c r="I116" s="26" t="str">
        <f>'Raw data'!J114</f>
        <v>ESTP</v>
      </c>
      <c r="J116" s="26" t="str">
        <f>'Raw data'!K114</f>
        <v>ISFJ, ESFJ</v>
      </c>
      <c r="K116" s="26" t="str">
        <f>'Raw data'!L114</f>
        <v>무교</v>
      </c>
      <c r="L116" s="26" t="str">
        <f>'Raw data'!M114</f>
        <v>무관</v>
      </c>
      <c r="M116" s="26" t="str">
        <f>'Raw data'!P114</f>
        <v>무관</v>
      </c>
      <c r="N116" s="26" t="str">
        <f>'Raw data'!N114</f>
        <v>영혼없는 리액션장인</v>
      </c>
      <c r="O116" s="26" t="str">
        <f>'Raw data'!O114</f>
        <v>요리잘하고 잘먹고 관리하는 남자</v>
      </c>
      <c r="P116" s="26">
        <f>'Raw data'!Q114</f>
        <v>0</v>
      </c>
    </row>
    <row r="117" spans="1:16">
      <c r="A117" s="45">
        <v>115</v>
      </c>
      <c r="B117" s="26" t="str">
        <f>'Raw data'!B115</f>
        <v>남</v>
      </c>
      <c r="C117" s="26" t="str">
        <f>'Raw data'!C115</f>
        <v>유동선</v>
      </c>
      <c r="D117" s="26">
        <f>'Raw data'!F115</f>
        <v>38</v>
      </c>
      <c r="E117" s="26">
        <f>'Raw data'!H115</f>
        <v>188</v>
      </c>
      <c r="F117" s="26" t="str">
        <f>'Raw data'!E115</f>
        <v>경찰공무원(지구대 근무)</v>
      </c>
      <c r="G117" s="26" t="str">
        <f>'Raw data'!G115</f>
        <v>28~34</v>
      </c>
      <c r="H117" s="26" t="str">
        <f>'Raw data'!I115</f>
        <v>160~170</v>
      </c>
      <c r="I117" s="26" t="str">
        <f>'Raw data'!J115</f>
        <v>ISFP</v>
      </c>
      <c r="J117" s="26" t="str">
        <f>'Raw data'!K115</f>
        <v>무관</v>
      </c>
      <c r="K117" s="26" t="str">
        <f>'Raw data'!L115</f>
        <v>무교</v>
      </c>
      <c r="L117" s="26" t="str">
        <f>'Raw data'!M115</f>
        <v>동일</v>
      </c>
      <c r="M117" s="26" t="str">
        <f>'Raw data'!P115</f>
        <v>무관</v>
      </c>
      <c r="N117" s="26" t="str">
        <f>'Raw data'!N115</f>
        <v>무던한 성격, 남자답고 듬직한 스타일</v>
      </c>
      <c r="O117" s="26" t="str">
        <f>'Raw data'!O115</f>
        <v>밝은 성격, 수수하고 여성스러운 스타일</v>
      </c>
      <c r="P117" s="26" t="str">
        <f>'Raw data'!Q115</f>
        <v>저와 동일한 직업과 같이 참여하는 건 피하고 싶습니다.</v>
      </c>
    </row>
    <row r="118" spans="1:16">
      <c r="A118" s="46">
        <v>116</v>
      </c>
      <c r="B118" s="26" t="str">
        <f>'Raw data'!B116</f>
        <v>여</v>
      </c>
      <c r="C118" s="26" t="str">
        <f>'Raw data'!C116</f>
        <v>유지현</v>
      </c>
      <c r="D118" s="26">
        <f>'Raw data'!F116</f>
        <v>36</v>
      </c>
      <c r="E118" s="26">
        <f>'Raw data'!H116</f>
        <v>170</v>
      </c>
      <c r="F118" s="26" t="str">
        <f>'Raw data'!E116</f>
        <v>하얏트 호텔 cs 파트</v>
      </c>
      <c r="G118" s="26" t="str">
        <f>'Raw data'!G116</f>
        <v>35~38</v>
      </c>
      <c r="H118" s="26" t="str">
        <f>'Raw data'!I116</f>
        <v>175~180</v>
      </c>
      <c r="I118" s="26" t="str">
        <f>'Raw data'!J116</f>
        <v>ISFP</v>
      </c>
      <c r="J118" s="26" t="str">
        <f>'Raw data'!K116</f>
        <v>ESFJ</v>
      </c>
      <c r="K118" s="26" t="str">
        <f>'Raw data'!L116</f>
        <v>무교</v>
      </c>
      <c r="L118" s="26" t="str">
        <f>'Raw data'!M116</f>
        <v>무관</v>
      </c>
      <c r="M118" s="26" t="str">
        <f>'Raw data'!P116</f>
        <v>자영업</v>
      </c>
      <c r="N118" s="26" t="str">
        <f>'Raw data'!N116</f>
        <v>긍정적이고 현실적이고 일 열심히 하는 사람</v>
      </c>
      <c r="O118" s="26" t="str">
        <f>'Raw data'!O116</f>
        <v>예의바르고 자기 일 열심히하고 배려심있는 사람</v>
      </c>
      <c r="P118" s="26">
        <f>'Raw data'!Q116</f>
        <v>0</v>
      </c>
    </row>
    <row r="119" spans="1:16">
      <c r="A119" s="46">
        <v>117</v>
      </c>
      <c r="B119" s="26" t="str">
        <f>'Raw data'!B117</f>
        <v>여</v>
      </c>
      <c r="C119" s="26" t="str">
        <f>'Raw data'!C117</f>
        <v>유지희</v>
      </c>
      <c r="D119" s="26">
        <f>'Raw data'!F117</f>
        <v>36</v>
      </c>
      <c r="E119" s="26">
        <f>'Raw data'!H117</f>
        <v>160</v>
      </c>
      <c r="F119" s="26" t="str">
        <f>'Raw data'!E117</f>
        <v>회사원 / 사무직</v>
      </c>
      <c r="G119" s="26" t="str">
        <f>'Raw data'!G117</f>
        <v>31~41</v>
      </c>
      <c r="H119" s="26" t="str">
        <f>'Raw data'!I117</f>
        <v>170~</v>
      </c>
      <c r="I119" s="26" t="str">
        <f>'Raw data'!J117</f>
        <v>INFP</v>
      </c>
      <c r="J119" s="26" t="str">
        <f>'Raw data'!K117</f>
        <v>무관</v>
      </c>
      <c r="K119" s="26" t="str">
        <f>'Raw data'!L117</f>
        <v>무교</v>
      </c>
      <c r="L119" s="26" t="str">
        <f>'Raw data'!M117</f>
        <v>무관</v>
      </c>
      <c r="M119" s="26" t="str">
        <f>'Raw data'!P117</f>
        <v>무관</v>
      </c>
      <c r="N119" s="26" t="str">
        <f>'Raw data'!N117</f>
        <v>잘웃고 따뜻한사람ㅎ 내사람이 아닌 사람에겐 조금 차가운 사람 주어진 일에 최선을 다할줄 아는 사람</v>
      </c>
      <c r="O119" s="26" t="str">
        <f>'Raw data'!O117</f>
        <v>배울점이 있는 사람, 키가 좀 큰사람, 다정한 사람</v>
      </c>
      <c r="P119" s="26">
        <f>'Raw data'!Q117</f>
        <v>0</v>
      </c>
    </row>
    <row r="120" spans="1:16">
      <c r="A120" s="45">
        <v>118</v>
      </c>
      <c r="B120" s="26" t="str">
        <f>'Raw data'!B118</f>
        <v>여</v>
      </c>
      <c r="C120" s="26" t="str">
        <f>'Raw data'!C118</f>
        <v>윤예은</v>
      </c>
      <c r="D120" s="26">
        <f>'Raw data'!F118</f>
        <v>23</v>
      </c>
      <c r="E120" s="26">
        <f>'Raw data'!H118</f>
        <v>168</v>
      </c>
      <c r="F120" s="26" t="str">
        <f>'Raw data'!E118</f>
        <v>댄서</v>
      </c>
      <c r="G120" s="26" t="str">
        <f>'Raw data'!G118</f>
        <v>24~27</v>
      </c>
      <c r="H120" s="26" t="str">
        <f>'Raw data'!I118</f>
        <v>175~</v>
      </c>
      <c r="I120" s="26" t="str">
        <f>'Raw data'!J118</f>
        <v>ENFP</v>
      </c>
      <c r="J120" s="26" t="str">
        <f>'Raw data'!K118</f>
        <v>INFP, INFJ, ENFP, ESFP, ENFJ</v>
      </c>
      <c r="K120" s="26" t="str">
        <f>'Raw data'!L118</f>
        <v>무교, 기독교</v>
      </c>
      <c r="L120" s="26" t="str">
        <f>'Raw data'!M118</f>
        <v>동일</v>
      </c>
      <c r="M120" s="26" t="str">
        <f>'Raw data'!P118</f>
        <v>무관</v>
      </c>
      <c r="N120" s="26" t="str">
        <f>'Raw data'!N118</f>
        <v>웃음이 많고 밝으면서 매너있고 긍정적인 사람입니다!</v>
      </c>
      <c r="O120" s="26" t="str">
        <f>'Raw data'!O118</f>
        <v>키가 크시고 다정한 성격이랑 말투를 가지신 분을 좋아하고 강아지상에 비흡연자이신분을 좋아합니다!</v>
      </c>
      <c r="P120" s="26" t="str">
        <f>'Raw data'!Q118</f>
        <v>이상형에 부합하는 분이 나오셨으면 하는 바람이 있습니다:) ,,!!</v>
      </c>
    </row>
    <row r="121" spans="1:16">
      <c r="A121" s="46">
        <v>119</v>
      </c>
      <c r="B121" s="26" t="str">
        <f>'Raw data'!B119</f>
        <v>여</v>
      </c>
      <c r="C121" s="26" t="str">
        <f>'Raw data'!C119</f>
        <v>윤은진</v>
      </c>
      <c r="D121" s="26">
        <f>'Raw data'!F119</f>
        <v>33</v>
      </c>
      <c r="E121" s="26">
        <f>'Raw data'!H119</f>
        <v>155</v>
      </c>
      <c r="F121" s="26" t="str">
        <f>'Raw data'!E119</f>
        <v>Hs인터내셔널 디자이너</v>
      </c>
      <c r="G121" s="26" t="str">
        <f>'Raw data'!G119</f>
        <v>31~41</v>
      </c>
      <c r="H121" s="26" t="str">
        <f>'Raw data'!I119</f>
        <v>170~180</v>
      </c>
      <c r="I121" s="26" t="str">
        <f>'Raw data'!J119</f>
        <v>ENTJ</v>
      </c>
      <c r="J121" s="26" t="str">
        <f>'Raw data'!K119</f>
        <v>INFJ, ISTJ, INTJ, ISFJ, ENFJ, ESFJ, ENTJ, ESTJ</v>
      </c>
      <c r="K121" s="26" t="str">
        <f>'Raw data'!L119</f>
        <v>무교</v>
      </c>
      <c r="L121" s="26" t="str">
        <f>'Raw data'!M119</f>
        <v>무관</v>
      </c>
      <c r="M121" s="26" t="str">
        <f>'Raw data'!P119</f>
        <v>무관</v>
      </c>
      <c r="N121" s="26" t="str">
        <f>'Raw data'!N119</f>
        <v xml:space="preserve">도전하는 걸 좋아하고 사람들과 활발하게 잘 지내지만 때론 저에게 집중하는 시간도 좋아하는 사람입니다. </v>
      </c>
      <c r="O121" s="26" t="str">
        <f>'Raw data'!O119</f>
        <v>미래에 대해 노력하는 사람</v>
      </c>
      <c r="P121" s="26">
        <f>'Raw data'!Q119</f>
        <v>0</v>
      </c>
    </row>
    <row r="122" spans="1:16">
      <c r="A122" s="46">
        <v>120</v>
      </c>
      <c r="B122" s="26" t="str">
        <f>'Raw data'!B120</f>
        <v>남</v>
      </c>
      <c r="C122" s="26" t="str">
        <f>'Raw data'!C120</f>
        <v>윤현덕</v>
      </c>
      <c r="D122" s="26">
        <f>'Raw data'!F120</f>
        <v>35</v>
      </c>
      <c r="E122" s="26">
        <f>'Raw data'!H120</f>
        <v>174</v>
      </c>
      <c r="F122" s="26" t="str">
        <f>'Raw data'!E120</f>
        <v>로펌 상담팀</v>
      </c>
      <c r="G122" s="26" t="str">
        <f>'Raw data'!G120</f>
        <v>28~31</v>
      </c>
      <c r="H122" s="26" t="str">
        <f>'Raw data'!I120</f>
        <v>160~170</v>
      </c>
      <c r="I122" s="26" t="str">
        <f>'Raw data'!J120</f>
        <v>INTJ</v>
      </c>
      <c r="J122" s="26" t="str">
        <f>'Raw data'!K120</f>
        <v>무관</v>
      </c>
      <c r="K122" s="26" t="str">
        <f>'Raw data'!L120</f>
        <v>기독교</v>
      </c>
      <c r="L122" s="26" t="str">
        <f>'Raw data'!M120</f>
        <v>동일, 무관</v>
      </c>
      <c r="M122" s="26" t="str">
        <f>'Raw data'!P120</f>
        <v>무관</v>
      </c>
      <c r="N122" s="26" t="str">
        <f>'Raw data'!N120</f>
        <v>착실하고 건실한 사람</v>
      </c>
      <c r="O122" s="26" t="str">
        <f>'Raw data'!O120</f>
        <v>다정한 사람</v>
      </c>
      <c r="P122" s="26" t="str">
        <f>'Raw data'!Q120</f>
        <v>잘부탁드립니다</v>
      </c>
    </row>
    <row r="123" spans="1:16">
      <c r="A123" s="45">
        <v>121</v>
      </c>
      <c r="B123" s="26" t="str">
        <f>'Raw data'!B121</f>
        <v>남</v>
      </c>
      <c r="C123" s="26" t="str">
        <f>'Raw data'!C121</f>
        <v>이강범</v>
      </c>
      <c r="D123" s="26">
        <f>'Raw data'!F121</f>
        <v>34</v>
      </c>
      <c r="E123" s="26">
        <f>'Raw data'!H121</f>
        <v>179</v>
      </c>
      <c r="F123" s="26" t="str">
        <f>'Raw data'!E121</f>
        <v>보라매병원 간호부</v>
      </c>
      <c r="G123" s="26" t="str">
        <f>'Raw data'!G121</f>
        <v>28~34</v>
      </c>
      <c r="H123" s="26" t="str">
        <f>'Raw data'!I121</f>
        <v>160~175</v>
      </c>
      <c r="I123" s="26" t="str">
        <f>'Raw data'!J121</f>
        <v>ISTJ</v>
      </c>
      <c r="J123" s="26" t="str">
        <f>'Raw data'!K121</f>
        <v>무관</v>
      </c>
      <c r="K123" s="26" t="str">
        <f>'Raw data'!L121</f>
        <v>무교</v>
      </c>
      <c r="L123" s="26" t="str">
        <f>'Raw data'!M121</f>
        <v>동일, 무관</v>
      </c>
      <c r="M123" s="26" t="str">
        <f>'Raw data'!P121</f>
        <v>무관</v>
      </c>
      <c r="N123" s="26" t="str">
        <f>'Raw data'!N121</f>
        <v>직업적으로는 직업 전문성을 키우기 위해 끊임없이 노력합니다. 석사 학위를 가지고 있으며 현재 전문간호사 자격증 취득을 위해 다시 대학원을 다니고 있습니다.
웨이트 트레이닝을 좋아하며 식단관리까지 병행하여 자기 관리를 하고 있습니다. 나이가 들어도 망가지지 않도록 꾸준히 자기관리를 하는 것이 목표입니다.
일에서든 다른 것에서든 책임감 있게 행동합니다. 또한 긍정적이고 성실한 것이 장점입니다.
초반에는 낯을 많이 가리는 편입니다. 하지만 친해지고 내 사람이라는 생각이 들면 장난도 많이 치고 잘 챙겨줍니다.</v>
      </c>
      <c r="O123" s="26" t="str">
        <f>'Raw data'!O121</f>
        <v>외모적으로는 눈이 이쁘고, 얼굴형이 이쁜 분을 좋아합니다. 본인의 직업에 자부심이 있고 전문적이며, 긍정적이고 성실한 분이 좋습니다. 담배는 피지 않으셨으면 좋겠습니다.</v>
      </c>
      <c r="P123" s="26">
        <f>'Raw data'!Q121</f>
        <v>0</v>
      </c>
    </row>
    <row r="124" spans="1:16">
      <c r="A124" s="46">
        <v>122</v>
      </c>
      <c r="B124" s="26" t="str">
        <f>'Raw data'!B122</f>
        <v>남</v>
      </c>
      <c r="C124" s="26" t="str">
        <f>'Raw data'!C122</f>
        <v>이관용</v>
      </c>
      <c r="D124" s="26">
        <f>'Raw data'!F122</f>
        <v>34</v>
      </c>
      <c r="E124" s="26">
        <f>'Raw data'!H122</f>
        <v>183</v>
      </c>
      <c r="F124" s="26" t="str">
        <f>'Raw data'!E122</f>
        <v>주식회사 액트 영업</v>
      </c>
      <c r="G124" s="26" t="str">
        <f>'Raw data'!G122</f>
        <v>28~34</v>
      </c>
      <c r="H124" s="26" t="str">
        <f>'Raw data'!I122</f>
        <v>165~175</v>
      </c>
      <c r="I124" s="26" t="str">
        <f>'Raw data'!J122</f>
        <v>ISTJ</v>
      </c>
      <c r="J124" s="26" t="str">
        <f>'Raw data'!K122</f>
        <v>무관</v>
      </c>
      <c r="K124" s="26" t="str">
        <f>'Raw data'!L122</f>
        <v>무교</v>
      </c>
      <c r="L124" s="26" t="str">
        <f>'Raw data'!M122</f>
        <v>무관</v>
      </c>
      <c r="M124" s="26" t="str">
        <f>'Raw data'!P122</f>
        <v>무관</v>
      </c>
      <c r="N124" s="26" t="str">
        <f>'Raw data'!N122</f>
        <v>주중엔 일에 집중하고 퇴근 후엔 운동과 강아지와 산책하며 보내며, 차분하지만 친해지면 잘 웃고 리액션 좋은편입니다.커피,맛집,영화 좋아합니다. 부담없이 천천히 알아가면서 서로 존중하는 관계를 찾고 있습니다.</v>
      </c>
      <c r="O124" s="26">
        <f>'Raw data'!O122</f>
        <v>0</v>
      </c>
      <c r="P124" s="26">
        <f>'Raw data'!Q122</f>
        <v>0</v>
      </c>
    </row>
    <row r="125" spans="1:16">
      <c r="A125" s="46">
        <v>123</v>
      </c>
      <c r="B125" s="26" t="str">
        <f>'Raw data'!B123</f>
        <v>남</v>
      </c>
      <c r="C125" s="26" t="str">
        <f>'Raw data'!C123</f>
        <v>이대근</v>
      </c>
      <c r="D125" s="26">
        <f>'Raw data'!F123</f>
        <v>29</v>
      </c>
      <c r="E125" s="26">
        <f>'Raw data'!H123</f>
        <v>174</v>
      </c>
      <c r="F125" s="26" t="str">
        <f>'Raw data'!E123</f>
        <v>건설업 관리자</v>
      </c>
      <c r="G125" s="26" t="str">
        <f>'Raw data'!G123</f>
        <v>28~31</v>
      </c>
      <c r="H125" s="26" t="str">
        <f>'Raw data'!I123</f>
        <v>~165</v>
      </c>
      <c r="I125" s="26" t="str">
        <f>'Raw data'!J123</f>
        <v>ISFP</v>
      </c>
      <c r="J125" s="26" t="str">
        <f>'Raw data'!K123</f>
        <v>ISFP, ESFJ</v>
      </c>
      <c r="K125" s="26" t="str">
        <f>'Raw data'!L123</f>
        <v>무교</v>
      </c>
      <c r="L125" s="26" t="str">
        <f>'Raw data'!M123</f>
        <v>무관</v>
      </c>
      <c r="M125" s="26" t="str">
        <f>'Raw data'!P123</f>
        <v>무관</v>
      </c>
      <c r="N125" s="26" t="str">
        <f>'Raw data'!N123</f>
        <v>처음에 낯을 많이 가리지만 친해지면 리액션도 많고 잘 웃는 사람입니다.</v>
      </c>
      <c r="O125" s="26" t="str">
        <f>'Raw data'!O123</f>
        <v>청순하고 귀여운사람.</v>
      </c>
      <c r="P125" s="26">
        <f>'Raw data'!Q123</f>
        <v>0</v>
      </c>
    </row>
    <row r="126" spans="1:16">
      <c r="A126" s="45">
        <v>124</v>
      </c>
      <c r="B126" s="26" t="str">
        <f>'Raw data'!B124</f>
        <v>남</v>
      </c>
      <c r="C126" s="26" t="str">
        <f>'Raw data'!C124</f>
        <v>이동연</v>
      </c>
      <c r="D126" s="26">
        <f>'Raw data'!F124</f>
        <v>30</v>
      </c>
      <c r="E126" s="26">
        <f>'Raw data'!H124</f>
        <v>165</v>
      </c>
      <c r="F126" s="26" t="str">
        <f>'Raw data'!E124</f>
        <v>레이저장비회사, sw프로그래머</v>
      </c>
      <c r="G126" s="26" t="str">
        <f>'Raw data'!G124</f>
        <v>28~34</v>
      </c>
      <c r="H126" s="26" t="str">
        <f>'Raw data'!I124</f>
        <v>무관</v>
      </c>
      <c r="I126" s="26" t="str">
        <f>'Raw data'!J124</f>
        <v>ISTJ</v>
      </c>
      <c r="J126" s="26" t="str">
        <f>'Raw data'!K124</f>
        <v>무관</v>
      </c>
      <c r="K126" s="26" t="str">
        <f>'Raw data'!L124</f>
        <v>무교</v>
      </c>
      <c r="L126" s="26" t="str">
        <f>'Raw data'!M124</f>
        <v>무관</v>
      </c>
      <c r="M126" s="26" t="str">
        <f>'Raw data'!P124</f>
        <v>무관</v>
      </c>
      <c r="N126" s="26" t="str">
        <f>'Raw data'!N124</f>
        <v>잘 배려해주는 사람</v>
      </c>
      <c r="O126" s="26" t="str">
        <f>'Raw data'!O124</f>
        <v>잘 배려해주는 사람</v>
      </c>
      <c r="P126" s="26">
        <f>'Raw data'!Q124</f>
        <v>0</v>
      </c>
    </row>
    <row r="127" spans="1:16">
      <c r="A127" s="46">
        <v>125</v>
      </c>
      <c r="B127" s="26" t="str">
        <f>'Raw data'!B125</f>
        <v>여</v>
      </c>
      <c r="C127" s="26" t="str">
        <f>'Raw data'!C125</f>
        <v>이두희</v>
      </c>
      <c r="D127" s="26">
        <f>'Raw data'!F125</f>
        <v>29</v>
      </c>
      <c r="E127" s="26">
        <f>'Raw data'!H125</f>
        <v>162</v>
      </c>
      <c r="F127" s="26" t="str">
        <f>'Raw data'!E125</f>
        <v>법무법인 송무팀</v>
      </c>
      <c r="G127" s="26" t="str">
        <f>'Raw data'!G125</f>
        <v>28~34</v>
      </c>
      <c r="H127" s="26" t="str">
        <f>'Raw data'!I125</f>
        <v>175~</v>
      </c>
      <c r="I127" s="26" t="str">
        <f>'Raw data'!J125</f>
        <v>ESFJ</v>
      </c>
      <c r="J127" s="26" t="str">
        <f>'Raw data'!K125</f>
        <v>무관</v>
      </c>
      <c r="K127" s="26" t="str">
        <f>'Raw data'!L125</f>
        <v>무교</v>
      </c>
      <c r="L127" s="26" t="str">
        <f>'Raw data'!M125</f>
        <v>무관</v>
      </c>
      <c r="M127" s="26" t="str">
        <f>'Raw data'!P125</f>
        <v>무관</v>
      </c>
      <c r="N127" s="26" t="str">
        <f>'Raw data'!N125</f>
        <v>안녕하세요! 저는 제 삶을 긍정적으로 채워나가려 노력하고 있습니다! 운동을 통해 에너지를 채우는 것도 제 소중한 일과 중 하나입니다. 제가 생각하는 제 장점은 '다정함, 꾸준함'이에요. 스스로를 아끼는 만큼 인연에게도 따뜻한 관심을 표현하고, 사소한 대화 속에서도 즐거움을 찾아내는 편입니다.</v>
      </c>
      <c r="O127" s="26" t="str">
        <f>'Raw data'!O125</f>
        <v>서로의 성장을 응원하면서도, 쉴 때는 누구보다 다정하게 쉴 수 있는 그런 따뜻한 인연을 기다려요! 연락 문제로 불안하게 하지 않고, 변덕스럽지 않은 사람이 좋고, 비흡연자를 선호합니다!</v>
      </c>
      <c r="P127" s="26">
        <f>'Raw data'!Q125</f>
        <v>0</v>
      </c>
    </row>
    <row r="128" spans="1:16">
      <c r="A128" s="46">
        <v>126</v>
      </c>
      <c r="B128" s="26" t="str">
        <f>'Raw data'!B126</f>
        <v>여</v>
      </c>
      <c r="C128" s="26" t="str">
        <f>'Raw data'!C126</f>
        <v>이미나</v>
      </c>
      <c r="D128" s="26">
        <f>'Raw data'!F126</f>
        <v>38</v>
      </c>
      <c r="E128" s="26">
        <f>'Raw data'!H126</f>
        <v>155</v>
      </c>
      <c r="F128" s="26" t="str">
        <f>'Raw data'!E126</f>
        <v>회사원(보스톤사이언티픽, Medical)</v>
      </c>
      <c r="G128" s="26" t="str">
        <f>'Raw data'!G126</f>
        <v>31~38</v>
      </c>
      <c r="H128" s="26" t="str">
        <f>'Raw data'!I126</f>
        <v>170~180</v>
      </c>
      <c r="I128" s="26" t="str">
        <f>'Raw data'!J126</f>
        <v>ISFJ</v>
      </c>
      <c r="J128" s="26" t="str">
        <f>'Raw data'!K126</f>
        <v>무관, ISFJ</v>
      </c>
      <c r="K128" s="26" t="str">
        <f>'Raw data'!L126</f>
        <v>무교</v>
      </c>
      <c r="L128" s="26" t="str">
        <f>'Raw data'!M126</f>
        <v>동일</v>
      </c>
      <c r="M128" s="26" t="str">
        <f>'Raw data'!P126</f>
        <v>무관</v>
      </c>
      <c r="N128" s="26" t="str">
        <f>'Raw data'!N126</f>
        <v>무엇보다 빵을 너무 사랑하는 빵순이이고, 빵과 아아면 행복을 느끼는, 소소한 힐링과 행복에 감사함을 느끼는 긍정적인 사람이에요! 찐 ISFJ 인간으로서 공감능력이 좋고 정이 많다는 소릴 들어요! 그리고 첫인상과 다르다는 이야기도 많이 듣는데 이건 아마 외적으론 차가워 보이는데 속은 의외로(?) 따뜻해서..? 🫢 속은 두부 그 자체라 가끔 상처받고 너덜너덜해지지만 긍정적인 편으로 멘탈회복력이 좋아서 금방 극뽁! 하는 편이에요. 루틴이 확실한 집순이라 집밖으로 잘 안나가지만 그만큼 사고(?)날 일이 없는 사람! ㅎㅎㅎ 입니다</v>
      </c>
      <c r="O128" s="26" t="str">
        <f>'Raw data'!O126</f>
        <v xml:space="preserve">연락과 표현을 잘하고, 불안하게 만들지 않는 사람이 좋아요! 연락이 자연스럽게 이어지고 관계에서 불확실함을 주지 않는 안정적인 사람에게 매력을 느끼는데무엇보다 공감 능력이 있고 다정하고 자상한 사람이 중요해요! 서로의 감정을 이해하고 지지해 줄 수 있는 감정적인 교류가 가능한 관계를 원하며, 회피형 성향보다는 진중함 속에 유쾌함이 함께 있는 사람이 좋아요. 첫인상도 중요하고, 무엇보다 대화가 잘 통해 티키타카가 되는 사람이면 좋겠고 또한 자기 관리를 하며 스스로의 삶을 잘 가꾸는 사람이라면 더욱 좋겠어요! </v>
      </c>
      <c r="P128" s="26">
        <f>'Raw data'!Q126</f>
        <v>0</v>
      </c>
    </row>
    <row r="129" spans="1:16">
      <c r="A129" s="45">
        <v>127</v>
      </c>
      <c r="B129" s="26" t="str">
        <f>'Raw data'!B127</f>
        <v>여</v>
      </c>
      <c r="C129" s="26" t="str">
        <f>'Raw data'!C127</f>
        <v>이미소</v>
      </c>
      <c r="D129" s="26">
        <f>'Raw data'!F127</f>
        <v>40</v>
      </c>
      <c r="E129" s="26">
        <f>'Raw data'!H127</f>
        <v>168</v>
      </c>
      <c r="F129" s="26" t="str">
        <f>'Raw data'!E127</f>
        <v>제약회사 품질보증팀</v>
      </c>
      <c r="G129" s="26" t="str">
        <f>'Raw data'!G127</f>
        <v>38~</v>
      </c>
      <c r="H129" s="26" t="str">
        <f>'Raw data'!I127</f>
        <v>175~</v>
      </c>
      <c r="I129" s="26" t="str">
        <f>'Raw data'!J127</f>
        <v>ISTP</v>
      </c>
      <c r="J129" s="26" t="str">
        <f>'Raw data'!K127</f>
        <v>무관</v>
      </c>
      <c r="K129" s="26" t="str">
        <f>'Raw data'!L127</f>
        <v>무교</v>
      </c>
      <c r="L129" s="26" t="str">
        <f>'Raw data'!M127</f>
        <v>동일</v>
      </c>
      <c r="M129" s="26" t="str">
        <f>'Raw data'!P127</f>
        <v>무관</v>
      </c>
      <c r="N129" s="26" t="str">
        <f>'Raw data'!N127</f>
        <v>잘 웃고 다정한 사람. 성격이 둥글둥글해서 두루 좋게 지내나 어떤 면에선 좋고 싫은게 분명한 사람이에요. 가끔 말을 차갑게 할때가 있는데 그건 그냥 상황판단만 한거지 감정이 섞인건 아니에요</v>
      </c>
      <c r="O129" s="26" t="str">
        <f>'Raw data'!O127</f>
        <v>착하고 따뜻한 사람.자존감이 낮지 않은 사람이 좋은 것 같아요. 그리고 상대방의 말을 잘 귀담아 듣고 기억해주는 사람이요.</v>
      </c>
      <c r="P129" s="26">
        <f>'Raw data'!Q127</f>
        <v>0</v>
      </c>
    </row>
    <row r="130" spans="1:16">
      <c r="A130" s="46">
        <v>128</v>
      </c>
      <c r="B130" s="26" t="str">
        <f>'Raw data'!B128</f>
        <v>남</v>
      </c>
      <c r="C130" s="26" t="str">
        <f>'Raw data'!C128</f>
        <v>이민규</v>
      </c>
      <c r="D130" s="26">
        <f>'Raw data'!F128</f>
        <v>34</v>
      </c>
      <c r="E130" s="26">
        <f>'Raw data'!H128</f>
        <v>185</v>
      </c>
      <c r="F130" s="26" t="str">
        <f>'Raw data'!E128</f>
        <v>외국계 IT 기업 / PM</v>
      </c>
      <c r="G130" s="26" t="str">
        <f>'Raw data'!G128</f>
        <v>28~34</v>
      </c>
      <c r="H130" s="26" t="str">
        <f>'Raw data'!I128</f>
        <v>160~170</v>
      </c>
      <c r="I130" s="26" t="str">
        <f>'Raw data'!J128</f>
        <v>INFP</v>
      </c>
      <c r="J130" s="26" t="str">
        <f>'Raw data'!K128</f>
        <v>무관</v>
      </c>
      <c r="K130" s="26" t="str">
        <f>'Raw data'!L128</f>
        <v>무교</v>
      </c>
      <c r="L130" s="26" t="str">
        <f>'Raw data'!M128</f>
        <v>동일</v>
      </c>
      <c r="M130" s="26" t="str">
        <f>'Raw data'!P128</f>
        <v>무관</v>
      </c>
      <c r="N130" s="26" t="str">
        <f>'Raw data'!N128</f>
        <v>저는 운동 좋아하고 대화하고 서로 일상 공유하는 것도 좋습니다. 본인 일에 최선을 다하고 데이트할 땐 데이트에 집중하는 성향을 가지고 있습니다</v>
      </c>
      <c r="O130" s="26" t="str">
        <f>'Raw data'!O128</f>
        <v>대화 잘 통하고 선하게 생기신 분</v>
      </c>
      <c r="P130" s="26">
        <f>'Raw data'!Q128</f>
        <v>0</v>
      </c>
    </row>
    <row r="131" spans="1:16">
      <c r="A131" s="46">
        <v>129</v>
      </c>
      <c r="B131" s="26" t="e">
        <f>'Raw data'!#REF!</f>
        <v>#REF!</v>
      </c>
      <c r="C131" s="26" t="e">
        <f>'Raw data'!#REF!</f>
        <v>#REF!</v>
      </c>
      <c r="D131" s="26" t="e">
        <f>'Raw data'!#REF!</f>
        <v>#REF!</v>
      </c>
      <c r="E131" s="26" t="e">
        <f>'Raw data'!#REF!</f>
        <v>#REF!</v>
      </c>
      <c r="F131" s="26" t="e">
        <f>'Raw data'!#REF!</f>
        <v>#REF!</v>
      </c>
      <c r="G131" s="26" t="e">
        <f>'Raw data'!#REF!</f>
        <v>#REF!</v>
      </c>
      <c r="H131" s="26" t="e">
        <f>'Raw data'!#REF!</f>
        <v>#REF!</v>
      </c>
      <c r="I131" s="26" t="e">
        <f>'Raw data'!#REF!</f>
        <v>#REF!</v>
      </c>
      <c r="J131" s="26" t="e">
        <f>'Raw data'!#REF!</f>
        <v>#REF!</v>
      </c>
      <c r="K131" s="26" t="e">
        <f>'Raw data'!#REF!</f>
        <v>#REF!</v>
      </c>
      <c r="L131" s="26" t="e">
        <f>'Raw data'!#REF!</f>
        <v>#REF!</v>
      </c>
      <c r="M131" s="26" t="e">
        <f>'Raw data'!#REF!</f>
        <v>#REF!</v>
      </c>
      <c r="N131" s="26" t="e">
        <f>'Raw data'!#REF!</f>
        <v>#REF!</v>
      </c>
      <c r="O131" s="26" t="e">
        <f>'Raw data'!#REF!</f>
        <v>#REF!</v>
      </c>
      <c r="P131" s="26" t="e">
        <f>'Raw data'!#REF!</f>
        <v>#REF!</v>
      </c>
    </row>
    <row r="132" spans="1:16">
      <c r="A132" s="45">
        <v>130</v>
      </c>
      <c r="B132" s="26" t="str">
        <f>'Raw data'!B129</f>
        <v>여</v>
      </c>
      <c r="C132" s="26" t="str">
        <f>'Raw data'!C129</f>
        <v>이상희</v>
      </c>
      <c r="D132" s="26">
        <f>'Raw data'!F129</f>
        <v>36</v>
      </c>
      <c r="E132" s="26">
        <f>'Raw data'!H129</f>
        <v>155</v>
      </c>
      <c r="F132" s="26" t="str">
        <f>'Raw data'!E129</f>
        <v>강북삼성병원 병동간호사</v>
      </c>
      <c r="G132" s="26" t="str">
        <f>'Raw data'!G129</f>
        <v>31~38</v>
      </c>
      <c r="H132" s="26" t="str">
        <f>'Raw data'!I129</f>
        <v>170~</v>
      </c>
      <c r="I132" s="26" t="str">
        <f>'Raw data'!J129</f>
        <v>ISFP</v>
      </c>
      <c r="J132" s="26" t="str">
        <f>'Raw data'!K129</f>
        <v>무관</v>
      </c>
      <c r="K132" s="26" t="str">
        <f>'Raw data'!L129</f>
        <v>천주교</v>
      </c>
      <c r="L132" s="26" t="str">
        <f>'Raw data'!M129</f>
        <v>무관</v>
      </c>
      <c r="M132" s="26" t="str">
        <f>'Raw data'!P129</f>
        <v>병원직군, 공무원, 연구직, 회사원</v>
      </c>
      <c r="N132" s="26" t="str">
        <f>'Raw data'!N129</f>
        <v>친절하고 착하고 동안인 사람</v>
      </c>
      <c r="O132" s="26">
        <f>'Raw data'!O129</f>
        <v>0</v>
      </c>
      <c r="P132" s="26">
        <f>'Raw data'!Q129</f>
        <v>0</v>
      </c>
    </row>
    <row r="133" spans="1:16">
      <c r="A133" s="46">
        <v>131</v>
      </c>
      <c r="B133" s="26" t="str">
        <f>'Raw data'!B130</f>
        <v>여</v>
      </c>
      <c r="C133" s="26" t="str">
        <f>'Raw data'!C130</f>
        <v>이선해</v>
      </c>
      <c r="D133" s="26">
        <f>'Raw data'!F130</f>
        <v>30</v>
      </c>
      <c r="E133" s="26">
        <f>'Raw data'!H130</f>
        <v>160</v>
      </c>
      <c r="F133" s="26" t="str">
        <f>'Raw data'!E130</f>
        <v>최근 퇴사하고 이직준비중 - 전직장 (작업치료사)</v>
      </c>
      <c r="G133" s="26" t="str">
        <f>'Raw data'!G130</f>
        <v>28~34</v>
      </c>
      <c r="H133" s="26" t="str">
        <f>'Raw data'!I130</f>
        <v>175~</v>
      </c>
      <c r="I133" s="26" t="str">
        <f>'Raw data'!J130</f>
        <v>ESTJ</v>
      </c>
      <c r="J133" s="26" t="str">
        <f>'Raw data'!K130</f>
        <v>무관</v>
      </c>
      <c r="K133" s="26" t="str">
        <f>'Raw data'!L130</f>
        <v>무교</v>
      </c>
      <c r="L133" s="26" t="str">
        <f>'Raw data'!M130</f>
        <v>동일</v>
      </c>
      <c r="M133" s="26" t="str">
        <f>'Raw data'!P130</f>
        <v>무관</v>
      </c>
      <c r="N133" s="26" t="str">
        <f>'Raw data'!N130</f>
        <v>차분하고 솔직한 성격</v>
      </c>
      <c r="O133" s="26" t="str">
        <f>'Raw data'!O130</f>
        <v>차분한 너드남</v>
      </c>
      <c r="P133" s="26">
        <f>'Raw data'!Q130</f>
        <v>0</v>
      </c>
    </row>
    <row r="134" spans="1:16">
      <c r="A134" s="46">
        <v>132</v>
      </c>
      <c r="B134" s="26" t="str">
        <f>'Raw data'!B131</f>
        <v>남</v>
      </c>
      <c r="C134" s="26" t="str">
        <f>'Raw data'!C131</f>
        <v>이성원</v>
      </c>
      <c r="D134" s="26">
        <f>'Raw data'!F131</f>
        <v>38</v>
      </c>
      <c r="E134" s="26">
        <f>'Raw data'!H131</f>
        <v>178.8</v>
      </c>
      <c r="F134" s="26" t="str">
        <f>'Raw data'!E131</f>
        <v>한국이스포츠협회/심판운영파트</v>
      </c>
      <c r="G134" s="26" t="str">
        <f>'Raw data'!G131</f>
        <v>28~34</v>
      </c>
      <c r="H134" s="26" t="str">
        <f>'Raw data'!I131</f>
        <v>160~170</v>
      </c>
      <c r="I134" s="26" t="str">
        <f>'Raw data'!J131</f>
        <v>ESFJ</v>
      </c>
      <c r="J134" s="26" t="str">
        <f>'Raw data'!K131</f>
        <v>무관</v>
      </c>
      <c r="K134" s="26" t="str">
        <f>'Raw data'!L131</f>
        <v>무교</v>
      </c>
      <c r="L134" s="26" t="str">
        <f>'Raw data'!M131</f>
        <v>동일</v>
      </c>
      <c r="M134" s="26" t="str">
        <f>'Raw data'!P131</f>
        <v>무관</v>
      </c>
      <c r="N134" s="26" t="str">
        <f>'Raw data'!N131</f>
        <v>지속적으로 성장하기 위해 끊임없이 노력하는 사람.
놀땐 놀고, 일할 때는 일하고!</v>
      </c>
      <c r="O134" s="26" t="str">
        <f>'Raw data'!O131</f>
        <v>키 165 이상, 긴생머리, 외국어 능력자</v>
      </c>
      <c r="P134" s="26" t="str">
        <f>'Raw data'!Q131</f>
        <v>참여비와 참여 시간 등이 궁금해요.</v>
      </c>
    </row>
    <row r="135" spans="1:16">
      <c r="A135" s="45">
        <v>133</v>
      </c>
      <c r="B135" s="26" t="str">
        <f>'Raw data'!B132</f>
        <v>여</v>
      </c>
      <c r="C135" s="26" t="str">
        <f>'Raw data'!C132</f>
        <v>이송미</v>
      </c>
      <c r="D135" s="26">
        <f>'Raw data'!F132</f>
        <v>36</v>
      </c>
      <c r="E135" s="26">
        <f>'Raw data'!H132</f>
        <v>155</v>
      </c>
      <c r="F135" s="26" t="str">
        <f>'Raw data'!E132</f>
        <v>메이크업 - 부원장</v>
      </c>
      <c r="G135" s="26" t="str">
        <f>'Raw data'!G132</f>
        <v>31~38</v>
      </c>
      <c r="H135" s="26" t="str">
        <f>'Raw data'!I132</f>
        <v>175~180</v>
      </c>
      <c r="I135" s="26" t="str">
        <f>'Raw data'!J132</f>
        <v>ISFJ</v>
      </c>
      <c r="J135" s="26" t="str">
        <f>'Raw data'!K132</f>
        <v>무관</v>
      </c>
      <c r="K135" s="26" t="str">
        <f>'Raw data'!L132</f>
        <v>무교</v>
      </c>
      <c r="L135" s="26" t="str">
        <f>'Raw data'!M132</f>
        <v>무관</v>
      </c>
      <c r="M135" s="26" t="str">
        <f>'Raw data'!P132</f>
        <v>무관</v>
      </c>
      <c r="N135" s="26" t="str">
        <f>'Raw data'!N132</f>
        <v>츤데레</v>
      </c>
      <c r="O135" s="26" t="str">
        <f>'Raw data'!O132</f>
        <v>티키타카 잘되는 개그성향</v>
      </c>
      <c r="P135" s="26">
        <f>'Raw data'!Q132</f>
        <v>0</v>
      </c>
    </row>
    <row r="136" spans="1:16">
      <c r="A136" s="46">
        <v>134</v>
      </c>
      <c r="B136" s="26" t="str">
        <f>'Raw data'!B133</f>
        <v>여</v>
      </c>
      <c r="C136" s="26" t="str">
        <f>'Raw data'!C133</f>
        <v>이수빈</v>
      </c>
      <c r="D136" s="26">
        <f>'Raw data'!F133</f>
        <v>34</v>
      </c>
      <c r="E136" s="26">
        <f>'Raw data'!H133</f>
        <v>163</v>
      </c>
      <c r="F136" s="26" t="str">
        <f>'Raw data'!E133</f>
        <v>공무원</v>
      </c>
      <c r="G136" s="26" t="str">
        <f>'Raw data'!G133</f>
        <v>24~38</v>
      </c>
      <c r="H136" s="26" t="str">
        <f>'Raw data'!I133</f>
        <v>175~</v>
      </c>
      <c r="I136" s="26" t="str">
        <f>'Raw data'!J133</f>
        <v>ENFP</v>
      </c>
      <c r="J136" s="26" t="str">
        <f>'Raw data'!K133</f>
        <v>무관</v>
      </c>
      <c r="K136" s="26" t="str">
        <f>'Raw data'!L133</f>
        <v>무교</v>
      </c>
      <c r="L136" s="26" t="str">
        <f>'Raw data'!M133</f>
        <v>무관</v>
      </c>
      <c r="M136" s="26" t="str">
        <f>'Raw data'!P133</f>
        <v>무관</v>
      </c>
      <c r="N136" s="26" t="str">
        <f>'Raw data'!N133</f>
        <v>밝음 재미 솔직 차분 따뜻</v>
      </c>
      <c r="O136" s="26" t="str">
        <f>'Raw data'!O133</f>
        <v>나와 결이 비슷한사람</v>
      </c>
      <c r="P136" s="26" t="str">
        <f>'Raw data'!Q133</f>
        <v>외모를 좀 봅니다.. 최대한 반영해주시면 감사합니다🥹</v>
      </c>
    </row>
    <row r="137" spans="1:16">
      <c r="A137" s="46">
        <v>135</v>
      </c>
      <c r="B137" s="26" t="str">
        <f>'Raw data'!B134</f>
        <v>여</v>
      </c>
      <c r="C137" s="26" t="str">
        <f>'Raw data'!C134</f>
        <v>이수연</v>
      </c>
      <c r="D137" s="26">
        <f>'Raw data'!F134</f>
        <v>40</v>
      </c>
      <c r="E137" s="26">
        <f>'Raw data'!H134</f>
        <v>164</v>
      </c>
      <c r="F137" s="26" t="str">
        <f>'Raw data'!E134</f>
        <v>유통사 재무팀</v>
      </c>
      <c r="G137" s="26" t="str">
        <f>'Raw data'!G134</f>
        <v>38~41</v>
      </c>
      <c r="H137" s="26" t="str">
        <f>'Raw data'!I134</f>
        <v>175~180</v>
      </c>
      <c r="I137" s="26" t="str">
        <f>'Raw data'!J134</f>
        <v>ISTP</v>
      </c>
      <c r="J137" s="26" t="str">
        <f>'Raw data'!K134</f>
        <v>무관</v>
      </c>
      <c r="K137" s="26" t="str">
        <f>'Raw data'!L134</f>
        <v>천주교</v>
      </c>
      <c r="L137" s="26" t="str">
        <f>'Raw data'!M134</f>
        <v>무관</v>
      </c>
      <c r="M137" s="26" t="str">
        <f>'Raw data'!P134</f>
        <v>무관</v>
      </c>
      <c r="N137" s="26" t="str">
        <f>'Raw data'!N134</f>
        <v>운동을 즐겨하고 조용하게 시간 보내는걸 좋아합니다:-)</v>
      </c>
      <c r="O137" s="26" t="str">
        <f>'Raw data'!O134</f>
        <v>행동이 상식적이고 대화가 잘 통하는 사람</v>
      </c>
      <c r="P137" s="26">
        <f>'Raw data'!Q134</f>
        <v>0</v>
      </c>
    </row>
    <row r="138" spans="1:16">
      <c r="A138" s="45">
        <v>136</v>
      </c>
      <c r="B138" s="26" t="str">
        <f>'Raw data'!B135</f>
        <v>남</v>
      </c>
      <c r="C138" s="26" t="str">
        <f>'Raw data'!C135</f>
        <v>이승재</v>
      </c>
      <c r="D138" s="26">
        <f>'Raw data'!F135</f>
        <v>39</v>
      </c>
      <c r="E138" s="26">
        <f>'Raw data'!H135</f>
        <v>172</v>
      </c>
      <c r="F138" s="26" t="str">
        <f>'Raw data'!E135</f>
        <v>공공기관 종합병원 재활</v>
      </c>
      <c r="G138" s="26" t="str">
        <f>'Raw data'!G135</f>
        <v>28~38</v>
      </c>
      <c r="H138" s="26" t="str">
        <f>'Raw data'!I135</f>
        <v>~165</v>
      </c>
      <c r="I138" s="26" t="str">
        <f>'Raw data'!J135</f>
        <v>ISFJ</v>
      </c>
      <c r="J138" s="26" t="str">
        <f>'Raw data'!K135</f>
        <v>무관</v>
      </c>
      <c r="K138" s="26" t="str">
        <f>'Raw data'!L135</f>
        <v>천주교</v>
      </c>
      <c r="L138" s="26" t="str">
        <f>'Raw data'!M135</f>
        <v>동일, 무관</v>
      </c>
      <c r="M138" s="26" t="str">
        <f>'Raw data'!P135</f>
        <v>자영업, 연구직</v>
      </c>
      <c r="N138" s="26" t="str">
        <f>'Raw data'!N135</f>
        <v>예의있고 진중하면서도 유머를 갖춘 사람</v>
      </c>
      <c r="O138" s="26" t="str">
        <f>'Raw data'!O135</f>
        <v>웃음이 이쁘고 말 이쁘게 하시는 분</v>
      </c>
      <c r="P138" s="26" t="str">
        <f>'Raw data'!Q135</f>
        <v>결혼까지 생각하며 빵 열심히 만들게요 : )</v>
      </c>
    </row>
    <row r="139" spans="1:16">
      <c r="A139" s="46">
        <v>137</v>
      </c>
      <c r="B139" s="26" t="str">
        <f>'Raw data'!B136</f>
        <v>남</v>
      </c>
      <c r="C139" s="26" t="str">
        <f>'Raw data'!C136</f>
        <v>이승준</v>
      </c>
      <c r="D139" s="26">
        <f>'Raw data'!F136</f>
        <v>34</v>
      </c>
      <c r="E139" s="26">
        <f>'Raw data'!H136</f>
        <v>173</v>
      </c>
      <c r="F139" s="26" t="str">
        <f>'Raw data'!E136</f>
        <v>사업</v>
      </c>
      <c r="G139" s="26" t="str">
        <f>'Raw data'!G136</f>
        <v>28~34</v>
      </c>
      <c r="H139" s="26" t="str">
        <f>'Raw data'!I136</f>
        <v>~165</v>
      </c>
      <c r="I139" s="26" t="str">
        <f>'Raw data'!J136</f>
        <v>ESTJ</v>
      </c>
      <c r="J139" s="26" t="str">
        <f>'Raw data'!K136</f>
        <v>무관</v>
      </c>
      <c r="K139" s="26" t="str">
        <f>'Raw data'!L136</f>
        <v>무교</v>
      </c>
      <c r="L139" s="26" t="str">
        <f>'Raw data'!M136</f>
        <v>동일</v>
      </c>
      <c r="M139" s="26" t="str">
        <f>'Raw data'!P136</f>
        <v>무관</v>
      </c>
      <c r="N139" s="26" t="str">
        <f>'Raw data'!N136</f>
        <v>다정다감한 사람</v>
      </c>
      <c r="O139" s="26" t="str">
        <f>'Raw data'!O136</f>
        <v>귀엽고 애교 많은 사람, 루틴이 있는 사람</v>
      </c>
      <c r="P139" s="26">
        <f>'Raw data'!Q136</f>
        <v>0</v>
      </c>
    </row>
    <row r="140" spans="1:16">
      <c r="A140" s="46">
        <v>138</v>
      </c>
      <c r="B140" s="26" t="str">
        <f>'Raw data'!B137</f>
        <v>남</v>
      </c>
      <c r="C140" s="26" t="str">
        <f>'Raw data'!C137</f>
        <v>이시준</v>
      </c>
      <c r="D140" s="26">
        <f>'Raw data'!F137</f>
        <v>33</v>
      </c>
      <c r="E140" s="26">
        <f>'Raw data'!H137</f>
        <v>185</v>
      </c>
      <c r="F140" s="26" t="str">
        <f>'Raw data'!E137</f>
        <v>현대오토에버 IT개발</v>
      </c>
      <c r="G140" s="26" t="str">
        <f>'Raw data'!G137</f>
        <v>28~31</v>
      </c>
      <c r="H140" s="26" t="str">
        <f>'Raw data'!I137</f>
        <v>165~175</v>
      </c>
      <c r="I140" s="26" t="str">
        <f>'Raw data'!J137</f>
        <v>ISFP</v>
      </c>
      <c r="J140" s="26" t="str">
        <f>'Raw data'!K137</f>
        <v>INFP, ISFP, INFJ, ISFJ, ENFP, ESFP, ENFJ, ESFJ, ENTP, ESTP, ENTJ, ESTJ</v>
      </c>
      <c r="K140" s="26" t="str">
        <f>'Raw data'!L137</f>
        <v>무교</v>
      </c>
      <c r="L140" s="26" t="str">
        <f>'Raw data'!M137</f>
        <v>동일</v>
      </c>
      <c r="M140" s="26" t="str">
        <f>'Raw data'!P137</f>
        <v>병원직군, 자영업, 공무원</v>
      </c>
      <c r="N140" s="26" t="str">
        <f>'Raw data'!N137</f>
        <v>주위 분들 착하고 다정한 사람이라고 많이 말씀해주십니다.. ㅎㅎ.. 화도 잘 안내고 무던한 편입니다! 하는 일에 있어서는 책임감있게 해내려고 하는 편이에요</v>
      </c>
      <c r="O140" s="26" t="str">
        <f>'Raw data'!O137</f>
        <v>경제관념이 있으신분. 키가 크신분. 선하게 생기신 분</v>
      </c>
      <c r="P140" s="26" t="str">
        <f>'Raw data'!Q137</f>
        <v>나이대가 저와 2-3살 정도 아래였으면 싶습니다.. ㅎㅎ..</v>
      </c>
    </row>
    <row r="141" spans="1:16">
      <c r="A141" s="45">
        <v>139</v>
      </c>
      <c r="B141" s="26" t="str">
        <f>'Raw data'!B138</f>
        <v>여</v>
      </c>
      <c r="C141" s="26" t="str">
        <f>'Raw data'!C138</f>
        <v>이연재</v>
      </c>
      <c r="D141" s="26">
        <f>'Raw data'!F138</f>
        <v>36</v>
      </c>
      <c r="E141" s="26">
        <f>'Raw data'!H138</f>
        <v>160</v>
      </c>
      <c r="F141" s="26" t="str">
        <f>'Raw data'!E138</f>
        <v>대기업 과장</v>
      </c>
      <c r="G141" s="26" t="str">
        <f>'Raw data'!G138</f>
        <v>31~41</v>
      </c>
      <c r="H141" s="26" t="str">
        <f>'Raw data'!I138</f>
        <v>175~180</v>
      </c>
      <c r="I141" s="26" t="str">
        <f>'Raw data'!J138</f>
        <v>ISTJ</v>
      </c>
      <c r="J141" s="26" t="str">
        <f>'Raw data'!K138</f>
        <v>무관</v>
      </c>
      <c r="K141" s="26" t="str">
        <f>'Raw data'!L138</f>
        <v>무교, 불교</v>
      </c>
      <c r="L141" s="26" t="str">
        <f>'Raw data'!M138</f>
        <v>동일</v>
      </c>
      <c r="M141" s="26" t="str">
        <f>'Raw data'!P138</f>
        <v>무관</v>
      </c>
      <c r="N141" s="26" t="str">
        <f>'Raw data'!N138</f>
        <v>차분하고 상대방 말 잘 들어주는 사람</v>
      </c>
      <c r="O141" s="26" t="str">
        <f>'Raw data'!O138</f>
        <v>다정한 사람</v>
      </c>
      <c r="P141" s="26">
        <f>'Raw data'!Q138</f>
        <v>0</v>
      </c>
    </row>
    <row r="142" spans="1:16">
      <c r="A142" s="46">
        <v>140</v>
      </c>
      <c r="B142" s="26" t="str">
        <f>'Raw data'!B139</f>
        <v>여</v>
      </c>
      <c r="C142" s="26" t="str">
        <f>'Raw data'!C139</f>
        <v>이유경</v>
      </c>
      <c r="D142" s="26">
        <f>'Raw data'!F139</f>
        <v>30</v>
      </c>
      <c r="E142" s="26">
        <f>'Raw data'!H139</f>
        <v>158</v>
      </c>
      <c r="F142" s="26" t="str">
        <f>'Raw data'!E139</f>
        <v>유아특수교사</v>
      </c>
      <c r="G142" s="26" t="str">
        <f>'Raw data'!G139</f>
        <v>31~34</v>
      </c>
      <c r="H142" s="26" t="str">
        <f>'Raw data'!I139</f>
        <v>175~</v>
      </c>
      <c r="I142" s="26" t="str">
        <f>'Raw data'!J139</f>
        <v>INFJ</v>
      </c>
      <c r="J142" s="26" t="str">
        <f>'Raw data'!K139</f>
        <v>무관</v>
      </c>
      <c r="K142" s="26" t="str">
        <f>'Raw data'!L139</f>
        <v>무교</v>
      </c>
      <c r="L142" s="26" t="str">
        <f>'Raw data'!M139</f>
        <v>동일</v>
      </c>
      <c r="M142" s="26" t="str">
        <f>'Raw data'!P139</f>
        <v>기술직, 자영업</v>
      </c>
      <c r="N142" s="26" t="str">
        <f>'Raw data'!N139</f>
        <v>배려심깊고 다정한사람</v>
      </c>
      <c r="O142" s="26" t="str">
        <f>'Raw data'!O139</f>
        <v xml:space="preserve">개그코드가 맞고 배울점이 많은 사람 </v>
      </c>
      <c r="P142" s="26">
        <f>'Raw data'!Q139</f>
        <v>0</v>
      </c>
    </row>
    <row r="143" spans="1:16">
      <c r="A143" s="46">
        <v>141</v>
      </c>
      <c r="B143" s="26" t="str">
        <f>'Raw data'!B140</f>
        <v>여</v>
      </c>
      <c r="C143" s="26" t="str">
        <f>'Raw data'!C140</f>
        <v>이유미</v>
      </c>
      <c r="D143" s="26">
        <f>'Raw data'!F140</f>
        <v>41</v>
      </c>
      <c r="E143" s="26">
        <f>'Raw data'!H140</f>
        <v>161</v>
      </c>
      <c r="F143" s="26" t="str">
        <f>'Raw data'!E140</f>
        <v>핀에어 승무원</v>
      </c>
      <c r="G143" s="26" t="str">
        <f>'Raw data'!G140</f>
        <v>38~</v>
      </c>
      <c r="H143" s="26" t="str">
        <f>'Raw data'!I140</f>
        <v>170~</v>
      </c>
      <c r="I143" s="26" t="str">
        <f>'Raw data'!J140</f>
        <v>ESFJ-T</v>
      </c>
      <c r="J143" s="26" t="str">
        <f>'Raw data'!K140</f>
        <v>ISTJ, ISFJ, ESTJ</v>
      </c>
      <c r="K143" s="26" t="str">
        <f>'Raw data'!L140</f>
        <v>무교</v>
      </c>
      <c r="L143" s="26">
        <f>'Raw data'!M140</f>
        <v>0</v>
      </c>
      <c r="M143" s="26" t="str">
        <f>'Raw data'!P140</f>
        <v>무관</v>
      </c>
      <c r="N143" s="26" t="str">
        <f>'Raw data'!N140</f>
        <v>딘순하고 밝고 유쾌함</v>
      </c>
      <c r="O143" s="26" t="str">
        <f>'Raw data'!O140</f>
        <v>마음이 넓고 대화가잘통하는 편한사람</v>
      </c>
      <c r="P143" s="26">
        <f>'Raw data'!Q140</f>
        <v>0</v>
      </c>
    </row>
    <row r="144" spans="1:16">
      <c r="A144" s="45">
        <v>142</v>
      </c>
      <c r="B144" s="26" t="str">
        <f>'Raw data'!B141</f>
        <v>여</v>
      </c>
      <c r="C144" s="26" t="str">
        <f>'Raw data'!C141</f>
        <v>이유민</v>
      </c>
      <c r="D144" s="26">
        <f>'Raw data'!F141</f>
        <v>29</v>
      </c>
      <c r="E144" s="26">
        <f>'Raw data'!H141</f>
        <v>165</v>
      </c>
      <c r="F144" s="26" t="str">
        <f>'Raw data'!E141</f>
        <v>공무원</v>
      </c>
      <c r="G144" s="26" t="str">
        <f>'Raw data'!G141</f>
        <v>31~34</v>
      </c>
      <c r="H144" s="26" t="str">
        <f>'Raw data'!I141</f>
        <v>175~</v>
      </c>
      <c r="I144" s="26" t="str">
        <f>'Raw data'!J141</f>
        <v>ISFJ</v>
      </c>
      <c r="J144" s="26" t="str">
        <f>'Raw data'!K141</f>
        <v>무관</v>
      </c>
      <c r="K144" s="26" t="str">
        <f>'Raw data'!L141</f>
        <v>무교</v>
      </c>
      <c r="L144" s="26" t="str">
        <f>'Raw data'!M141</f>
        <v>무관</v>
      </c>
      <c r="M144" s="26" t="str">
        <f>'Raw data'!P141</f>
        <v>회사원</v>
      </c>
      <c r="N144" s="26" t="str">
        <f>'Raw data'!N141</f>
        <v>다정하고 밝은 귀여운 사람!</v>
      </c>
      <c r="O144" s="26" t="str">
        <f>'Raw data'!O141</f>
        <v>다정하고 섬세하고 집돌이에 헬스가 취미인 사람, 흡연x</v>
      </c>
      <c r="P144" s="26" t="str">
        <f>'Raw data'!Q141</f>
        <v>너무 나이차이가 많이나지 않았으면 좋겠어요</v>
      </c>
    </row>
    <row r="145" spans="1:16">
      <c r="A145" s="46">
        <v>143</v>
      </c>
      <c r="B145" s="26" t="str">
        <f>'Raw data'!B142</f>
        <v>여</v>
      </c>
      <c r="C145" s="26" t="str">
        <f>'Raw data'!C142</f>
        <v>이윤선</v>
      </c>
      <c r="D145" s="26">
        <f>'Raw data'!F142</f>
        <v>27</v>
      </c>
      <c r="E145" s="26">
        <f>'Raw data'!H142</f>
        <v>153</v>
      </c>
      <c r="F145" s="26" t="str">
        <f>'Raw data'!E142</f>
        <v>간호사</v>
      </c>
      <c r="G145" s="26" t="str">
        <f>'Raw data'!G142</f>
        <v>28~34</v>
      </c>
      <c r="H145" s="26" t="str">
        <f>'Raw data'!I142</f>
        <v>170~</v>
      </c>
      <c r="I145" s="26" t="str">
        <f>'Raw data'!J142</f>
        <v>ESFJ</v>
      </c>
      <c r="J145" s="26" t="str">
        <f>'Raw data'!K142</f>
        <v>무관</v>
      </c>
      <c r="K145" s="26" t="str">
        <f>'Raw data'!L142</f>
        <v>무교</v>
      </c>
      <c r="L145" s="26" t="str">
        <f>'Raw data'!M142</f>
        <v>동일</v>
      </c>
      <c r="M145" s="26" t="str">
        <f>'Raw data'!P142</f>
        <v>무관</v>
      </c>
      <c r="N145" s="26" t="str">
        <f>'Raw data'!N142</f>
        <v>밝고 배려심있는 따뜻한사람 + 여행을 좋아함</v>
      </c>
      <c r="O145" s="26" t="str">
        <f>'Raw data'!O142</f>
        <v>듬직하고, 성실하고, 재미있는 사람 + 비흡연자 선호</v>
      </c>
      <c r="P145" s="26">
        <f>'Raw data'!Q142</f>
        <v>0</v>
      </c>
    </row>
    <row r="146" spans="1:16">
      <c r="A146" s="46">
        <v>144</v>
      </c>
      <c r="B146" s="26" t="str">
        <f>'Raw data'!B143</f>
        <v>남</v>
      </c>
      <c r="C146" s="26" t="str">
        <f>'Raw data'!C143</f>
        <v>이은규</v>
      </c>
      <c r="D146" s="26">
        <f>'Raw data'!F143</f>
        <v>29</v>
      </c>
      <c r="E146" s="26">
        <f>'Raw data'!H143</f>
        <v>160.1</v>
      </c>
      <c r="F146" s="26" t="str">
        <f>'Raw data'!E143</f>
        <v>에어컨설치, 판매(개인사업자)</v>
      </c>
      <c r="G146" s="26" t="str">
        <f>'Raw data'!G143</f>
        <v>24~34</v>
      </c>
      <c r="H146" s="26" t="str">
        <f>'Raw data'!I143</f>
        <v>무관</v>
      </c>
      <c r="I146" s="26" t="str">
        <f>'Raw data'!J143</f>
        <v>ENTP</v>
      </c>
      <c r="J146" s="26" t="str">
        <f>'Raw data'!K143</f>
        <v>무관</v>
      </c>
      <c r="K146" s="26" t="str">
        <f>'Raw data'!L143</f>
        <v>무교</v>
      </c>
      <c r="L146" s="26" t="str">
        <f>'Raw data'!M143</f>
        <v>동일</v>
      </c>
      <c r="M146" s="26" t="str">
        <f>'Raw data'!P143</f>
        <v>무관</v>
      </c>
      <c r="N146" s="26" t="str">
        <f>'Raw data'!N143</f>
        <v>성격이 둥글둥글 하고 감정기복이 거의없음</v>
      </c>
      <c r="O146" s="26" t="str">
        <f>'Raw data'!O143</f>
        <v>테토녀</v>
      </c>
      <c r="P146" s="26">
        <f>'Raw data'!Q143</f>
        <v>0</v>
      </c>
    </row>
    <row r="147" spans="1:16">
      <c r="A147" s="45">
        <v>145</v>
      </c>
      <c r="B147" s="26" t="str">
        <f>'Raw data'!B144</f>
        <v>여</v>
      </c>
      <c r="C147" s="26" t="str">
        <f>'Raw data'!C144</f>
        <v>이은지</v>
      </c>
      <c r="D147" s="26">
        <f>'Raw data'!F144</f>
        <v>29</v>
      </c>
      <c r="E147" s="26">
        <f>'Raw data'!H144</f>
        <v>159.9</v>
      </c>
      <c r="F147" s="26" t="str">
        <f>'Raw data'!E144</f>
        <v>회사원/사무직</v>
      </c>
      <c r="G147" s="26" t="str">
        <f>'Raw data'!G144</f>
        <v>28~34</v>
      </c>
      <c r="H147" s="26">
        <f>'Raw data'!I144</f>
        <v>0</v>
      </c>
      <c r="I147" s="26" t="str">
        <f>'Raw data'!J144</f>
        <v>ISTP</v>
      </c>
      <c r="J147" s="26" t="str">
        <f>'Raw data'!K144</f>
        <v>ISTJ, ISFJ, ENFJ, ESFJ, ENTJ, ESTJ</v>
      </c>
      <c r="K147" s="26" t="str">
        <f>'Raw data'!L144</f>
        <v>무교</v>
      </c>
      <c r="L147" s="26" t="str">
        <f>'Raw data'!M144</f>
        <v>동일</v>
      </c>
      <c r="M147" s="26">
        <f>'Raw data'!P144</f>
        <v>0</v>
      </c>
      <c r="N147" s="26" t="str">
        <f>'Raw data'!N144</f>
        <v>밝고 행복한 사람&gt;&lt;</v>
      </c>
      <c r="O147" s="26">
        <f>'Raw data'!O144</f>
        <v>0</v>
      </c>
      <c r="P147" s="26">
        <f>'Raw data'!Q144</f>
        <v>0</v>
      </c>
    </row>
    <row r="148" spans="1:16">
      <c r="A148" s="46">
        <v>146</v>
      </c>
      <c r="B148" s="26" t="e">
        <f>'Raw data'!#REF!</f>
        <v>#REF!</v>
      </c>
      <c r="C148" s="26" t="e">
        <f>'Raw data'!#REF!</f>
        <v>#REF!</v>
      </c>
      <c r="D148" s="26" t="e">
        <f>'Raw data'!#REF!</f>
        <v>#REF!</v>
      </c>
      <c r="E148" s="26" t="e">
        <f>'Raw data'!#REF!</f>
        <v>#REF!</v>
      </c>
      <c r="F148" s="26" t="e">
        <f>'Raw data'!#REF!</f>
        <v>#REF!</v>
      </c>
      <c r="G148" s="26" t="e">
        <f>'Raw data'!#REF!</f>
        <v>#REF!</v>
      </c>
      <c r="H148" s="26" t="e">
        <f>'Raw data'!#REF!</f>
        <v>#REF!</v>
      </c>
      <c r="I148" s="26" t="e">
        <f>'Raw data'!#REF!</f>
        <v>#REF!</v>
      </c>
      <c r="J148" s="26" t="e">
        <f>'Raw data'!#REF!</f>
        <v>#REF!</v>
      </c>
      <c r="K148" s="26" t="e">
        <f>'Raw data'!#REF!</f>
        <v>#REF!</v>
      </c>
      <c r="L148" s="26" t="e">
        <f>'Raw data'!#REF!</f>
        <v>#REF!</v>
      </c>
      <c r="M148" s="26" t="e">
        <f>'Raw data'!#REF!</f>
        <v>#REF!</v>
      </c>
      <c r="N148" s="26" t="e">
        <f>'Raw data'!#REF!</f>
        <v>#REF!</v>
      </c>
      <c r="O148" s="26" t="e">
        <f>'Raw data'!#REF!</f>
        <v>#REF!</v>
      </c>
      <c r="P148" s="26" t="e">
        <f>'Raw data'!#REF!</f>
        <v>#REF!</v>
      </c>
    </row>
    <row r="149" spans="1:16">
      <c r="A149" s="46">
        <v>147</v>
      </c>
      <c r="B149" s="26" t="str">
        <f>'Raw data'!B145</f>
        <v>남</v>
      </c>
      <c r="C149" s="26" t="str">
        <f>'Raw data'!C145</f>
        <v>이준석</v>
      </c>
      <c r="D149" s="26">
        <f>'Raw data'!F145</f>
        <v>39</v>
      </c>
      <c r="E149" s="26">
        <f>'Raw data'!H145</f>
        <v>172</v>
      </c>
      <c r="F149" s="26" t="str">
        <f>'Raw data'!E145</f>
        <v>인테리어 유지보수</v>
      </c>
      <c r="G149" s="26" t="str">
        <f>'Raw data'!G145</f>
        <v>28~34</v>
      </c>
      <c r="H149" s="26" t="str">
        <f>'Raw data'!I145</f>
        <v>160~170</v>
      </c>
      <c r="I149" s="26" t="str">
        <f>'Raw data'!J145</f>
        <v>ESFJ</v>
      </c>
      <c r="J149" s="26" t="str">
        <f>'Raw data'!K145</f>
        <v>무관</v>
      </c>
      <c r="K149" s="26" t="str">
        <f>'Raw data'!L145</f>
        <v>무교</v>
      </c>
      <c r="L149" s="26" t="str">
        <f>'Raw data'!M145</f>
        <v>무관</v>
      </c>
      <c r="M149" s="26" t="str">
        <f>'Raw data'!P145</f>
        <v>무관</v>
      </c>
      <c r="N149" s="26" t="str">
        <f>'Raw data'!N145</f>
        <v>눈치 삐르고 섬세한 자기 관리 열심히</v>
      </c>
      <c r="O149" s="26" t="str">
        <f>'Raw data'!O145</f>
        <v>운동하고 요리하는거 좋아하시는분</v>
      </c>
      <c r="P149" s="26">
        <f>'Raw data'!Q145</f>
        <v>0</v>
      </c>
    </row>
    <row r="150" spans="1:16">
      <c r="A150" s="45">
        <v>148</v>
      </c>
      <c r="B150" s="26" t="str">
        <f>'Raw data'!B146</f>
        <v>여</v>
      </c>
      <c r="C150" s="26" t="str">
        <f>'Raw data'!C146</f>
        <v>이지수</v>
      </c>
      <c r="D150" s="26">
        <f>'Raw data'!F146</f>
        <v>35</v>
      </c>
      <c r="E150" s="26">
        <f>'Raw data'!H146</f>
        <v>167</v>
      </c>
      <c r="F150" s="26" t="str">
        <f>'Raw data'!E146</f>
        <v>경영지원부 총무</v>
      </c>
      <c r="G150" s="26" t="str">
        <f>'Raw data'!G146</f>
        <v>31~38</v>
      </c>
      <c r="H150" s="26" t="str">
        <f>'Raw data'!I146</f>
        <v>175~</v>
      </c>
      <c r="I150" s="26" t="str">
        <f>'Raw data'!J146</f>
        <v>ISFJ</v>
      </c>
      <c r="J150" s="26" t="str">
        <f>'Raw data'!K146</f>
        <v>ISTP</v>
      </c>
      <c r="K150" s="26" t="str">
        <f>'Raw data'!L146</f>
        <v>무교</v>
      </c>
      <c r="L150" s="26" t="str">
        <f>'Raw data'!M146</f>
        <v>무관</v>
      </c>
      <c r="M150" s="26" t="str">
        <f>'Raw data'!P146</f>
        <v>무관</v>
      </c>
      <c r="N150" s="26" t="str">
        <f>'Raw data'!N146</f>
        <v>웃음이 많고 배려심이 깊은 사람</v>
      </c>
      <c r="O150" s="26" t="str">
        <f>'Raw data'!O146</f>
        <v>키크고 내사람에게만 다정하고 안정적인 사람</v>
      </c>
      <c r="P150" s="26">
        <f>'Raw data'!Q146</f>
        <v>0</v>
      </c>
    </row>
    <row r="151" spans="1:16">
      <c r="A151" s="46">
        <v>149</v>
      </c>
      <c r="B151" s="26" t="str">
        <f>'Raw data'!B147</f>
        <v>여</v>
      </c>
      <c r="C151" s="26" t="str">
        <f>'Raw data'!C147</f>
        <v>이진미</v>
      </c>
      <c r="D151" s="26">
        <f>'Raw data'!F147</f>
        <v>30</v>
      </c>
      <c r="E151" s="26">
        <f>'Raw data'!H147</f>
        <v>155</v>
      </c>
      <c r="F151" s="26" t="str">
        <f>'Raw data'!E147</f>
        <v>현대카드 영업지원</v>
      </c>
      <c r="G151" s="26" t="str">
        <f>'Raw data'!G147</f>
        <v>31~38</v>
      </c>
      <c r="H151" s="26" t="str">
        <f>'Raw data'!I147</f>
        <v>170~180</v>
      </c>
      <c r="I151" s="26" t="str">
        <f>'Raw data'!J147</f>
        <v>ESFJ</v>
      </c>
      <c r="J151" s="26" t="str">
        <f>'Raw data'!K147</f>
        <v>무관</v>
      </c>
      <c r="K151" s="26" t="str">
        <f>'Raw data'!L147</f>
        <v>무교</v>
      </c>
      <c r="L151" s="26" t="str">
        <f>'Raw data'!M147</f>
        <v>무관</v>
      </c>
      <c r="M151" s="26" t="str">
        <f>'Raw data'!P147</f>
        <v>회사원, 무관</v>
      </c>
      <c r="N151" s="26" t="str">
        <f>'Raw data'!N147</f>
        <v>밝고 다정다감한 테토녀</v>
      </c>
      <c r="O151" s="26" t="str">
        <f>'Raw data'!O147</f>
        <v>표현 잘하고 말을 이쁘게 하는 테토남</v>
      </c>
      <c r="P151" s="26">
        <f>'Raw data'!Q147</f>
        <v>0</v>
      </c>
    </row>
    <row r="152" spans="1:16">
      <c r="A152" s="46">
        <v>150</v>
      </c>
      <c r="B152" s="26" t="str">
        <f>'Raw data'!B148</f>
        <v>남</v>
      </c>
      <c r="C152" s="26" t="str">
        <f>'Raw data'!C148</f>
        <v>이창우</v>
      </c>
      <c r="D152" s="26">
        <f>'Raw data'!F148</f>
        <v>31</v>
      </c>
      <c r="E152" s="26">
        <f>'Raw data'!H148</f>
        <v>170</v>
      </c>
      <c r="F152" s="26" t="str">
        <f>'Raw data'!E148</f>
        <v>물리치료사</v>
      </c>
      <c r="G152" s="26" t="str">
        <f>'Raw data'!G148</f>
        <v>24~34</v>
      </c>
      <c r="H152" s="26" t="str">
        <f>'Raw data'!I148</f>
        <v>~165</v>
      </c>
      <c r="I152" s="26" t="str">
        <f>'Raw data'!J148</f>
        <v>ESFJ</v>
      </c>
      <c r="J152" s="26" t="str">
        <f>'Raw data'!K148</f>
        <v>무관</v>
      </c>
      <c r="K152" s="26" t="str">
        <f>'Raw data'!L148</f>
        <v>무교</v>
      </c>
      <c r="L152" s="26" t="str">
        <f>'Raw data'!M148</f>
        <v>동일</v>
      </c>
      <c r="M152" s="26" t="str">
        <f>'Raw data'!P148</f>
        <v>무관</v>
      </c>
      <c r="N152" s="26" t="str">
        <f>'Raw data'!N148</f>
        <v>착하다 섬세하다 활발하다</v>
      </c>
      <c r="O152" s="26" t="str">
        <f>'Raw data'!O148</f>
        <v>밝고 긍정적인 사람</v>
      </c>
      <c r="P152" s="26">
        <f>'Raw data'!Q148</f>
        <v>0</v>
      </c>
    </row>
    <row r="153" spans="1:16">
      <c r="A153" s="45">
        <v>151</v>
      </c>
      <c r="B153" s="26" t="str">
        <f>'Raw data'!B149</f>
        <v>여</v>
      </c>
      <c r="C153" s="26" t="str">
        <f>'Raw data'!C149</f>
        <v>이하승</v>
      </c>
      <c r="D153" s="26">
        <f>'Raw data'!F149</f>
        <v>38</v>
      </c>
      <c r="E153" s="26">
        <f>'Raw data'!H149</f>
        <v>169</v>
      </c>
      <c r="F153" s="26" t="str">
        <f>'Raw data'!E149</f>
        <v>실내건축업 사업체 운영</v>
      </c>
      <c r="G153" s="26" t="str">
        <f>'Raw data'!G149</f>
        <v>35~41</v>
      </c>
      <c r="H153" s="26" t="str">
        <f>'Raw data'!I149</f>
        <v>175~</v>
      </c>
      <c r="I153" s="26" t="str">
        <f>'Raw data'!J149</f>
        <v>ESFP</v>
      </c>
      <c r="J153" s="26" t="str">
        <f>'Raw data'!K149</f>
        <v>무관, ISTJ, ISFJ, ENFJ, ESFJ</v>
      </c>
      <c r="K153" s="26" t="str">
        <f>'Raw data'!L149</f>
        <v>무교</v>
      </c>
      <c r="L153" s="26" t="str">
        <f>'Raw data'!M149</f>
        <v>동일</v>
      </c>
      <c r="M153" s="26" t="str">
        <f>'Raw data'!P149</f>
        <v>무관</v>
      </c>
      <c r="N153" s="26" t="str">
        <f>'Raw data'!N149</f>
        <v>밝고 웃음이 많음, 애정표현잘함, 술담배x, 자기관리 꾸준히 하는편</v>
      </c>
      <c r="O153" s="26" t="str">
        <f>'Raw data'!O149</f>
        <v>차분하고 대화 티키타카 잘되는 사람, 다정하고 섬세한 사람, 술담배x, 자기관리하고 패션 센스(깔끔)있는 사람</v>
      </c>
      <c r="P153" s="26">
        <f>'Raw data'!Q149</f>
        <v>0</v>
      </c>
    </row>
    <row r="154" spans="1:16">
      <c r="A154" s="46">
        <v>152</v>
      </c>
      <c r="B154" s="26" t="str">
        <f>'Raw data'!B150</f>
        <v>여</v>
      </c>
      <c r="C154" s="26" t="str">
        <f>'Raw data'!C150</f>
        <v>이한나</v>
      </c>
      <c r="D154" s="26">
        <f>'Raw data'!F150</f>
        <v>37</v>
      </c>
      <c r="E154" s="26">
        <f>'Raw data'!H150</f>
        <v>164</v>
      </c>
      <c r="F154" s="26" t="str">
        <f>'Raw data'!E150</f>
        <v>치위생사 치과 실장직</v>
      </c>
      <c r="G154" s="26" t="str">
        <f>'Raw data'!G150</f>
        <v>35~</v>
      </c>
      <c r="H154" s="26" t="str">
        <f>'Raw data'!I150</f>
        <v>180~</v>
      </c>
      <c r="I154" s="26" t="str">
        <f>'Raw data'!J150</f>
        <v>ISFP</v>
      </c>
      <c r="J154" s="26" t="str">
        <f>'Raw data'!K150</f>
        <v>무관</v>
      </c>
      <c r="K154" s="26" t="str">
        <f>'Raw data'!L150</f>
        <v>무교</v>
      </c>
      <c r="L154" s="26" t="str">
        <f>'Raw data'!M150</f>
        <v>동일</v>
      </c>
      <c r="M154" s="26" t="str">
        <f>'Raw data'!P150</f>
        <v>병원직군, 자영업, 공무원</v>
      </c>
      <c r="N154" s="26" t="str">
        <f>'Raw data'!N150</f>
        <v>긍정적인,성실한</v>
      </c>
      <c r="O154" s="26" t="str">
        <f>'Raw data'!O150</f>
        <v>성실하고,다정한</v>
      </c>
      <c r="P154" s="26">
        <f>'Raw data'!Q150</f>
        <v>0</v>
      </c>
    </row>
    <row r="155" spans="1:16">
      <c r="A155" s="46">
        <v>153</v>
      </c>
      <c r="B155" s="26" t="str">
        <f>'Raw data'!B151</f>
        <v>여</v>
      </c>
      <c r="C155" s="26" t="str">
        <f>'Raw data'!C151</f>
        <v>이희영</v>
      </c>
      <c r="D155" s="26">
        <f>'Raw data'!F151</f>
        <v>32</v>
      </c>
      <c r="E155" s="26">
        <f>'Raw data'!H151</f>
        <v>170</v>
      </c>
      <c r="F155" s="26" t="str">
        <f>'Raw data'!E151</f>
        <v>의료기기, 인허가(규제전문가)</v>
      </c>
      <c r="G155" s="26" t="str">
        <f>'Raw data'!G151</f>
        <v>35~38</v>
      </c>
      <c r="H155" s="26" t="str">
        <f>'Raw data'!I151</f>
        <v>175~</v>
      </c>
      <c r="I155" s="26" t="str">
        <f>'Raw data'!J151</f>
        <v>ISTP</v>
      </c>
      <c r="J155" s="26" t="str">
        <f>'Raw data'!K151</f>
        <v>ISFP, INFJ, ISTJ, INTJ, ISFJ, ESFP, ESFJ, ENTJ, ESTJ</v>
      </c>
      <c r="K155" s="26" t="str">
        <f>'Raw data'!L151</f>
        <v>기독교</v>
      </c>
      <c r="L155" s="26" t="str">
        <f>'Raw data'!M151</f>
        <v>동일, 무관</v>
      </c>
      <c r="M155" s="26" t="str">
        <f>'Raw data'!P151</f>
        <v>공무원</v>
      </c>
      <c r="N155" s="26" t="str">
        <f>'Raw data'!N151</f>
        <v>예쁜사람</v>
      </c>
      <c r="O155" s="26" t="str">
        <f>'Raw data'!O151</f>
        <v>자기 일을 좋아하는 사람</v>
      </c>
      <c r="P155" s="26" t="str">
        <f>'Raw data'!Q151</f>
        <v>제가 수원사는데 너무 강북만 아니면 좋을거 같아요..</v>
      </c>
    </row>
    <row r="156" spans="1:16">
      <c r="A156" s="45">
        <v>154</v>
      </c>
      <c r="B156" s="26" t="str">
        <f>'Raw data'!B152</f>
        <v>여</v>
      </c>
      <c r="C156" s="26" t="str">
        <f>'Raw data'!C152</f>
        <v>임경선</v>
      </c>
      <c r="D156" s="26">
        <f>'Raw data'!F152</f>
        <v>30</v>
      </c>
      <c r="E156" s="26">
        <f>'Raw data'!H152</f>
        <v>170</v>
      </c>
      <c r="F156" s="26" t="str">
        <f>'Raw data'!E152</f>
        <v>SMC 광고회사 디자인팀</v>
      </c>
      <c r="G156" s="26" t="str">
        <f>'Raw data'!G152</f>
        <v>28~34</v>
      </c>
      <c r="H156" s="26" t="str">
        <f>'Raw data'!I152</f>
        <v>180~</v>
      </c>
      <c r="I156" s="26" t="str">
        <f>'Raw data'!J152</f>
        <v>INTP</v>
      </c>
      <c r="J156" s="26" t="str">
        <f>'Raw data'!K152</f>
        <v>ISFP, INTP, ISTP, INFJ, ISTJ, INTJ, ISFJ, ESFP, ENFJ, ESFJ, ENTP, ESTP, ENTJ, ESTJ</v>
      </c>
      <c r="K156" s="26" t="str">
        <f>'Raw data'!L152</f>
        <v>무교</v>
      </c>
      <c r="L156" s="26" t="str">
        <f>'Raw data'!M152</f>
        <v>무관</v>
      </c>
      <c r="M156" s="26" t="str">
        <f>'Raw data'!P152</f>
        <v>자영업</v>
      </c>
      <c r="N156" s="26" t="str">
        <f>'Raw data'!N152</f>
        <v>잘 웃고 성실하고 건강한 일상 루틴 실천하는 사람입니다.</v>
      </c>
      <c r="O156" s="26" t="str">
        <f>'Raw data'!O152</f>
        <v>듬직하고 무던하시면서 성실하신 분을 선호합니다.</v>
      </c>
      <c r="P156" s="26">
        <f>'Raw data'!Q152</f>
        <v>0</v>
      </c>
    </row>
    <row r="157" spans="1:16">
      <c r="A157" s="46">
        <v>155</v>
      </c>
      <c r="B157" s="26" t="str">
        <f>'Raw data'!B153</f>
        <v>남</v>
      </c>
      <c r="C157" s="26" t="str">
        <f>'Raw data'!C153</f>
        <v>임동국</v>
      </c>
      <c r="D157" s="26">
        <f>'Raw data'!F153</f>
        <v>42</v>
      </c>
      <c r="E157" s="26">
        <f>'Raw data'!H153</f>
        <v>174</v>
      </c>
      <c r="F157" s="26" t="str">
        <f>'Raw data'!E153</f>
        <v>디앤지관세사무소 대표 (관세사)</v>
      </c>
      <c r="G157" s="26" t="str">
        <f>'Raw data'!G153</f>
        <v>31~38</v>
      </c>
      <c r="H157" s="26" t="str">
        <f>'Raw data'!I153</f>
        <v>160~175</v>
      </c>
      <c r="I157" s="26" t="str">
        <f>'Raw data'!J153</f>
        <v>INTP</v>
      </c>
      <c r="J157" s="26" t="str">
        <f>'Raw data'!K153</f>
        <v>무관</v>
      </c>
      <c r="K157" s="26" t="str">
        <f>'Raw data'!L153</f>
        <v>무교, 천주교, 불교</v>
      </c>
      <c r="L157" s="26" t="str">
        <f>'Raw data'!M153</f>
        <v>무관</v>
      </c>
      <c r="M157" s="26" t="str">
        <f>'Raw data'!P153</f>
        <v>무관</v>
      </c>
      <c r="N157" s="26" t="str">
        <f>'Raw data'!N153</f>
        <v>일잘하고 성실하고 자상한사람</v>
      </c>
      <c r="O157" s="26" t="str">
        <f>'Raw data'!O153</f>
        <v>밝고 긍정적이고 잘 웃으시는 분</v>
      </c>
      <c r="P157" s="26" t="str">
        <f>'Raw data'!Q153</f>
        <v>잘부탁드립니다 😊</v>
      </c>
    </row>
    <row r="158" spans="1:16">
      <c r="A158" s="46">
        <v>156</v>
      </c>
      <c r="B158" s="26" t="str">
        <f>'Raw data'!B154</f>
        <v>남</v>
      </c>
      <c r="C158" s="26" t="str">
        <f>'Raw data'!C154</f>
        <v>임용관</v>
      </c>
      <c r="D158" s="26">
        <f>'Raw data'!F154</f>
        <v>34</v>
      </c>
      <c r="E158" s="26">
        <f>'Raw data'!H154</f>
        <v>173</v>
      </c>
      <c r="F158" s="26" t="str">
        <f>'Raw data'!E154</f>
        <v>회사원 / 개발자</v>
      </c>
      <c r="G158" s="26" t="str">
        <f>'Raw data'!G154</f>
        <v>무관</v>
      </c>
      <c r="H158" s="26" t="str">
        <f>'Raw data'!I154</f>
        <v>165~170</v>
      </c>
      <c r="I158" s="26" t="str">
        <f>'Raw data'!J154</f>
        <v>ENTJ</v>
      </c>
      <c r="J158" s="26" t="str">
        <f>'Raw data'!K154</f>
        <v>INFP, ISFP, INTP, INFJ, ISTJ, INTJ, ISFJ, ENFP, ESFP, ENFJ, ESFJ, ENTP, ESTP, ENTJ, ESTJ</v>
      </c>
      <c r="K158" s="26" t="str">
        <f>'Raw data'!L154</f>
        <v>무교</v>
      </c>
      <c r="L158" s="26" t="str">
        <f>'Raw data'!M154</f>
        <v>무관</v>
      </c>
      <c r="M158" s="26" t="str">
        <f>'Raw data'!P154</f>
        <v>무관</v>
      </c>
      <c r="N158" s="26" t="str">
        <f>'Raw data'!N154</f>
        <v>일할 때는 집중해서 끝까지 파고드는 편이지만 평소에는 편하게 웃고 대화하는 시간을 좋아하는 사람입니다.
운동과 자기관리를 꾸준히 하면서 균형 있는 삶을 지향하고 있습니다.</v>
      </c>
      <c r="O158" s="26" t="str">
        <f>'Raw data'!O154</f>
        <v>잘 웃고 밝은 에너지를 가진 분에게 자연스럽게 끌립니다. 외적으로는 고양이상이나 여우상처럼 분위기가 또렷한 분을 선호하고, 웃을 때 매력이 느껴지는 분에게 호감을 느끼는 편입니다.</v>
      </c>
      <c r="P158" s="26">
        <f>'Raw data'!Q154</f>
        <v>0</v>
      </c>
    </row>
    <row r="159" spans="1:16">
      <c r="A159" s="45">
        <v>157</v>
      </c>
      <c r="B159" s="26" t="str">
        <f>'Raw data'!B155</f>
        <v>여</v>
      </c>
      <c r="C159" s="26" t="str">
        <f>'Raw data'!C155</f>
        <v>임지현</v>
      </c>
      <c r="D159" s="26">
        <f>'Raw data'!F155</f>
        <v>33</v>
      </c>
      <c r="E159" s="26">
        <f>'Raw data'!H155</f>
        <v>157</v>
      </c>
      <c r="F159" s="26" t="str">
        <f>'Raw data'!E155</f>
        <v>신한DS 라이프개발팀(신한라이프)</v>
      </c>
      <c r="G159" s="26" t="str">
        <f>'Raw data'!G155</f>
        <v>31~38</v>
      </c>
      <c r="H159" s="26" t="str">
        <f>'Raw data'!I155</f>
        <v>175~</v>
      </c>
      <c r="I159" s="26" t="str">
        <f>'Raw data'!J155</f>
        <v>ISTP</v>
      </c>
      <c r="J159" s="26" t="str">
        <f>'Raw data'!K155</f>
        <v>ISFP, INTP, ISTP, ISTJ, INTJ, ISFJ, ESFP, ESFJ, ENTP, ESTP, ENTJ, ESTJ</v>
      </c>
      <c r="K159" s="26" t="str">
        <f>'Raw data'!L155</f>
        <v>무교</v>
      </c>
      <c r="L159" s="26" t="str">
        <f>'Raw data'!M155</f>
        <v>무관</v>
      </c>
      <c r="M159" s="26" t="str">
        <f>'Raw data'!P155</f>
        <v>무관</v>
      </c>
      <c r="N159" s="26" t="str">
        <f>'Raw data'!N155</f>
        <v>솔찍하고 담백하지만 밝은 기운이 있는 사람</v>
      </c>
      <c r="O159" s="26" t="str">
        <f>'Raw data'!O155</f>
        <v>다정하고 솔찍하고 웃을때 예쁜 남자</v>
      </c>
      <c r="P159" s="26">
        <f>'Raw data'!Q155</f>
        <v>0</v>
      </c>
    </row>
    <row r="160" spans="1:16">
      <c r="A160" s="46">
        <v>158</v>
      </c>
      <c r="B160" s="26" t="str">
        <f>'Raw data'!B156</f>
        <v>여</v>
      </c>
      <c r="C160" s="26" t="str">
        <f>'Raw data'!C156</f>
        <v>임혜성</v>
      </c>
      <c r="D160" s="26">
        <f>'Raw data'!F156</f>
        <v>39</v>
      </c>
      <c r="E160" s="26">
        <f>'Raw data'!H156</f>
        <v>164</v>
      </c>
      <c r="F160" s="26" t="str">
        <f>'Raw data'!E156</f>
        <v>웹디자이너</v>
      </c>
      <c r="G160" s="26" t="str">
        <f>'Raw data'!G156</f>
        <v>35~41</v>
      </c>
      <c r="H160" s="26" t="str">
        <f>'Raw data'!I156</f>
        <v>175~180</v>
      </c>
      <c r="I160" s="26" t="str">
        <f>'Raw data'!J156</f>
        <v>ESFJ</v>
      </c>
      <c r="J160" s="26" t="str">
        <f>'Raw data'!K156</f>
        <v>ENFJ, ESFJ</v>
      </c>
      <c r="K160" s="26" t="str">
        <f>'Raw data'!L156</f>
        <v>무교, 불교</v>
      </c>
      <c r="L160" s="26" t="str">
        <f>'Raw data'!M156</f>
        <v>동일</v>
      </c>
      <c r="M160" s="26" t="str">
        <f>'Raw data'!P156</f>
        <v>무관</v>
      </c>
      <c r="N160" s="26" t="str">
        <f>'Raw data'!N156</f>
        <v xml:space="preserve">밝고 친근한사람? </v>
      </c>
      <c r="O160" s="26" t="str">
        <f>'Raw data'!O156</f>
        <v>진중하고 자상한분</v>
      </c>
      <c r="P160" s="26">
        <f>'Raw data'!Q156</f>
        <v>0</v>
      </c>
    </row>
    <row r="161" spans="1:16">
      <c r="A161" s="46">
        <v>159</v>
      </c>
      <c r="B161" s="26" t="str">
        <f>'Raw data'!B157</f>
        <v>여</v>
      </c>
      <c r="C161" s="26" t="str">
        <f>'Raw data'!C157</f>
        <v>장보리</v>
      </c>
      <c r="D161" s="26">
        <f>'Raw data'!F157</f>
        <v>38</v>
      </c>
      <c r="E161" s="26">
        <f>'Raw data'!H157</f>
        <v>164</v>
      </c>
      <c r="F161" s="26" t="str">
        <f>'Raw data'!E157</f>
        <v>경리회계</v>
      </c>
      <c r="G161" s="26" t="str">
        <f>'Raw data'!G157</f>
        <v>35~38</v>
      </c>
      <c r="H161" s="26" t="str">
        <f>'Raw data'!I157</f>
        <v>175~180</v>
      </c>
      <c r="I161" s="26" t="str">
        <f>'Raw data'!J157</f>
        <v>ESFP</v>
      </c>
      <c r="J161" s="26" t="str">
        <f>'Raw data'!K157</f>
        <v>무관, ESFJ</v>
      </c>
      <c r="K161" s="26" t="str">
        <f>'Raw data'!L157</f>
        <v>불교</v>
      </c>
      <c r="L161" s="26" t="str">
        <f>'Raw data'!M157</f>
        <v>동일</v>
      </c>
      <c r="M161" s="26" t="str">
        <f>'Raw data'!P157</f>
        <v>회사원</v>
      </c>
      <c r="N161" s="26" t="str">
        <f>'Raw data'!N157</f>
        <v>은근 예민하지만 리액션과 공감은 누구보다도 자신있는사람</v>
      </c>
      <c r="O161" s="26" t="str">
        <f>'Raw data'!O157</f>
        <v>자상하고성실하고유머코드가 맞는사람</v>
      </c>
      <c r="P161" s="26">
        <f>'Raw data'!Q157</f>
        <v>0</v>
      </c>
    </row>
    <row r="162" spans="1:16">
      <c r="A162" s="45">
        <v>160</v>
      </c>
      <c r="B162" s="26" t="str">
        <f>'Raw data'!B158</f>
        <v>여</v>
      </c>
      <c r="C162" s="26" t="str">
        <f>'Raw data'!C158</f>
        <v>장세라</v>
      </c>
      <c r="D162" s="26">
        <f>'Raw data'!F158</f>
        <v>38</v>
      </c>
      <c r="E162" s="26">
        <f>'Raw data'!H158</f>
        <v>160</v>
      </c>
      <c r="F162" s="26" t="str">
        <f>'Raw data'!E158</f>
        <v>초등학교 방과후 컴퓨터강사</v>
      </c>
      <c r="G162" s="26" t="str">
        <f>'Raw data'!G158</f>
        <v>38~</v>
      </c>
      <c r="H162" s="26" t="str">
        <f>'Raw data'!I158</f>
        <v>170~</v>
      </c>
      <c r="I162" s="26" t="str">
        <f>'Raw data'!J158</f>
        <v>ENFP</v>
      </c>
      <c r="J162" s="26" t="str">
        <f>'Raw data'!K158</f>
        <v>무관</v>
      </c>
      <c r="K162" s="26" t="str">
        <f>'Raw data'!L158</f>
        <v>무교</v>
      </c>
      <c r="L162" s="26" t="str">
        <f>'Raw data'!M158</f>
        <v>동일</v>
      </c>
      <c r="M162" s="26" t="str">
        <f>'Raw data'!P158</f>
        <v>무관</v>
      </c>
      <c r="N162" s="26" t="str">
        <f>'Raw data'!N158</f>
        <v>잘웃고,잘들어주는 사람,BBW</v>
      </c>
      <c r="O162" s="26" t="str">
        <f>'Raw data'!O158</f>
        <v>술,담배,게임 안하고 문신없고 연락 잘되고 나만 바라봐주는 남자</v>
      </c>
      <c r="P162" s="26">
        <f>'Raw data'!Q158</f>
        <v>0</v>
      </c>
    </row>
    <row r="163" spans="1:16">
      <c r="A163" s="46">
        <v>161</v>
      </c>
      <c r="B163" s="26" t="str">
        <f>'Raw data'!B159</f>
        <v>여</v>
      </c>
      <c r="C163" s="26" t="str">
        <f>'Raw data'!C159</f>
        <v>장승희</v>
      </c>
      <c r="D163" s="26">
        <f>'Raw data'!F159</f>
        <v>31</v>
      </c>
      <c r="E163" s="26">
        <f>'Raw data'!H159</f>
        <v>165</v>
      </c>
      <c r="F163" s="26" t="str">
        <f>'Raw data'!E159</f>
        <v>취준생입니다</v>
      </c>
      <c r="G163" s="26" t="str">
        <f>'Raw data'!G159</f>
        <v>28~41</v>
      </c>
      <c r="H163" s="26" t="str">
        <f>'Raw data'!I159</f>
        <v>175~</v>
      </c>
      <c r="I163" s="26" t="str">
        <f>'Raw data'!J159</f>
        <v>ESTP</v>
      </c>
      <c r="J163" s="26" t="str">
        <f>'Raw data'!K159</f>
        <v>ISTJ, ENTP</v>
      </c>
      <c r="K163" s="26" t="str">
        <f>'Raw data'!L159</f>
        <v>기독교</v>
      </c>
      <c r="L163" s="26" t="str">
        <f>'Raw data'!M159</f>
        <v>동일</v>
      </c>
      <c r="M163" s="26" t="str">
        <f>'Raw data'!P159</f>
        <v>무관</v>
      </c>
      <c r="N163" s="26" t="str">
        <f>'Raw data'!N159</f>
        <v>밝고 뒤끝없고 호탕하고 친화력좋운사람</v>
      </c>
      <c r="O163" s="26" t="str">
        <f>'Raw data'!O159</f>
        <v>다정하고 술,담배안하고 안정적인사람</v>
      </c>
      <c r="P163" s="26">
        <f>'Raw data'!Q159</f>
        <v>0</v>
      </c>
    </row>
    <row r="164" spans="1:16">
      <c r="A164" s="46">
        <v>162</v>
      </c>
      <c r="B164" s="26" t="str">
        <f>'Raw data'!B160</f>
        <v>여</v>
      </c>
      <c r="C164" s="26" t="str">
        <f>'Raw data'!C160</f>
        <v>장윤지</v>
      </c>
      <c r="D164" s="26">
        <f>'Raw data'!F160</f>
        <v>32</v>
      </c>
      <c r="E164" s="26">
        <f>'Raw data'!H160</f>
        <v>159</v>
      </c>
      <c r="F164" s="26" t="str">
        <f>'Raw data'!E160</f>
        <v>CG 제작관리팀</v>
      </c>
      <c r="G164" s="26" t="str">
        <f>'Raw data'!G160</f>
        <v>31~34</v>
      </c>
      <c r="H164" s="26" t="str">
        <f>'Raw data'!I160</f>
        <v>170~</v>
      </c>
      <c r="I164" s="26" t="str">
        <f>'Raw data'!J160</f>
        <v>ISTJ</v>
      </c>
      <c r="J164" s="26" t="str">
        <f>'Raw data'!K160</f>
        <v>무관</v>
      </c>
      <c r="K164" s="26" t="str">
        <f>'Raw data'!L160</f>
        <v>무교</v>
      </c>
      <c r="L164" s="26" t="str">
        <f>'Raw data'!M160</f>
        <v>무관</v>
      </c>
      <c r="M164" s="26" t="str">
        <f>'Raw data'!P160</f>
        <v>병원직군, 공무원</v>
      </c>
      <c r="N164" s="26" t="str">
        <f>'Raw data'!N160</f>
        <v>차분하고 내향적인 편이지만, 가까운 사람들에겐 편하고 따뜻한 사람이에요.
혼자 보내는 시간도 좋아하지만, 좋아하는 사람과 함께하는 시간은 더 소중하게 생각해요.
일이나 관계 모두 가볍게 넘기지 않는 편입니다.</v>
      </c>
      <c r="O164" s="26" t="str">
        <f>'Raw data'!O160</f>
        <v>차분하고 배려심 있는 분이 좋아요. 함께 있을 때 편안하고, 서로 존중하면서 오래 볼 수 있는 관계를 중요하게 생각합니다.</v>
      </c>
      <c r="P164" s="26">
        <f>'Raw data'!Q160</f>
        <v>0</v>
      </c>
    </row>
    <row r="165" spans="1:16">
      <c r="A165" s="45">
        <v>163</v>
      </c>
      <c r="B165" s="26" t="str">
        <f>'Raw data'!B161</f>
        <v>여</v>
      </c>
      <c r="C165" s="26" t="str">
        <f>'Raw data'!C161</f>
        <v>장지현</v>
      </c>
      <c r="D165" s="26">
        <f>'Raw data'!F161</f>
        <v>25</v>
      </c>
      <c r="E165" s="26">
        <f>'Raw data'!H161</f>
        <v>168</v>
      </c>
      <c r="F165" s="26" t="str">
        <f>'Raw data'!E161</f>
        <v>치과위생사</v>
      </c>
      <c r="G165" s="26" t="str">
        <f>'Raw data'!G161</f>
        <v>24~31</v>
      </c>
      <c r="H165" s="26" t="str">
        <f>'Raw data'!I161</f>
        <v>175~</v>
      </c>
      <c r="I165" s="26" t="str">
        <f>'Raw data'!J161</f>
        <v>ISFP</v>
      </c>
      <c r="J165" s="26" t="str">
        <f>'Raw data'!K161</f>
        <v>ENFJ, ESFJ</v>
      </c>
      <c r="K165" s="26" t="str">
        <f>'Raw data'!L161</f>
        <v>무교</v>
      </c>
      <c r="L165" s="26" t="str">
        <f>'Raw data'!M161</f>
        <v>동일</v>
      </c>
      <c r="M165" s="26" t="str">
        <f>'Raw data'!P161</f>
        <v>자영업</v>
      </c>
      <c r="N165" s="26" t="str">
        <f>'Raw data'!N161</f>
        <v>낯을 좀 가리지만 친해지면 재밌고 엉뚱한사람 !</v>
      </c>
      <c r="O165" s="26">
        <f>'Raw data'!O161</f>
        <v>0</v>
      </c>
      <c r="P165" s="26">
        <f>'Raw data'!Q161</f>
        <v>0</v>
      </c>
    </row>
    <row r="166" spans="1:16">
      <c r="A166" s="46">
        <v>164</v>
      </c>
      <c r="B166" s="26" t="str">
        <f>'Raw data'!B162</f>
        <v>여</v>
      </c>
      <c r="C166" s="26" t="str">
        <f>'Raw data'!C162</f>
        <v>전미현</v>
      </c>
      <c r="D166" s="26">
        <f>'Raw data'!F162</f>
        <v>36</v>
      </c>
      <c r="E166" s="26">
        <f>'Raw data'!H162</f>
        <v>161</v>
      </c>
      <c r="F166" s="26" t="str">
        <f>'Raw data'!E162</f>
        <v>간호보조 및 상담</v>
      </c>
      <c r="G166" s="26" t="str">
        <f>'Raw data'!G162</f>
        <v>35~41</v>
      </c>
      <c r="H166" s="26" t="str">
        <f>'Raw data'!I162</f>
        <v>175~</v>
      </c>
      <c r="I166" s="26" t="str">
        <f>'Raw data'!J162</f>
        <v>ISFP</v>
      </c>
      <c r="J166" s="26" t="str">
        <f>'Raw data'!K162</f>
        <v>ENFJ, ESFJ</v>
      </c>
      <c r="K166" s="26" t="str">
        <f>'Raw data'!L162</f>
        <v>무교</v>
      </c>
      <c r="L166" s="26" t="str">
        <f>'Raw data'!M162</f>
        <v>동일</v>
      </c>
      <c r="M166" s="26" t="str">
        <f>'Raw data'!P162</f>
        <v>무관</v>
      </c>
      <c r="N166" s="26" t="str">
        <f>'Raw data'!N162</f>
        <v>이타적인 사랑꾼?</v>
      </c>
      <c r="O166" s="26" t="str">
        <f>'Raw data'!O162</f>
        <v>안정적,다정다감,사랑꾼</v>
      </c>
      <c r="P166" s="26">
        <f>'Raw data'!Q162</f>
        <v>0</v>
      </c>
    </row>
    <row r="167" spans="1:16">
      <c r="A167" s="46">
        <v>165</v>
      </c>
      <c r="B167" s="26" t="str">
        <f>'Raw data'!B163</f>
        <v>여</v>
      </c>
      <c r="C167" s="26" t="str">
        <f>'Raw data'!C163</f>
        <v>전수영</v>
      </c>
      <c r="D167" s="26">
        <f>'Raw data'!F163</f>
        <v>33</v>
      </c>
      <c r="E167" s="26">
        <f>'Raw data'!H163</f>
        <v>162</v>
      </c>
      <c r="F167" s="26" t="str">
        <f>'Raw data'!E163</f>
        <v>(전 개발자) 필라테스강사</v>
      </c>
      <c r="G167" s="26" t="str">
        <f>'Raw data'!G163</f>
        <v>31~38</v>
      </c>
      <c r="H167" s="26" t="str">
        <f>'Raw data'!I163</f>
        <v>170~</v>
      </c>
      <c r="I167" s="26" t="str">
        <f>'Raw data'!J163</f>
        <v>ESTP</v>
      </c>
      <c r="J167" s="26" t="str">
        <f>'Raw data'!K163</f>
        <v>무관</v>
      </c>
      <c r="K167" s="26" t="str">
        <f>'Raw data'!L163</f>
        <v>무교</v>
      </c>
      <c r="L167" s="26" t="str">
        <f>'Raw data'!M163</f>
        <v>무관</v>
      </c>
      <c r="M167" s="26" t="str">
        <f>'Raw data'!P163</f>
        <v>무관</v>
      </c>
      <c r="N167" s="26" t="str">
        <f>'Raw data'!N163</f>
        <v>일에 열정이 있고 무던한 사람</v>
      </c>
      <c r="O167" s="26" t="str">
        <f>'Raw data'!O163</f>
        <v>다정하고 이야기 잘통하는 사람 자기 일에 열정이 있고 배우려고 노력하는 사람</v>
      </c>
      <c r="P167" s="26">
        <f>'Raw data'!Q163</f>
        <v>0</v>
      </c>
    </row>
    <row r="168" spans="1:16">
      <c r="A168" s="45">
        <v>166</v>
      </c>
      <c r="B168" s="26" t="str">
        <f>'Raw data'!B164</f>
        <v>여</v>
      </c>
      <c r="C168" s="26" t="str">
        <f>'Raw data'!C164</f>
        <v>전혜린</v>
      </c>
      <c r="D168" s="26">
        <f>'Raw data'!F164</f>
        <v>40</v>
      </c>
      <c r="E168" s="26">
        <f>'Raw data'!H164</f>
        <v>165</v>
      </c>
      <c r="F168" s="26" t="str">
        <f>'Raw data'!E164</f>
        <v>경찰병원 간호간병통합서비스 병동근무중</v>
      </c>
      <c r="G168" s="26" t="str">
        <f>'Raw data'!G164</f>
        <v>38~</v>
      </c>
      <c r="H168" s="26" t="str">
        <f>'Raw data'!I164</f>
        <v>무관</v>
      </c>
      <c r="I168" s="26" t="str">
        <f>'Raw data'!J164</f>
        <v>ESFJ</v>
      </c>
      <c r="J168" s="26" t="str">
        <f>'Raw data'!K164</f>
        <v>무관</v>
      </c>
      <c r="K168" s="26" t="str">
        <f>'Raw data'!L164</f>
        <v>무교</v>
      </c>
      <c r="L168" s="26" t="str">
        <f>'Raw data'!M164</f>
        <v>무관</v>
      </c>
      <c r="M168" s="26" t="str">
        <f>'Raw data'!P164</f>
        <v>자영업</v>
      </c>
      <c r="N168" s="26" t="str">
        <f>'Raw data'!N164</f>
        <v>유쾌하고 호탕함</v>
      </c>
      <c r="O168" s="26" t="str">
        <f>'Raw data'!O164</f>
        <v>차분한사람, 내말 잘들어주는 사람</v>
      </c>
      <c r="P168" s="26" t="str">
        <f>'Raw data'!Q164</f>
        <v>외모중심이라면 pass</v>
      </c>
    </row>
    <row r="169" spans="1:16">
      <c r="A169" s="46">
        <v>167</v>
      </c>
      <c r="B169" s="26" t="str">
        <f>'Raw data'!B165</f>
        <v>여</v>
      </c>
      <c r="C169" s="26" t="str">
        <f>'Raw data'!C165</f>
        <v>정다현</v>
      </c>
      <c r="D169" s="26">
        <f>'Raw data'!F165</f>
        <v>33</v>
      </c>
      <c r="E169" s="26">
        <f>'Raw data'!H165</f>
        <v>155</v>
      </c>
      <c r="F169" s="26" t="str">
        <f>'Raw data'!E165</f>
        <v>경영지원부 회계</v>
      </c>
      <c r="G169" s="26" t="str">
        <f>'Raw data'!G165</f>
        <v>28~38</v>
      </c>
      <c r="H169" s="26" t="str">
        <f>'Raw data'!I165</f>
        <v>170~</v>
      </c>
      <c r="I169" s="26" t="str">
        <f>'Raw data'!J165</f>
        <v>ISTJ</v>
      </c>
      <c r="J169" s="26" t="str">
        <f>'Raw data'!K165</f>
        <v>INFP, ISFP, INFJ, INTJ, ISFJ, ENFP, ESFP, ENFJ, ESFJ, ESTP, ENTJ, ESTJ</v>
      </c>
      <c r="K169" s="26" t="str">
        <f>'Raw data'!L165</f>
        <v>무교</v>
      </c>
      <c r="L169" s="26" t="str">
        <f>'Raw data'!M165</f>
        <v>동일</v>
      </c>
      <c r="M169" s="26" t="str">
        <f>'Raw data'!P165</f>
        <v>무관</v>
      </c>
      <c r="N169" s="26" t="str">
        <f>'Raw data'!N165</f>
        <v>조용하고 차분한 사람</v>
      </c>
      <c r="O169" s="26" t="str">
        <f>'Raw data'!O165</f>
        <v>일과 운동(헬스)을 열심히 하는 사람</v>
      </c>
      <c r="P169" s="26">
        <f>'Raw data'!Q165</f>
        <v>0</v>
      </c>
    </row>
    <row r="170" spans="1:16">
      <c r="A170" s="46">
        <v>168</v>
      </c>
      <c r="B170" s="26" t="str">
        <f>'Raw data'!B166</f>
        <v>여</v>
      </c>
      <c r="C170" s="26" t="str">
        <f>'Raw data'!C166</f>
        <v>정린</v>
      </c>
      <c r="D170" s="26">
        <f>'Raw data'!F166</f>
        <v>28</v>
      </c>
      <c r="E170" s="26">
        <f>'Raw data'!H166</f>
        <v>160</v>
      </c>
      <c r="F170" s="26" t="str">
        <f>'Raw data'!E166</f>
        <v>건설업 (건축감리-대리)</v>
      </c>
      <c r="G170" s="26" t="str">
        <f>'Raw data'!G166</f>
        <v>28~34</v>
      </c>
      <c r="H170" s="26" t="str">
        <f>'Raw data'!I166</f>
        <v>180~</v>
      </c>
      <c r="I170" s="26" t="str">
        <f>'Raw data'!J166</f>
        <v>INFJ</v>
      </c>
      <c r="J170" s="26" t="str">
        <f>'Raw data'!K166</f>
        <v>INFJ, ISFJ, ENFJ, ESFJ</v>
      </c>
      <c r="K170" s="26" t="str">
        <f>'Raw data'!L166</f>
        <v>무교</v>
      </c>
      <c r="L170" s="26" t="str">
        <f>'Raw data'!M166</f>
        <v>동일</v>
      </c>
      <c r="M170" s="26" t="str">
        <f>'Raw data'!P166</f>
        <v>무관</v>
      </c>
      <c r="N170" s="26" t="str">
        <f>'Raw data'!N166</f>
        <v>밝고 차분한 사람, 성실하고 자기관리 열씸히하는 빵순이+집순이</v>
      </c>
      <c r="O170" s="26" t="str">
        <f>'Raw data'!O166</f>
        <v>무쌍 강아지상 자기관리 잘하는</v>
      </c>
      <c r="P170" s="26">
        <f>'Raw data'!Q166</f>
        <v>0</v>
      </c>
    </row>
    <row r="171" spans="1:16">
      <c r="A171" s="45">
        <v>169</v>
      </c>
      <c r="B171" s="26" t="str">
        <f>'Raw data'!B167</f>
        <v>남</v>
      </c>
      <c r="C171" s="26" t="str">
        <f>'Raw data'!C167</f>
        <v>정유민</v>
      </c>
      <c r="D171" s="26">
        <f>'Raw data'!F167</f>
        <v>32</v>
      </c>
      <c r="E171" s="26">
        <f>'Raw data'!H167</f>
        <v>170</v>
      </c>
      <c r="F171" s="26" t="str">
        <f>'Raw data'!E167</f>
        <v xml:space="preserve">캐스팅디렉터 </v>
      </c>
      <c r="G171" s="26" t="str">
        <f>'Raw data'!G167</f>
        <v>28~34</v>
      </c>
      <c r="H171" s="26" t="str">
        <f>'Raw data'!I167</f>
        <v>~165</v>
      </c>
      <c r="I171" s="26" t="str">
        <f>'Raw data'!J167</f>
        <v>ISFP</v>
      </c>
      <c r="J171" s="26" t="str">
        <f>'Raw data'!K167</f>
        <v>무관</v>
      </c>
      <c r="K171" s="26" t="str">
        <f>'Raw data'!L167</f>
        <v>무교</v>
      </c>
      <c r="L171" s="26" t="str">
        <f>'Raw data'!M167</f>
        <v>동일</v>
      </c>
      <c r="M171" s="26" t="str">
        <f>'Raw data'!P167</f>
        <v>자영업, 공무원</v>
      </c>
      <c r="N171" s="26" t="str">
        <f>'Raw data'!N167</f>
        <v>요리를 좋아하는 사람</v>
      </c>
      <c r="O171" s="26" t="str">
        <f>'Raw data'!O167</f>
        <v>자기 일 열심히 하는 사람</v>
      </c>
      <c r="P171" s="26">
        <f>'Raw data'!Q167</f>
        <v>0</v>
      </c>
    </row>
    <row r="172" spans="1:16">
      <c r="A172" s="46">
        <v>170</v>
      </c>
      <c r="B172" s="26" t="str">
        <f>'Raw data'!B168</f>
        <v>여</v>
      </c>
      <c r="C172" s="26" t="str">
        <f>'Raw data'!C168</f>
        <v>정유진</v>
      </c>
      <c r="D172" s="26">
        <f>'Raw data'!F168</f>
        <v>36</v>
      </c>
      <c r="E172" s="26">
        <f>'Raw data'!H168</f>
        <v>156</v>
      </c>
      <c r="F172" s="26" t="str">
        <f>'Raw data'!E168</f>
        <v>환경+국제개발협력 분야 사업관리</v>
      </c>
      <c r="G172" s="26" t="str">
        <f>'Raw data'!G168</f>
        <v>31~ 무관</v>
      </c>
      <c r="H172" s="26" t="str">
        <f>'Raw data'!I168</f>
        <v>170~</v>
      </c>
      <c r="I172" s="26" t="str">
        <f>'Raw data'!J168</f>
        <v>ESTP</v>
      </c>
      <c r="J172" s="26" t="str">
        <f>'Raw data'!K168</f>
        <v>무관</v>
      </c>
      <c r="K172" s="26" t="str">
        <f>'Raw data'!L168</f>
        <v>무교</v>
      </c>
      <c r="L172" s="26" t="str">
        <f>'Raw data'!M168</f>
        <v>동일</v>
      </c>
      <c r="M172" s="26" t="str">
        <f>'Raw data'!P168</f>
        <v>무관</v>
      </c>
      <c r="N172" s="26" t="str">
        <f>'Raw data'!N168</f>
        <v>따뜻하고 재미를 추구하는 사람</v>
      </c>
      <c r="O172" s="26" t="str">
        <f>'Raw data'!O168</f>
        <v>장항준 영화감독</v>
      </c>
      <c r="P172" s="26">
        <f>'Raw data'!Q168</f>
        <v>0</v>
      </c>
    </row>
    <row r="173" spans="1:16">
      <c r="A173" s="46">
        <v>171</v>
      </c>
      <c r="B173" s="26" t="str">
        <f>'Raw data'!B169</f>
        <v>남</v>
      </c>
      <c r="C173" s="26" t="str">
        <f>'Raw data'!C169</f>
        <v>정재현</v>
      </c>
      <c r="D173" s="26">
        <f>'Raw data'!F169</f>
        <v>32</v>
      </c>
      <c r="E173" s="26">
        <f>'Raw data'!H169</f>
        <v>178</v>
      </c>
      <c r="F173" s="26" t="str">
        <f>'Raw data'!E169</f>
        <v>자영업 (요식업)</v>
      </c>
      <c r="G173" s="26" t="str">
        <f>'Raw data'!G169</f>
        <v>31~38</v>
      </c>
      <c r="H173" s="26" t="str">
        <f>'Raw data'!I169</f>
        <v>165~180</v>
      </c>
      <c r="I173" s="26" t="str">
        <f>'Raw data'!J169</f>
        <v>ENTP</v>
      </c>
      <c r="J173" s="26" t="str">
        <f>'Raw data'!K169</f>
        <v>INFP, INFJ, ISTJ, INTJ, ENTP, ESTP</v>
      </c>
      <c r="K173" s="26" t="str">
        <f>'Raw data'!L169</f>
        <v>무교</v>
      </c>
      <c r="L173" s="26" t="str">
        <f>'Raw data'!M169</f>
        <v>동일</v>
      </c>
      <c r="M173" s="26" t="str">
        <f>'Raw data'!P169</f>
        <v>무관</v>
      </c>
      <c r="N173" s="26" t="str">
        <f>'Raw data'!N169</f>
        <v>유쾌 다정 다감 어색한걸 편안하게 해주는 사람</v>
      </c>
      <c r="O173" s="26" t="str">
        <f>'Raw data'!O169</f>
        <v>피부가 햐얗고 흡연 문신 없는 사람</v>
      </c>
      <c r="P173" s="26">
        <f>'Raw data'!Q169</f>
        <v>0</v>
      </c>
    </row>
    <row r="174" spans="1:16">
      <c r="A174" s="45">
        <v>172</v>
      </c>
      <c r="B174" s="26" t="str">
        <f>'Raw data'!B170</f>
        <v>남</v>
      </c>
      <c r="C174" s="26" t="str">
        <f>'Raw data'!C170</f>
        <v>정지동</v>
      </c>
      <c r="D174" s="26">
        <f>'Raw data'!F170</f>
        <v>27</v>
      </c>
      <c r="E174" s="26">
        <f>'Raw data'!H170</f>
        <v>172</v>
      </c>
      <c r="F174" s="26" t="str">
        <f>'Raw data'!E170</f>
        <v>반도체 장비 프로그래머</v>
      </c>
      <c r="G174" s="26" t="str">
        <f>'Raw data'!G170</f>
        <v>24~27</v>
      </c>
      <c r="H174" s="26" t="str">
        <f>'Raw data'!I170</f>
        <v>~165</v>
      </c>
      <c r="I174" s="26" t="str">
        <f>'Raw data'!J170</f>
        <v>ESTP</v>
      </c>
      <c r="J174" s="26" t="str">
        <f>'Raw data'!K170</f>
        <v>무관</v>
      </c>
      <c r="K174" s="26" t="str">
        <f>'Raw data'!L170</f>
        <v>천주교</v>
      </c>
      <c r="L174" s="26" t="str">
        <f>'Raw data'!M170</f>
        <v>무관</v>
      </c>
      <c r="M174" s="26" t="str">
        <f>'Raw data'!P170</f>
        <v>무관</v>
      </c>
      <c r="N174" s="26" t="str">
        <f>'Raw data'!N170</f>
        <v>현실적이며 이성적이다, 감정의 폭이 크지 않으며 낯을 가리는 편이다. 하지만 좀 친해지면 재밌게 잘 하는 것 같다. 사람이 너무 많으면 말을 잘 못하는 편이며 오히려 소수일수록 편하게 말하는 것 같다. 친할수록 현실적으로 해결책을 같이 고민하며 오히려 낯선 사람은 공감을 잘 해주는 것 같다.</v>
      </c>
      <c r="O174" s="26" t="str">
        <f>'Raw data'!O170</f>
        <v>예의바르고 너무 감정적이지 않으며 반묶음 잘 어울리는분</v>
      </c>
      <c r="P174" s="26">
        <f>'Raw data'!Q170</f>
        <v>0</v>
      </c>
    </row>
    <row r="175" spans="1:16">
      <c r="A175" s="46">
        <v>173</v>
      </c>
      <c r="B175" s="26" t="str">
        <f>'Raw data'!B171</f>
        <v>여</v>
      </c>
      <c r="C175" s="26" t="str">
        <f>'Raw data'!C171</f>
        <v>조미현</v>
      </c>
      <c r="D175" s="26">
        <f>'Raw data'!F171</f>
        <v>33</v>
      </c>
      <c r="E175" s="26">
        <f>'Raw data'!H171</f>
        <v>166</v>
      </c>
      <c r="F175" s="26" t="str">
        <f>'Raw data'!E171</f>
        <v>IT에이전시회사 퍼블리싱 파트</v>
      </c>
      <c r="G175" s="26" t="str">
        <f>'Raw data'!G171</f>
        <v>28~38</v>
      </c>
      <c r="H175" s="26" t="str">
        <f>'Raw data'!I171</f>
        <v>180~</v>
      </c>
      <c r="I175" s="26" t="str">
        <f>'Raw data'!J171</f>
        <v>ISTJ</v>
      </c>
      <c r="J175" s="26" t="str">
        <f>'Raw data'!K171</f>
        <v>INFP, ISFP, ISTP, ISTJ, ISFJ, ESFP, ESFJ, ESTP, ENTJ, ESTJ</v>
      </c>
      <c r="K175" s="26" t="str">
        <f>'Raw data'!L171</f>
        <v>무교</v>
      </c>
      <c r="L175" s="26" t="str">
        <f>'Raw data'!M171</f>
        <v>무관</v>
      </c>
      <c r="M175" s="26" t="str">
        <f>'Raw data'!P171</f>
        <v>자영업</v>
      </c>
      <c r="N175" s="26" t="str">
        <f>'Raw data'!N171</f>
        <v>적당히 선 지킬줄 아는사람</v>
      </c>
      <c r="O175" s="26" t="str">
        <f>'Raw data'!O171</f>
        <v>배울점 많고 자기 할일 열심히 하고 미래 예측 가능한 사람</v>
      </c>
      <c r="P175" s="26">
        <f>'Raw data'!Q171</f>
        <v>0</v>
      </c>
    </row>
    <row r="176" spans="1:16">
      <c r="A176" s="46">
        <v>174</v>
      </c>
      <c r="B176" s="26" t="str">
        <f>'Raw data'!B172</f>
        <v>여</v>
      </c>
      <c r="C176" s="26" t="str">
        <f>'Raw data'!C172</f>
        <v>조소희</v>
      </c>
      <c r="D176" s="26">
        <f>'Raw data'!F172</f>
        <v>30</v>
      </c>
      <c r="E176" s="26">
        <f>'Raw data'!H172</f>
        <v>165</v>
      </c>
      <c r="F176" s="26" t="str">
        <f>'Raw data'!E172</f>
        <v>퇴사후 쉬는중</v>
      </c>
      <c r="G176" s="26" t="str">
        <f>'Raw data'!G172</f>
        <v>28~34</v>
      </c>
      <c r="H176" s="26" t="str">
        <f>'Raw data'!I172</f>
        <v>180~</v>
      </c>
      <c r="I176" s="26" t="str">
        <f>'Raw data'!J172</f>
        <v>ENFJ</v>
      </c>
      <c r="J176" s="26" t="str">
        <f>'Raw data'!K172</f>
        <v>무관</v>
      </c>
      <c r="K176" s="26">
        <f>'Raw data'!L172</f>
        <v>0</v>
      </c>
      <c r="L176" s="26" t="str">
        <f>'Raw data'!M172</f>
        <v>무관</v>
      </c>
      <c r="M176" s="26" t="str">
        <f>'Raw data'!P172</f>
        <v>자영업</v>
      </c>
      <c r="N176" s="26" t="str">
        <f>'Raw data'!N172</f>
        <v>몸과 마음이 건강한 사람</v>
      </c>
      <c r="O176" s="26" t="str">
        <f>'Raw data'!O172</f>
        <v>피지컬 좋고 언행 바르고 둥글둥글한 사람</v>
      </c>
      <c r="P176" s="26">
        <f>'Raw data'!Q172</f>
        <v>0</v>
      </c>
    </row>
    <row r="177" spans="1:16">
      <c r="A177" s="45">
        <v>175</v>
      </c>
      <c r="B177" s="26" t="str">
        <f>'Raw data'!B173</f>
        <v>여</v>
      </c>
      <c r="C177" s="26" t="str">
        <f>'Raw data'!C173</f>
        <v>조수영</v>
      </c>
      <c r="D177" s="26">
        <f>'Raw data'!F173</f>
        <v>34</v>
      </c>
      <c r="E177" s="26">
        <f>'Raw data'!H173</f>
        <v>160</v>
      </c>
      <c r="F177" s="26" t="str">
        <f>'Raw data'!E173</f>
        <v>교육업</v>
      </c>
      <c r="G177" s="26" t="str">
        <f>'Raw data'!G173</f>
        <v>31~38</v>
      </c>
      <c r="H177" s="26" t="str">
        <f>'Raw data'!I173</f>
        <v>175~</v>
      </c>
      <c r="I177" s="26" t="str">
        <f>'Raw data'!J173</f>
        <v>INFJ</v>
      </c>
      <c r="J177" s="26" t="str">
        <f>'Raw data'!K173</f>
        <v>무관, ENFJ</v>
      </c>
      <c r="K177" s="26" t="str">
        <f>'Raw data'!L173</f>
        <v>무교</v>
      </c>
      <c r="L177" s="26" t="str">
        <f>'Raw data'!M173</f>
        <v>동일, 무관</v>
      </c>
      <c r="M177" s="26" t="str">
        <f>'Raw data'!P173</f>
        <v>자영업</v>
      </c>
      <c r="N177" s="26" t="str">
        <f>'Raw data'!N173</f>
        <v>리액션좋고 친해지면 엉뚱한면이있음</v>
      </c>
      <c r="O177" s="26" t="str">
        <f>'Raw data'!O173</f>
        <v>선하고 두부상/다정하면서 무던한분</v>
      </c>
      <c r="P177" s="26">
        <f>'Raw data'!Q173</f>
        <v>0</v>
      </c>
    </row>
    <row r="178" spans="1:16">
      <c r="A178" s="46">
        <v>176</v>
      </c>
      <c r="B178" s="26" t="str">
        <f>'Raw data'!B174</f>
        <v>여</v>
      </c>
      <c r="C178" s="26" t="str">
        <f>'Raw data'!C174</f>
        <v>조수진</v>
      </c>
      <c r="D178" s="26">
        <f>'Raw data'!F174</f>
        <v>31</v>
      </c>
      <c r="E178" s="26">
        <f>'Raw data'!H174</f>
        <v>155</v>
      </c>
      <c r="F178" s="26" t="str">
        <f>'Raw data'!E174</f>
        <v>교사(중학교)</v>
      </c>
      <c r="G178" s="26" t="str">
        <f>'Raw data'!G174</f>
        <v>28~34</v>
      </c>
      <c r="H178" s="26" t="str">
        <f>'Raw data'!I174</f>
        <v>170~</v>
      </c>
      <c r="I178" s="26" t="str">
        <f>'Raw data'!J174</f>
        <v>ENFJ</v>
      </c>
      <c r="J178" s="26" t="str">
        <f>'Raw data'!K174</f>
        <v>무관</v>
      </c>
      <c r="K178" s="26" t="str">
        <f>'Raw data'!L174</f>
        <v>무교</v>
      </c>
      <c r="L178" s="26" t="str">
        <f>'Raw data'!M174</f>
        <v>동일</v>
      </c>
      <c r="M178" s="26" t="str">
        <f>'Raw data'!P174</f>
        <v>무관</v>
      </c>
      <c r="N178" s="26" t="str">
        <f>'Raw data'!N174</f>
        <v>밝고 긍정적이고 일에도 열정이 가득한 사람. 사람을 좋아하고 웃음이 많음. 책임감이 강하고 남을 배려하는 사람. 거절을 잘 못 함. 책과 음악을 좋아하고 영화나 드라마도 좋아함. 운명적인 사랑을 믿고 운명을 기다리는 사람. 상처도 잘 받지만 또 금새 털어버리는 사람(잘 까먹음). 동물을 사랑하고 세상에 긍정적인 영향력을 조금이라도 미치고 싶은 사람. 바르게 살기 위해 노력하는 사람. 같이 있는 사람(친구나 연인)에게 동화가 잘 되는 편.</v>
      </c>
      <c r="O178" s="26" t="str">
        <f>'Raw data'!O174</f>
        <v>듬직하고 다정한 사람. 성격이 선하고 바른 사람. 담배를 피지 않고, 운동을 좋아하는 사람. 대화가 잘 통하고 편안하면서도 같이 있는게 너무 즐거운 사람. 웃음 코드가 잘 맞고, 다른 사람에게 상처주는 말이나 행동을 웃음 소재로 쓰지 않는 사람. 기본적인 예의가 있는 사람. 자기 일에 열정적인 사람. 내면이 단단하고 말을 예쁘게 하는 사람.</v>
      </c>
      <c r="P178" s="26" t="str">
        <f>'Raw data'!Q174</f>
        <v>직업 무관이라고 했지만 교사는 아니었으면 좋겠습니다. 운명을 만나면 좋겠지만 아니더라도 베이킹이 너무 기대됩니다!</v>
      </c>
    </row>
    <row r="179" spans="1:16">
      <c r="A179" s="46">
        <v>177</v>
      </c>
      <c r="B179" s="26" t="str">
        <f>'Raw data'!B175</f>
        <v>여</v>
      </c>
      <c r="C179" s="26" t="str">
        <f>'Raw data'!C175</f>
        <v>조시연</v>
      </c>
      <c r="D179" s="26">
        <f>'Raw data'!F175</f>
        <v>33</v>
      </c>
      <c r="E179" s="26">
        <f>'Raw data'!H175</f>
        <v>158</v>
      </c>
      <c r="F179" s="26" t="str">
        <f>'Raw data'!E175</f>
        <v>공무원(연구직, 7급)</v>
      </c>
      <c r="G179" s="26" t="str">
        <f>'Raw data'!G175</f>
        <v>31~38</v>
      </c>
      <c r="H179" s="26" t="str">
        <f>'Raw data'!I175</f>
        <v>175~180</v>
      </c>
      <c r="I179" s="26" t="str">
        <f>'Raw data'!J175</f>
        <v>ESTJ</v>
      </c>
      <c r="J179" s="26" t="str">
        <f>'Raw data'!K175</f>
        <v>ISTJ, ISFJ, ESFJ</v>
      </c>
      <c r="K179" s="26" t="str">
        <f>'Raw data'!L175</f>
        <v>무교</v>
      </c>
      <c r="L179" s="26" t="str">
        <f>'Raw data'!M175</f>
        <v>동일</v>
      </c>
      <c r="M179" s="26" t="str">
        <f>'Raw data'!P175</f>
        <v>자영업</v>
      </c>
      <c r="N179" s="26" t="str">
        <f>'Raw data'!N175</f>
        <v>따뜻하지만 야무지고 귀여운 사람 🙂</v>
      </c>
      <c r="O179" s="26" t="str">
        <f>'Raw data'!O175</f>
        <v>책임감 있고, 성실하며 안정적인 사람</v>
      </c>
      <c r="P179" s="26">
        <f>'Raw data'!Q175</f>
        <v>0</v>
      </c>
    </row>
    <row r="180" spans="1:16">
      <c r="A180" s="45">
        <v>178</v>
      </c>
      <c r="B180" s="26" t="str">
        <f>'Raw data'!B176</f>
        <v>여</v>
      </c>
      <c r="C180" s="26" t="str">
        <f>'Raw data'!C176</f>
        <v>조아딘</v>
      </c>
      <c r="D180" s="26">
        <f>'Raw data'!F176</f>
        <v>32</v>
      </c>
      <c r="E180" s="26">
        <f>'Raw data'!H176</f>
        <v>160</v>
      </c>
      <c r="F180" s="26" t="str">
        <f>'Raw data'!E176</f>
        <v>국립중앙박물관회 사무직</v>
      </c>
      <c r="G180" s="26" t="str">
        <f>'Raw data'!G176</f>
        <v>28~34</v>
      </c>
      <c r="H180" s="26" t="str">
        <f>'Raw data'!I176</f>
        <v>175~</v>
      </c>
      <c r="I180" s="26" t="str">
        <f>'Raw data'!J176</f>
        <v>ESTJ</v>
      </c>
      <c r="J180" s="26" t="str">
        <f>'Raw data'!K176</f>
        <v>무관</v>
      </c>
      <c r="K180" s="26" t="str">
        <f>'Raw data'!L176</f>
        <v>무교</v>
      </c>
      <c r="L180" s="26">
        <f>'Raw data'!M176</f>
        <v>0</v>
      </c>
      <c r="M180" s="26" t="str">
        <f>'Raw data'!P176</f>
        <v>무관</v>
      </c>
      <c r="N180" s="26" t="str">
        <f>'Raw data'!N176</f>
        <v>생각이 깊고 스스로의 기준이 분명한 편</v>
      </c>
      <c r="O180" s="26" t="str">
        <f>'Raw data'!O176</f>
        <v>바르고 표현을 잘하는, 운동을 취미로 갖고 있는 사람</v>
      </c>
      <c r="P180" s="26">
        <f>'Raw data'!Q176</f>
        <v>0</v>
      </c>
    </row>
    <row r="181" spans="1:16">
      <c r="A181" s="46">
        <v>179</v>
      </c>
      <c r="B181" s="26" t="str">
        <f>'Raw data'!B177</f>
        <v>여</v>
      </c>
      <c r="C181" s="26" t="str">
        <f>'Raw data'!C177</f>
        <v>조아라</v>
      </c>
      <c r="D181" s="26">
        <f>'Raw data'!F177</f>
        <v>36</v>
      </c>
      <c r="E181" s="26">
        <f>'Raw data'!H177</f>
        <v>156</v>
      </c>
      <c r="F181" s="26" t="str">
        <f>'Raw data'!E177</f>
        <v>중랑구청직장어린이집/보육교사</v>
      </c>
      <c r="G181" s="26" t="str">
        <f>'Raw data'!G177</f>
        <v>35~41</v>
      </c>
      <c r="H181" s="26" t="str">
        <f>'Raw data'!I177</f>
        <v>170~180</v>
      </c>
      <c r="I181" s="26" t="str">
        <f>'Raw data'!J177</f>
        <v>I(E)SFJ</v>
      </c>
      <c r="J181" s="26" t="str">
        <f>'Raw data'!K177</f>
        <v>무관</v>
      </c>
      <c r="K181" s="26" t="str">
        <f>'Raw data'!L177</f>
        <v>무교, 기독교</v>
      </c>
      <c r="L181" s="26" t="str">
        <f>'Raw data'!M177</f>
        <v>무관</v>
      </c>
      <c r="M181" s="26" t="str">
        <f>'Raw data'!P177</f>
        <v>무관</v>
      </c>
      <c r="N181" s="26" t="str">
        <f>'Raw data'!N177</f>
        <v>낯가림이 있지만 친해지면 밝고 긍정적이며 솔직한 모습이 보이는 사람인 것 같아요!</v>
      </c>
      <c r="O181" s="26" t="str">
        <f>'Raw data'!O177</f>
        <v>선하고 감정기복이 심하지 않은 분 무쌍?</v>
      </c>
      <c r="P181" s="26">
        <f>'Raw data'!Q177</f>
        <v>0</v>
      </c>
    </row>
    <row r="182" spans="1:16">
      <c r="A182" s="46">
        <v>180</v>
      </c>
      <c r="B182" s="26" t="str">
        <f>'Raw data'!B178</f>
        <v>여</v>
      </c>
      <c r="C182" s="26" t="str">
        <f>'Raw data'!C178</f>
        <v>조정연</v>
      </c>
      <c r="D182" s="26">
        <f>'Raw data'!F178</f>
        <v>34</v>
      </c>
      <c r="E182" s="26">
        <f>'Raw data'!H178</f>
        <v>160</v>
      </c>
      <c r="F182" s="26" t="str">
        <f>'Raw data'!E178</f>
        <v>쇼핑몰</v>
      </c>
      <c r="G182" s="26" t="str">
        <f>'Raw data'!G178</f>
        <v>28~38</v>
      </c>
      <c r="H182" s="26" t="str">
        <f>'Raw data'!I178</f>
        <v>165~</v>
      </c>
      <c r="I182" s="26" t="str">
        <f>'Raw data'!J178</f>
        <v>ENTP/ENFP</v>
      </c>
      <c r="J182" s="26" t="str">
        <f>'Raw data'!K178</f>
        <v>ISFP, INTP, ISTP, ISTJ, INTJ</v>
      </c>
      <c r="K182" s="26" t="str">
        <f>'Raw data'!L178</f>
        <v>무교, 천주교</v>
      </c>
      <c r="L182" s="26" t="str">
        <f>'Raw data'!M178</f>
        <v>무관</v>
      </c>
      <c r="M182" s="26" t="str">
        <f>'Raw data'!P178</f>
        <v>병원직군, 기술직, 자영업, 연구직, 회사원, 무관</v>
      </c>
      <c r="N182" s="26" t="str">
        <f>'Raw data'!N178</f>
        <v>동물사랑하고 책임감강하고 다소 개인주의</v>
      </c>
      <c r="O182" s="26" t="str">
        <f>'Raw data'!O178</f>
        <v>옷잘입고 인성바른 술자리안좋아하는사람</v>
      </c>
      <c r="P182" s="26">
        <f>'Raw data'!Q178</f>
        <v>0</v>
      </c>
    </row>
    <row r="183" spans="1:16">
      <c r="A183" s="45">
        <v>181</v>
      </c>
      <c r="B183" s="26" t="str">
        <f>'Raw data'!B179</f>
        <v>남</v>
      </c>
      <c r="C183" s="26" t="str">
        <f>'Raw data'!C179</f>
        <v>조준형</v>
      </c>
      <c r="D183" s="26">
        <f>'Raw data'!F179</f>
        <v>30</v>
      </c>
      <c r="E183" s="26">
        <f>'Raw data'!H179</f>
        <v>178</v>
      </c>
      <c r="F183" s="26" t="str">
        <f>'Raw data'!E179</f>
        <v>개인사업자</v>
      </c>
      <c r="G183" s="26" t="str">
        <f>'Raw data'!G179</f>
        <v>20~27</v>
      </c>
      <c r="H183" s="26" t="str">
        <f>'Raw data'!I179</f>
        <v>160~170</v>
      </c>
      <c r="I183" s="26" t="str">
        <f>'Raw data'!J179</f>
        <v>ENTP</v>
      </c>
      <c r="J183" s="26" t="str">
        <f>'Raw data'!K179</f>
        <v>무관</v>
      </c>
      <c r="K183" s="26" t="str">
        <f>'Raw data'!L179</f>
        <v>기독교</v>
      </c>
      <c r="L183" s="26" t="str">
        <f>'Raw data'!M179</f>
        <v>무관</v>
      </c>
      <c r="M183" s="26" t="str">
        <f>'Raw data'!P179</f>
        <v>무관</v>
      </c>
      <c r="N183" s="26" t="str">
        <f>'Raw data'!N179</f>
        <v>저는 인연이 나타나길 기다리던 사람 이였지만... 나타나질 않아 이제는 직접 찾아다니는 사람입니다ㅠㅠ
대화를 나누는걸 좋아하고, 활동적이지만 차분한 느낌이 있는 사람입니다. 또, 하나에 꽂히면 직진하는 스타일로 소소한 취미활동도 좋아하고, 퇴근하면 어떠한 재밌는걸 할까?? 라는 고민을 가장 많이 하는 사람으로 하루를 재밌게 보내려고 많은 노력을 합니다. 그래서 얼른 연애를 해서 공유하고 더 재밌는 하루를 보내고 싶습니다..!</v>
      </c>
      <c r="O183" s="26" t="str">
        <f>'Raw data'!O179</f>
        <v>자기관리 잘 하며, 말 이쁘게 하는사람 단발머리가 잘 어울리고 같이 웃을 수 있는 사람</v>
      </c>
      <c r="P183" s="26" t="str">
        <f>'Raw data'!Q179</f>
        <v>잘 부탁 드립니다</v>
      </c>
    </row>
    <row r="184" spans="1:16">
      <c r="A184" s="46">
        <v>182</v>
      </c>
      <c r="B184" s="26" t="str">
        <f>'Raw data'!B180</f>
        <v>여</v>
      </c>
      <c r="C184" s="26" t="str">
        <f>'Raw data'!C180</f>
        <v>지연희</v>
      </c>
      <c r="D184" s="26">
        <f>'Raw data'!F180</f>
        <v>30</v>
      </c>
      <c r="E184" s="26">
        <f>'Raw data'!H180</f>
        <v>163</v>
      </c>
      <c r="F184" s="26" t="str">
        <f>'Raw data'!E180</f>
        <v>대기업 IT / UX기획</v>
      </c>
      <c r="G184" s="26" t="str">
        <f>'Raw data'!G180</f>
        <v>28~34</v>
      </c>
      <c r="H184" s="26" t="str">
        <f>'Raw data'!I180</f>
        <v>170~180</v>
      </c>
      <c r="I184" s="26" t="str">
        <f>'Raw data'!J180</f>
        <v>ISFJ</v>
      </c>
      <c r="J184" s="26" t="str">
        <f>'Raw data'!K180</f>
        <v>무관</v>
      </c>
      <c r="K184" s="26" t="str">
        <f>'Raw data'!L180</f>
        <v>무교</v>
      </c>
      <c r="L184" s="26" t="str">
        <f>'Raw data'!M180</f>
        <v>동일</v>
      </c>
      <c r="M184" s="26" t="str">
        <f>'Raw data'!P180</f>
        <v>기술직, 자영업</v>
      </c>
      <c r="N184" s="26" t="str">
        <f>'Raw data'!N180</f>
        <v>처음엔 낯을 좀 가리지만 친해지면 장난기 있는 성격. 잘 웃고 긍정적이려고 노력합니다. 리액션이 좋다는 말을 많이 들어요</v>
      </c>
      <c r="O184" s="26" t="str">
        <f>'Raw data'!O180</f>
        <v>재미있고 듬직한 사람. 좀 활동적인 분이 좋습니다</v>
      </c>
      <c r="P184" s="26">
        <f>'Raw data'!Q180</f>
        <v>0</v>
      </c>
    </row>
    <row r="185" spans="1:16">
      <c r="A185" s="46">
        <v>183</v>
      </c>
      <c r="B185" s="26" t="str">
        <f>'Raw data'!B181</f>
        <v>여</v>
      </c>
      <c r="C185" s="26" t="str">
        <f>'Raw data'!C181</f>
        <v>지영서</v>
      </c>
      <c r="D185" s="26">
        <f>'Raw data'!F181</f>
        <v>34</v>
      </c>
      <c r="E185" s="26">
        <f>'Raw data'!H181</f>
        <v>160</v>
      </c>
      <c r="F185" s="26" t="str">
        <f>'Raw data'!E181</f>
        <v>조선호텔 - 호텔리어</v>
      </c>
      <c r="G185" s="26" t="str">
        <f>'Raw data'!G181</f>
        <v>28~34</v>
      </c>
      <c r="H185" s="26" t="str">
        <f>'Raw data'!I181</f>
        <v>170~</v>
      </c>
      <c r="I185" s="26" t="str">
        <f>'Raw data'!J181</f>
        <v>ENFJ</v>
      </c>
      <c r="J185" s="26" t="str">
        <f>'Raw data'!K181</f>
        <v>무관</v>
      </c>
      <c r="K185" s="26" t="str">
        <f>'Raw data'!L181</f>
        <v>무교, 불교</v>
      </c>
      <c r="L185" s="26" t="str">
        <f>'Raw data'!M181</f>
        <v>동일, 무관</v>
      </c>
      <c r="M185" s="26" t="str">
        <f>'Raw data'!P181</f>
        <v>자영업</v>
      </c>
      <c r="N185" s="26" t="str">
        <f>'Raw data'!N181</f>
        <v>자기관리 할 줄 아는 배려심 많은 사람으로 한 사람만 바라보는 다정하고 재밌는 사람이에요</v>
      </c>
      <c r="O185" s="26" t="str">
        <f>'Raw data'!O181</f>
        <v>귀엽고 재밌는 사람, 저랑 개그코드가 맞으면해요</v>
      </c>
      <c r="P185" s="26">
        <f>'Raw data'!Q181</f>
        <v>0</v>
      </c>
    </row>
    <row r="186" spans="1:16">
      <c r="A186" s="45">
        <v>184</v>
      </c>
      <c r="B186" s="26" t="str">
        <f>'Raw data'!B182</f>
        <v>여</v>
      </c>
      <c r="C186" s="26" t="str">
        <f>'Raw data'!C182</f>
        <v>진푸름</v>
      </c>
      <c r="D186" s="26">
        <f>'Raw data'!F182</f>
        <v>33</v>
      </c>
      <c r="E186" s="26">
        <f>'Raw data'!H182</f>
        <v>157</v>
      </c>
      <c r="F186" s="26" t="str">
        <f>'Raw data'!E182</f>
        <v>편곡가</v>
      </c>
      <c r="G186" s="26" t="str">
        <f>'Raw data'!G182</f>
        <v>28~34</v>
      </c>
      <c r="H186" s="26" t="str">
        <f>'Raw data'!I182</f>
        <v>170~180</v>
      </c>
      <c r="I186" s="26" t="str">
        <f>'Raw data'!J182</f>
        <v>INFP</v>
      </c>
      <c r="J186" s="26" t="str">
        <f>'Raw data'!K182</f>
        <v>INTJ, ENTJ</v>
      </c>
      <c r="K186" s="26" t="str">
        <f>'Raw data'!L182</f>
        <v>무교</v>
      </c>
      <c r="L186" s="26" t="str">
        <f>'Raw data'!M182</f>
        <v>무관</v>
      </c>
      <c r="M186" s="26" t="str">
        <f>'Raw data'!P182</f>
        <v>무관</v>
      </c>
      <c r="N186" s="26" t="str">
        <f>'Raw data'!N182</f>
        <v>문화 예술을 사랑하는 사람</v>
      </c>
      <c r="O186" s="26" t="str">
        <f>'Raw data'!O182</f>
        <v>예의 바르고 문화예술을 사랑하는 사람</v>
      </c>
      <c r="P186" s="26">
        <f>'Raw data'!Q182</f>
        <v>0</v>
      </c>
    </row>
    <row r="187" spans="1:16">
      <c r="A187" s="46">
        <v>185</v>
      </c>
      <c r="B187" s="26" t="str">
        <f>'Raw data'!B183</f>
        <v>남</v>
      </c>
      <c r="C187" s="26" t="str">
        <f>'Raw data'!C183</f>
        <v>진현수</v>
      </c>
      <c r="D187" s="26">
        <f>'Raw data'!F183</f>
        <v>38</v>
      </c>
      <c r="E187" s="26">
        <f>'Raw data'!H183</f>
        <v>171</v>
      </c>
      <c r="F187" s="26" t="str">
        <f>'Raw data'!E183</f>
        <v>중앙대병원 간호사</v>
      </c>
      <c r="G187" s="26" t="str">
        <f>'Raw data'!G183</f>
        <v>28~34</v>
      </c>
      <c r="H187" s="26" t="str">
        <f>'Raw data'!I183</f>
        <v>무관</v>
      </c>
      <c r="I187" s="26" t="str">
        <f>'Raw data'!J183</f>
        <v>ISTJ</v>
      </c>
      <c r="J187" s="26" t="str">
        <f>'Raw data'!K183</f>
        <v>무관</v>
      </c>
      <c r="K187" s="26" t="str">
        <f>'Raw data'!L183</f>
        <v>무교</v>
      </c>
      <c r="L187" s="26" t="str">
        <f>'Raw data'!M183</f>
        <v>무관</v>
      </c>
      <c r="M187" s="26" t="str">
        <f>'Raw data'!P183</f>
        <v>무관</v>
      </c>
      <c r="N187" s="26" t="str">
        <f>'Raw data'!N183</f>
        <v>화려하거나 한방을 노리기보다 꾸준함, 성실한 사람, 주7일 일하는사람</v>
      </c>
      <c r="O187" s="26">
        <f>'Raw data'!O183</f>
        <v>0</v>
      </c>
      <c r="P187" s="26" t="str">
        <f>'Raw data'!Q183</f>
        <v>가능하면 평일 저녁 클래스 오픈 하면 참여 원합니다</v>
      </c>
    </row>
    <row r="188" spans="1:16">
      <c r="A188" s="46">
        <v>186</v>
      </c>
      <c r="B188" s="26" t="str">
        <f>'Raw data'!B184</f>
        <v>여</v>
      </c>
      <c r="C188" s="26" t="str">
        <f>'Raw data'!C184</f>
        <v>최기쁨</v>
      </c>
      <c r="D188" s="26">
        <f>'Raw data'!F184</f>
        <v>34</v>
      </c>
      <c r="E188" s="26">
        <f>'Raw data'!H184</f>
        <v>166</v>
      </c>
      <c r="F188" s="26" t="str">
        <f>'Raw data'!E184</f>
        <v>사무(경영지원)</v>
      </c>
      <c r="G188" s="26" t="str">
        <f>'Raw data'!G184</f>
        <v>35~38</v>
      </c>
      <c r="H188" s="26" t="str">
        <f>'Raw data'!I184</f>
        <v>175~</v>
      </c>
      <c r="I188" s="26" t="str">
        <f>'Raw data'!J184</f>
        <v>ISFJ</v>
      </c>
      <c r="J188" s="26" t="str">
        <f>'Raw data'!K184</f>
        <v>무관</v>
      </c>
      <c r="K188" s="26" t="str">
        <f>'Raw data'!L184</f>
        <v>무교</v>
      </c>
      <c r="L188" s="26" t="str">
        <f>'Raw data'!M184</f>
        <v>무관</v>
      </c>
      <c r="M188" s="26" t="str">
        <f>'Raw data'!P184</f>
        <v>무관</v>
      </c>
      <c r="N188" s="26" t="str">
        <f>'Raw data'!N184</f>
        <v>첫인상은 차분 친해지면 재밌는 사람</v>
      </c>
      <c r="O188" s="26" t="str">
        <f>'Raw data'!O184</f>
        <v>키크고 코드 맞는 사람</v>
      </c>
      <c r="P188" s="26">
        <f>'Raw data'!Q184</f>
        <v>0</v>
      </c>
    </row>
    <row r="189" spans="1:16">
      <c r="A189" s="45">
        <v>187</v>
      </c>
      <c r="B189" s="26" t="str">
        <f>'Raw data'!B185</f>
        <v>여</v>
      </c>
      <c r="C189" s="26" t="str">
        <f>'Raw data'!C185</f>
        <v>최다혜</v>
      </c>
      <c r="D189" s="26">
        <f>'Raw data'!F185</f>
        <v>31</v>
      </c>
      <c r="E189" s="26">
        <f>'Raw data'!H185</f>
        <v>161</v>
      </c>
      <c r="F189" s="26" t="str">
        <f>'Raw data'!E185</f>
        <v>미술학원운영</v>
      </c>
      <c r="G189" s="26" t="str">
        <f>'Raw data'!G185</f>
        <v>31~38</v>
      </c>
      <c r="H189" s="26" t="str">
        <f>'Raw data'!I185</f>
        <v>170~</v>
      </c>
      <c r="I189" s="26" t="str">
        <f>'Raw data'!J185</f>
        <v>ENFP(거의반반)</v>
      </c>
      <c r="J189" s="26" t="str">
        <f>'Raw data'!K185</f>
        <v>무관</v>
      </c>
      <c r="K189" s="26" t="str">
        <f>'Raw data'!L185</f>
        <v>무교, 천주교, 기독교, 불교</v>
      </c>
      <c r="L189" s="26" t="str">
        <f>'Raw data'!M185</f>
        <v>무관</v>
      </c>
      <c r="M189" s="26" t="str">
        <f>'Raw data'!P185</f>
        <v>자영업</v>
      </c>
      <c r="N189" s="26" t="str">
        <f>'Raw data'!N185</f>
        <v>흘러가는대로 살고싶은 사람!</v>
      </c>
      <c r="O189" s="26" t="str">
        <f>'Raw data'!O185</f>
        <v>다정다감한..모두의 이상형</v>
      </c>
      <c r="P189" s="26">
        <f>'Raw data'!Q185</f>
        <v>0</v>
      </c>
    </row>
    <row r="190" spans="1:16">
      <c r="A190" s="46">
        <v>188</v>
      </c>
      <c r="B190" s="26" t="str">
        <f>'Raw data'!B186</f>
        <v>여</v>
      </c>
      <c r="C190" s="26" t="str">
        <f>'Raw data'!C186</f>
        <v>최소리</v>
      </c>
      <c r="D190" s="26">
        <f>'Raw data'!F186</f>
        <v>37</v>
      </c>
      <c r="E190" s="26">
        <f>'Raw data'!H186</f>
        <v>165</v>
      </c>
      <c r="F190" s="26" t="str">
        <f>'Raw data'!E186</f>
        <v>영화음악작곡가/ 학교 강사</v>
      </c>
      <c r="G190" s="26" t="str">
        <f>'Raw data'!G186</f>
        <v>35~38</v>
      </c>
      <c r="H190" s="26" t="str">
        <f>'Raw data'!I186</f>
        <v>175~</v>
      </c>
      <c r="I190" s="26" t="str">
        <f>'Raw data'!J186</f>
        <v>INTJ</v>
      </c>
      <c r="J190" s="26" t="str">
        <f>'Raw data'!K186</f>
        <v>INFP, INTP, INFJ, INTJ, ENTJ</v>
      </c>
      <c r="K190" s="26" t="str">
        <f>'Raw data'!L186</f>
        <v>무교</v>
      </c>
      <c r="L190" s="26" t="str">
        <f>'Raw data'!M186</f>
        <v>동일</v>
      </c>
      <c r="M190" s="26" t="str">
        <f>'Raw data'!P186</f>
        <v>무관</v>
      </c>
      <c r="N190" s="26" t="str">
        <f>'Raw data'!N186</f>
        <v>낙천적이고 생각 깊은 사람</v>
      </c>
      <c r="O190" s="26" t="str">
        <f>'Raw data'!O186</f>
        <v>결이 비슷한 사람</v>
      </c>
      <c r="P190" s="26">
        <f>'Raw data'!Q186</f>
        <v>0</v>
      </c>
    </row>
    <row r="191" spans="1:16">
      <c r="A191" s="46">
        <v>189</v>
      </c>
      <c r="B191" s="26" t="str">
        <f>'Raw data'!B187</f>
        <v>여</v>
      </c>
      <c r="C191" s="26" t="str">
        <f>'Raw data'!C187</f>
        <v>최수지</v>
      </c>
      <c r="D191" s="26">
        <f>'Raw data'!F187</f>
        <v>28</v>
      </c>
      <c r="E191" s="26">
        <f>'Raw data'!H187</f>
        <v>167</v>
      </c>
      <c r="F191" s="26" t="str">
        <f>'Raw data'!E187</f>
        <v>삼성전자/반도체연구소연구원</v>
      </c>
      <c r="G191" s="26" t="str">
        <f>'Raw data'!G187</f>
        <v>24~34</v>
      </c>
      <c r="H191" s="26" t="str">
        <f>'Raw data'!I187</f>
        <v>170~</v>
      </c>
      <c r="I191" s="26" t="str">
        <f>'Raw data'!J187</f>
        <v>ISFJ</v>
      </c>
      <c r="J191" s="26" t="str">
        <f>'Raw data'!K187</f>
        <v>ISFP, ISTJ, ISFJ, ESFP, ESFJ, ESTJ</v>
      </c>
      <c r="K191" s="26" t="str">
        <f>'Raw data'!L187</f>
        <v>무교</v>
      </c>
      <c r="L191" s="26" t="str">
        <f>'Raw data'!M187</f>
        <v>무관</v>
      </c>
      <c r="M191" s="26" t="str">
        <f>'Raw data'!P187</f>
        <v>자영업, 무관</v>
      </c>
      <c r="N191" s="26" t="str">
        <f>'Raw data'!N187</f>
        <v>차가워보이는 고양이지만 친해지면 긍정적이고 웃음이 많음</v>
      </c>
      <c r="O191" s="26" t="str">
        <f>'Raw data'!O187</f>
        <v>강아지상의 공대오빠..? 안경이 잘어울리고 댄디한 사람..! (니트셔츠 잘어울리는사람)다정한사람!!</v>
      </c>
      <c r="P191" s="26">
        <f>'Raw data'!Q187</f>
        <v>0</v>
      </c>
    </row>
    <row r="192" spans="1:16">
      <c r="A192" s="45">
        <v>190</v>
      </c>
      <c r="B192" s="26" t="str">
        <f>'Raw data'!B188</f>
        <v>여</v>
      </c>
      <c r="C192" s="26" t="str">
        <f>'Raw data'!C188</f>
        <v>최아현</v>
      </c>
      <c r="D192" s="26">
        <f>'Raw data'!F188</f>
        <v>27</v>
      </c>
      <c r="E192" s="26">
        <f>'Raw data'!H188</f>
        <v>165</v>
      </c>
      <c r="F192" s="26" t="str">
        <f>'Raw data'!E188</f>
        <v>대학원생</v>
      </c>
      <c r="G192" s="26" t="str">
        <f>'Raw data'!G188</f>
        <v>28~34</v>
      </c>
      <c r="H192" s="26" t="str">
        <f>'Raw data'!I188</f>
        <v>175~</v>
      </c>
      <c r="I192" s="26" t="str">
        <f>'Raw data'!J188</f>
        <v>ESFP</v>
      </c>
      <c r="J192" s="26" t="str">
        <f>'Raw data'!K188</f>
        <v>무관, ISTP, ISTJ, ISFJ, ESTJ</v>
      </c>
      <c r="K192" s="26" t="str">
        <f>'Raw data'!L188</f>
        <v>무교</v>
      </c>
      <c r="L192" s="26" t="str">
        <f>'Raw data'!M188</f>
        <v>무관</v>
      </c>
      <c r="M192" s="26" t="str">
        <f>'Raw data'!P188</f>
        <v>무관</v>
      </c>
      <c r="N192" s="26" t="str">
        <f>'Raw data'!N188</f>
        <v>밝고 똑부러짐</v>
      </c>
      <c r="O192" s="26" t="str">
        <f>'Raw data'!O188</f>
        <v>배려심있고 자기관리 하시는 분</v>
      </c>
      <c r="P192" s="26">
        <f>'Raw data'!Q188</f>
        <v>0</v>
      </c>
    </row>
    <row r="193" spans="1:16">
      <c r="A193" s="46">
        <v>191</v>
      </c>
      <c r="B193" s="26" t="str">
        <f>'Raw data'!B189</f>
        <v>여</v>
      </c>
      <c r="C193" s="26" t="str">
        <f>'Raw data'!C189</f>
        <v>최윤지</v>
      </c>
      <c r="D193" s="26">
        <f>'Raw data'!F189</f>
        <v>27</v>
      </c>
      <c r="E193" s="26">
        <f>'Raw data'!H189</f>
        <v>165</v>
      </c>
      <c r="F193" s="26" t="str">
        <f>'Raw data'!E189</f>
        <v>CJ_무대감독</v>
      </c>
      <c r="G193" s="26" t="str">
        <f>'Raw data'!G189</f>
        <v>24~34</v>
      </c>
      <c r="H193" s="26" t="str">
        <f>'Raw data'!I189</f>
        <v>175~</v>
      </c>
      <c r="I193" s="26" t="str">
        <f>'Raw data'!J189</f>
        <v>ESTP</v>
      </c>
      <c r="J193" s="26" t="str">
        <f>'Raw data'!K189</f>
        <v>ISFP, ESFP, ESFJ</v>
      </c>
      <c r="K193" s="26" t="str">
        <f>'Raw data'!L189</f>
        <v>무교</v>
      </c>
      <c r="L193" s="26" t="str">
        <f>'Raw data'!M189</f>
        <v>동일</v>
      </c>
      <c r="M193" s="26" t="str">
        <f>'Raw data'!P189</f>
        <v>자영업</v>
      </c>
      <c r="N193" s="26" t="str">
        <f>'Raw data'!N189</f>
        <v>긍정적인 에너지를 가진 사람
술, 담배 안하고 타투 X /운동 헬스 필라테스 병행 중
회사 경력 5년차, 한 곳에 꾸준히 일할 수 있는 인내심 보유
T긴 하지만 애교 많고 리액션 잘하는 다정한 타입이에요
사람들과 대화하고 소통하는 일을 하고 있어서
처음봐도 어색함 없이 대하는 걸 잘해요
어딜가도 적응력이 좋아요
츄 닮았다고 자주 들어요..^,,^ 하하</v>
      </c>
      <c r="O193" s="26" t="str">
        <f>'Raw data'!O189</f>
        <v>감자상 공룡상, 술,담배,타투 X 운동하고 근육덩치가 있으신 분, 말 예쁘게 하는 사람, 건실한 사람</v>
      </c>
      <c r="P193" s="26" t="str">
        <f>'Raw data'!Q189</f>
        <v>안녕하세요 운영진님
직업에서 직업군인은 피하고 싶어요..!
제가 직업이 방송쪽이라 교대근무여서
교대근무가 괜찮으신 분이면 좋겠습니다 
좋은 사람으로 잘부탁드립니다~! 감사해요🩶</v>
      </c>
    </row>
    <row r="194" spans="1:16">
      <c r="A194" s="46">
        <v>192</v>
      </c>
      <c r="B194" s="26" t="str">
        <f>'Raw data'!B190</f>
        <v>남</v>
      </c>
      <c r="C194" s="26" t="str">
        <f>'Raw data'!C190</f>
        <v>최재범</v>
      </c>
      <c r="D194" s="26">
        <f>'Raw data'!F190</f>
        <v>39</v>
      </c>
      <c r="E194" s="26">
        <f>'Raw data'!H190</f>
        <v>171</v>
      </c>
      <c r="F194" s="26" t="str">
        <f>'Raw data'!E190</f>
        <v>아이스크림 회사 및 사업</v>
      </c>
      <c r="G194" s="26" t="str">
        <f>'Raw data'!G190</f>
        <v>28~38</v>
      </c>
      <c r="H194" s="26" t="str">
        <f>'Raw data'!I190</f>
        <v>~165</v>
      </c>
      <c r="I194" s="26" t="str">
        <f>'Raw data'!J190</f>
        <v>ENTP</v>
      </c>
      <c r="J194" s="26" t="str">
        <f>'Raw data'!K190</f>
        <v>무관</v>
      </c>
      <c r="K194" s="26" t="str">
        <f>'Raw data'!L190</f>
        <v>무교</v>
      </c>
      <c r="L194" s="26" t="str">
        <f>'Raw data'!M190</f>
        <v>무관</v>
      </c>
      <c r="M194" s="26" t="str">
        <f>'Raw data'!P190</f>
        <v>무관</v>
      </c>
      <c r="N194" s="26" t="str">
        <f>'Raw data'!N190</f>
        <v>장난잘치고 재밌는사람?</v>
      </c>
      <c r="O194" s="26" t="str">
        <f>'Raw data'!O190</f>
        <v>대화잘통하고 배려있는분</v>
      </c>
      <c r="P194" s="26">
        <f>'Raw data'!Q190</f>
        <v>0</v>
      </c>
    </row>
    <row r="195" spans="1:16">
      <c r="A195" s="45">
        <v>193</v>
      </c>
      <c r="B195" s="26" t="str">
        <f>'Raw data'!B191</f>
        <v>여</v>
      </c>
      <c r="C195" s="26" t="str">
        <f>'Raw data'!C191</f>
        <v>최주연</v>
      </c>
      <c r="D195" s="26">
        <f>'Raw data'!F191</f>
        <v>32</v>
      </c>
      <c r="E195" s="26">
        <f>'Raw data'!H191</f>
        <v>158</v>
      </c>
      <c r="F195" s="26" t="str">
        <f>'Raw data'!E191</f>
        <v>비알코리아 개발팀</v>
      </c>
      <c r="G195" s="26" t="str">
        <f>'Raw data'!G191</f>
        <v>31~38</v>
      </c>
      <c r="H195" s="26" t="str">
        <f>'Raw data'!I191</f>
        <v>170~180</v>
      </c>
      <c r="I195" s="26" t="str">
        <f>'Raw data'!J191</f>
        <v>ENFP</v>
      </c>
      <c r="J195" s="26" t="str">
        <f>'Raw data'!K191</f>
        <v>INTJ, ENFJ, ENTJ, ESTJ</v>
      </c>
      <c r="K195" s="26" t="str">
        <f>'Raw data'!L191</f>
        <v>무교, 불교</v>
      </c>
      <c r="L195" s="26" t="str">
        <f>'Raw data'!M191</f>
        <v>동일</v>
      </c>
      <c r="M195" s="26" t="str">
        <f>'Raw data'!P191</f>
        <v>공무원</v>
      </c>
      <c r="N195" s="26" t="str">
        <f>'Raw data'!N191</f>
        <v>성격은 밝고 잘 웃는 성격이고 처음 친해지는데엔 어려움이 없지만 마음을 여는데 시간이 조금 걸리는 편인 것 같습니다. 
현재 혼자 반려견을 키우고 있어서 만나는 분의 배려가 조금 필요하지만 책임감의 영역으로 이해해주시는 분이면 좋을 것 같고 어떠한 상황이든 현재에 있어 최선을 다하는 성격입니다. 남들이 보면 테토...라고 하지만 연애에 있어서만큼은 에겐인것 같아요!</v>
      </c>
      <c r="O195" s="26" t="str">
        <f>'Raw data'!O191</f>
        <v>이상형은 딱히 없습니다.. 그냥 첫눈에 꽂히는 편인 것 같아요. 자기 일 잘하고 J 스러운 면모가 많은 분에게 설레는 것 같아요.</v>
      </c>
      <c r="P195" s="26">
        <f>'Raw data'!Q191</f>
        <v>0</v>
      </c>
    </row>
    <row r="196" spans="1:16">
      <c r="A196" s="46">
        <v>194</v>
      </c>
      <c r="B196" s="26" t="str">
        <f>'Raw data'!B192</f>
        <v>여</v>
      </c>
      <c r="C196" s="26" t="str">
        <f>'Raw data'!C192</f>
        <v>최지연</v>
      </c>
      <c r="D196" s="26">
        <f>'Raw data'!F192</f>
        <v>38</v>
      </c>
      <c r="E196" s="26">
        <f>'Raw data'!H192</f>
        <v>161</v>
      </c>
      <c r="F196" s="26" t="str">
        <f>'Raw data'!E192</f>
        <v>증견기업 회계팀</v>
      </c>
      <c r="G196" s="26" t="str">
        <f>'Raw data'!G192</f>
        <v>35~41</v>
      </c>
      <c r="H196" s="26" t="str">
        <f>'Raw data'!I192</f>
        <v>170~175</v>
      </c>
      <c r="I196" s="26" t="str">
        <f>'Raw data'!J192</f>
        <v>ENFJ</v>
      </c>
      <c r="J196" s="26" t="str">
        <f>'Raw data'!K192</f>
        <v>INFP, ISFP, INFJ, ISFJ, ENFP, ESFP, ENFJ, ESFJ</v>
      </c>
      <c r="K196" s="26" t="str">
        <f>'Raw data'!L192</f>
        <v>무교</v>
      </c>
      <c r="L196" s="26" t="str">
        <f>'Raw data'!M192</f>
        <v>동일</v>
      </c>
      <c r="M196" s="26" t="str">
        <f>'Raw data'!P192</f>
        <v>무관</v>
      </c>
      <c r="N196" s="26" t="str">
        <f>'Raw data'!N192</f>
        <v>밝고 긍정적이며 운동을 좋아하는 사람</v>
      </c>
      <c r="O196" s="26" t="str">
        <f>'Raw data'!O192</f>
        <v>다정다감하고 함께 운동,여행 취미를 즐길 수 있는 사람</v>
      </c>
      <c r="P196" s="26">
        <f>'Raw data'!Q192</f>
        <v>0</v>
      </c>
    </row>
    <row r="197" spans="1:16">
      <c r="A197" s="46">
        <v>195</v>
      </c>
      <c r="B197" s="26" t="e">
        <f>'Raw data'!#REF!</f>
        <v>#REF!</v>
      </c>
      <c r="C197" s="26" t="e">
        <f>'Raw data'!#REF!</f>
        <v>#REF!</v>
      </c>
      <c r="D197" s="26" t="e">
        <f>'Raw data'!#REF!</f>
        <v>#REF!</v>
      </c>
      <c r="E197" s="26" t="e">
        <f>'Raw data'!#REF!</f>
        <v>#REF!</v>
      </c>
      <c r="F197" s="26" t="e">
        <f>'Raw data'!#REF!</f>
        <v>#REF!</v>
      </c>
      <c r="G197" s="26" t="e">
        <f>'Raw data'!#REF!</f>
        <v>#REF!</v>
      </c>
      <c r="H197" s="26" t="e">
        <f>'Raw data'!#REF!</f>
        <v>#REF!</v>
      </c>
      <c r="I197" s="26" t="e">
        <f>'Raw data'!#REF!</f>
        <v>#REF!</v>
      </c>
      <c r="J197" s="26" t="e">
        <f>'Raw data'!#REF!</f>
        <v>#REF!</v>
      </c>
      <c r="K197" s="26" t="e">
        <f>'Raw data'!#REF!</f>
        <v>#REF!</v>
      </c>
      <c r="L197" s="26" t="e">
        <f>'Raw data'!#REF!</f>
        <v>#REF!</v>
      </c>
      <c r="M197" s="26" t="e">
        <f>'Raw data'!#REF!</f>
        <v>#REF!</v>
      </c>
      <c r="N197" s="26" t="e">
        <f>'Raw data'!#REF!</f>
        <v>#REF!</v>
      </c>
      <c r="O197" s="26" t="e">
        <f>'Raw data'!#REF!</f>
        <v>#REF!</v>
      </c>
      <c r="P197" s="26" t="e">
        <f>'Raw data'!#REF!</f>
        <v>#REF!</v>
      </c>
    </row>
    <row r="198" spans="1:16">
      <c r="A198" s="45">
        <v>196</v>
      </c>
      <c r="B198" s="26" t="str">
        <f>'Raw data'!B193</f>
        <v>여</v>
      </c>
      <c r="C198" s="26" t="str">
        <f>'Raw data'!C193</f>
        <v>최혜지</v>
      </c>
      <c r="D198" s="26">
        <f>'Raw data'!F193</f>
        <v>31</v>
      </c>
      <c r="E198" s="26">
        <f>'Raw data'!H193</f>
        <v>173</v>
      </c>
      <c r="F198" s="26" t="str">
        <f>'Raw data'!E193</f>
        <v>스타트업 경영지원팀</v>
      </c>
      <c r="G198" s="26" t="str">
        <f>'Raw data'!G193</f>
        <v>31~38</v>
      </c>
      <c r="H198" s="26" t="str">
        <f>'Raw data'!I193</f>
        <v>175~</v>
      </c>
      <c r="I198" s="26" t="str">
        <f>'Raw data'!J193</f>
        <v>ISFJ</v>
      </c>
      <c r="J198" s="26" t="str">
        <f>'Raw data'!K193</f>
        <v>무관</v>
      </c>
      <c r="K198" s="26">
        <f>'Raw data'!L193</f>
        <v>0</v>
      </c>
      <c r="L198" s="26">
        <f>'Raw data'!M193</f>
        <v>0</v>
      </c>
      <c r="M198" s="26">
        <f>'Raw data'!P193</f>
        <v>0</v>
      </c>
      <c r="N198" s="26" t="str">
        <f>'Raw data'!N193</f>
        <v>내향적, 섬세함, 꼼꼼함, 조심성 강함, 소확행을 소중히 하는 사람.</v>
      </c>
      <c r="O198" s="26" t="str">
        <f>'Raw data'!O193</f>
        <v>매너 있으면서도 자연스럽게 리드해주고, 말 한마디도 예쁘게 건네는 사람, 안정적인 직장이 있는 사람.</v>
      </c>
      <c r="P198" s="26" t="str">
        <f>'Raw data'!Q193</f>
        <v>가능하다면 비흡연자였으면 좋겠습니다</v>
      </c>
    </row>
    <row r="199" spans="1:16">
      <c r="A199" s="46">
        <v>197</v>
      </c>
      <c r="B199" s="26" t="str">
        <f>'Raw data'!B194</f>
        <v>여</v>
      </c>
      <c r="C199" s="26" t="str">
        <f>'Raw data'!C194</f>
        <v>추지은</v>
      </c>
      <c r="D199" s="26">
        <f>'Raw data'!F194</f>
        <v>33</v>
      </c>
      <c r="E199" s="26">
        <f>'Raw data'!H194</f>
        <v>159</v>
      </c>
      <c r="F199" s="26" t="str">
        <f>'Raw data'!E194</f>
        <v>중소기업/회계총무</v>
      </c>
      <c r="G199" s="26" t="str">
        <f>'Raw data'!G194</f>
        <v>31~34</v>
      </c>
      <c r="H199" s="26" t="str">
        <f>'Raw data'!I194</f>
        <v>175~180</v>
      </c>
      <c r="I199" s="26" t="str">
        <f>'Raw data'!J194</f>
        <v>ISFP</v>
      </c>
      <c r="J199" s="26" t="str">
        <f>'Raw data'!K194</f>
        <v>무관</v>
      </c>
      <c r="K199" s="26" t="str">
        <f>'Raw data'!L194</f>
        <v>불교</v>
      </c>
      <c r="L199" s="26" t="str">
        <f>'Raw data'!M194</f>
        <v>무관</v>
      </c>
      <c r="M199" s="26" t="str">
        <f>'Raw data'!P194</f>
        <v>연구직, 회사원</v>
      </c>
      <c r="N199" s="26" t="str">
        <f>'Raw data'!N194</f>
        <v>밝은 사람</v>
      </c>
      <c r="O199" s="26" t="str">
        <f>'Raw data'!O194</f>
        <v>대화가 통하는 사람</v>
      </c>
      <c r="P199" s="26">
        <f>'Raw data'!Q194</f>
        <v>0</v>
      </c>
    </row>
    <row r="200" spans="1:16">
      <c r="A200" s="46">
        <v>198</v>
      </c>
      <c r="B200" s="26" t="str">
        <f>'Raw data'!B195</f>
        <v>여</v>
      </c>
      <c r="C200" s="26" t="str">
        <f>'Raw data'!C195</f>
        <v>한미향</v>
      </c>
      <c r="D200" s="26">
        <f>'Raw data'!F195</f>
        <v>39</v>
      </c>
      <c r="E200" s="26">
        <f>'Raw data'!H195</f>
        <v>160</v>
      </c>
      <c r="F200" s="26" t="str">
        <f>'Raw data'!E195</f>
        <v>대학병원 교육간호사</v>
      </c>
      <c r="G200" s="26" t="str">
        <f>'Raw data'!G195</f>
        <v>38~</v>
      </c>
      <c r="H200" s="26" t="str">
        <f>'Raw data'!I195</f>
        <v>175~</v>
      </c>
      <c r="I200" s="26" t="str">
        <f>'Raw data'!J195</f>
        <v>ENTP</v>
      </c>
      <c r="J200" s="26" t="str">
        <f>'Raw data'!K195</f>
        <v>무관</v>
      </c>
      <c r="K200" s="26" t="str">
        <f>'Raw data'!L195</f>
        <v>무교, 불교</v>
      </c>
      <c r="L200" s="26" t="str">
        <f>'Raw data'!M195</f>
        <v>동일</v>
      </c>
      <c r="M200" s="26" t="str">
        <f>'Raw data'!P195</f>
        <v>무관</v>
      </c>
      <c r="N200" s="26" t="str">
        <f>'Raw data'!N195</f>
        <v>알록달록 무지개</v>
      </c>
      <c r="O200" s="26" t="str">
        <f>'Raw data'!O195</f>
        <v>차분하고 편안한 사람</v>
      </c>
      <c r="P200" s="26">
        <f>'Raw data'!Q195</f>
        <v>0</v>
      </c>
    </row>
    <row r="201" spans="1:16">
      <c r="A201" s="46">
        <v>199</v>
      </c>
      <c r="B201" s="26" t="str">
        <f>'Raw data'!B196</f>
        <v>여</v>
      </c>
      <c r="C201" s="26" t="str">
        <f>'Raw data'!C196</f>
        <v>한민희</v>
      </c>
      <c r="D201" s="26">
        <f>'Raw data'!F196</f>
        <v>28</v>
      </c>
      <c r="E201" s="26">
        <f>'Raw data'!H196</f>
        <v>162</v>
      </c>
      <c r="F201" s="26" t="str">
        <f>'Raw data'!E196</f>
        <v>한의원 원무직원</v>
      </c>
      <c r="G201" s="26" t="str">
        <f>'Raw data'!G196</f>
        <v>28~34</v>
      </c>
      <c r="H201" s="26" t="str">
        <f>'Raw data'!I196</f>
        <v>170~</v>
      </c>
      <c r="I201" s="26" t="str">
        <f>'Raw data'!J196</f>
        <v>ESFJ</v>
      </c>
      <c r="J201" s="26" t="str">
        <f>'Raw data'!K196</f>
        <v>무관</v>
      </c>
      <c r="K201" s="26" t="str">
        <f>'Raw data'!L196</f>
        <v>무교</v>
      </c>
      <c r="L201" s="26" t="str">
        <f>'Raw data'!M196</f>
        <v>무관</v>
      </c>
      <c r="M201" s="26" t="str">
        <f>'Raw data'!P196</f>
        <v>무관</v>
      </c>
      <c r="N201" s="26" t="str">
        <f>'Raw data'!N196</f>
        <v>자가관리 잘하려고 노력하며 긍정적인 운 좋은 사람</v>
      </c>
      <c r="O201" s="26" t="str">
        <f>'Raw data'!O196</f>
        <v>웃는거 이쁜 사람 청결한 사람 예의있는 사람 배울점 많은 사람</v>
      </c>
      <c r="P201" s="26">
        <f>'Raw data'!Q196</f>
        <v>0</v>
      </c>
    </row>
    <row r="202" spans="1:16">
      <c r="A202" s="45">
        <v>200</v>
      </c>
      <c r="B202" s="26" t="str">
        <f>'Raw data'!B197</f>
        <v>여</v>
      </c>
      <c r="C202" s="26" t="str">
        <f>'Raw data'!C197</f>
        <v>한소라</v>
      </c>
      <c r="D202" s="26">
        <f>'Raw data'!F197</f>
        <v>38</v>
      </c>
      <c r="E202" s="26">
        <f>'Raw data'!H197</f>
        <v>159</v>
      </c>
      <c r="F202" s="26" t="str">
        <f>'Raw data'!E197</f>
        <v>바리스타 /대형카페 매니저</v>
      </c>
      <c r="G202" s="26" t="str">
        <f>'Raw data'!G197</f>
        <v>35~41</v>
      </c>
      <c r="H202" s="26" t="str">
        <f>'Raw data'!I197</f>
        <v>170~180</v>
      </c>
      <c r="I202" s="26" t="str">
        <f>'Raw data'!J197</f>
        <v>ISTJ</v>
      </c>
      <c r="J202" s="26" t="str">
        <f>'Raw data'!K197</f>
        <v>무관</v>
      </c>
      <c r="K202" s="26" t="str">
        <f>'Raw data'!L197</f>
        <v>불교</v>
      </c>
      <c r="L202" s="26" t="str">
        <f>'Raw data'!M197</f>
        <v>무관</v>
      </c>
      <c r="M202" s="26" t="str">
        <f>'Raw data'!P197</f>
        <v>무관</v>
      </c>
      <c r="N202" s="26" t="str">
        <f>'Raw data'!N197</f>
        <v>진중하고 긍정적인사람</v>
      </c>
      <c r="O202" s="26" t="str">
        <f>'Raw data'!O197</f>
        <v xml:space="preserve">대화가 잘통하는 사람 티키타카가 잘되시는 분 </v>
      </c>
      <c r="P202" s="26">
        <f>'Raw data'!Q197</f>
        <v>0</v>
      </c>
    </row>
    <row r="203" spans="1:16">
      <c r="A203" s="46">
        <v>201</v>
      </c>
      <c r="B203" s="26" t="str">
        <f>'Raw data'!B198</f>
        <v>남</v>
      </c>
      <c r="C203" s="26" t="str">
        <f>'Raw data'!C198</f>
        <v>한유태</v>
      </c>
      <c r="D203" s="26">
        <f>'Raw data'!F198</f>
        <v>34</v>
      </c>
      <c r="E203" s="26">
        <f>'Raw data'!H198</f>
        <v>177</v>
      </c>
      <c r="F203" s="26" t="str">
        <f>'Raw data'!E198</f>
        <v>개발자</v>
      </c>
      <c r="G203" s="26" t="str">
        <f>'Raw data'!G198</f>
        <v>28~34</v>
      </c>
      <c r="H203" s="26" t="str">
        <f>'Raw data'!I198</f>
        <v>160~170</v>
      </c>
      <c r="I203" s="26" t="str">
        <f>'Raw data'!J198</f>
        <v>ENFJ</v>
      </c>
      <c r="J203" s="26" t="str">
        <f>'Raw data'!K198</f>
        <v>무관</v>
      </c>
      <c r="K203" s="26" t="str">
        <f>'Raw data'!L198</f>
        <v>무교</v>
      </c>
      <c r="L203" s="26" t="str">
        <f>'Raw data'!M198</f>
        <v>동일</v>
      </c>
      <c r="M203" s="26" t="str">
        <f>'Raw data'!P198</f>
        <v>무관</v>
      </c>
      <c r="N203" s="26" t="str">
        <f>'Raw data'!N198</f>
        <v>다정한 사람</v>
      </c>
      <c r="O203" s="26" t="str">
        <f>'Raw data'!O198</f>
        <v>같이 있을 때 즐거운 사람</v>
      </c>
      <c r="P203" s="26">
        <f>'Raw data'!Q198</f>
        <v>0</v>
      </c>
    </row>
    <row r="204" spans="1:16">
      <c r="A204" s="46">
        <v>202</v>
      </c>
      <c r="B204" s="26" t="str">
        <f>'Raw data'!B199</f>
        <v>여</v>
      </c>
      <c r="C204" s="26" t="str">
        <f>'Raw data'!C199</f>
        <v>한채린</v>
      </c>
      <c r="D204" s="26">
        <f>'Raw data'!F199</f>
        <v>31</v>
      </c>
      <c r="E204" s="26">
        <f>'Raw data'!H199</f>
        <v>165</v>
      </c>
      <c r="F204" s="26" t="str">
        <f>'Raw data'!E199</f>
        <v>비영리기관(사무직)</v>
      </c>
      <c r="G204" s="26" t="str">
        <f>'Raw data'!G199</f>
        <v>28~38</v>
      </c>
      <c r="H204" s="26" t="str">
        <f>'Raw data'!I199</f>
        <v>170~</v>
      </c>
      <c r="I204" s="26" t="str">
        <f>'Raw data'!J199</f>
        <v>ISFJ</v>
      </c>
      <c r="J204" s="26" t="str">
        <f>'Raw data'!K199</f>
        <v>무관, ESFP, ESFJ, ESTP, ENTJ</v>
      </c>
      <c r="K204" s="26" t="str">
        <f>'Raw data'!L199</f>
        <v>무교</v>
      </c>
      <c r="L204" s="26" t="str">
        <f>'Raw data'!M199</f>
        <v>무관</v>
      </c>
      <c r="M204" s="26" t="str">
        <f>'Raw data'!P199</f>
        <v>무관</v>
      </c>
      <c r="N204" s="26" t="str">
        <f>'Raw data'!N199</f>
        <v>안녕하세요.
차분한 시간을 좋아하고, 작은 순간들을 소중하게 생각하는 사람입니다.
평소에는 음악을 듣거나 카페에서 조용히 시간을 보내는 걸 좋아하고, 피아노연주나 클래식공연 보는것도 좋아합니다. 일상의 소소한 장면들을 기록하는 것도 즐깁니다. 베이킹처럼 손으로 무언가를 함께 만들어가는 시간도 참 따뜻할 것 같아 신청하게 되었습니다.</v>
      </c>
      <c r="O204" s="26" t="str">
        <f>'Raw data'!O199</f>
        <v>밝고 긍정적인 에너지, 자신의 일과 삶에 책임감을 가지고 성실하게 살아가는 사람. 편안하게 대화하며 소소한 시간을 함께 즐길 수 있는 사람. 외적인건 뚱뚱한것과 자기관리가 안되는것.</v>
      </c>
      <c r="P204" s="26" t="str">
        <f>'Raw data'!Q199</f>
        <v xml:space="preserve">
</v>
      </c>
    </row>
    <row r="205" spans="1:16">
      <c r="A205" s="46">
        <v>203</v>
      </c>
      <c r="B205" s="26" t="str">
        <f>'Raw data'!B200</f>
        <v>여</v>
      </c>
      <c r="C205" s="26" t="str">
        <f>'Raw data'!C200</f>
        <v>허재희</v>
      </c>
      <c r="D205" s="26">
        <f>'Raw data'!F200</f>
        <v>36</v>
      </c>
      <c r="E205" s="26">
        <f>'Raw data'!H200</f>
        <v>161</v>
      </c>
      <c r="F205" s="26" t="str">
        <f>'Raw data'!E200</f>
        <v>바리스타</v>
      </c>
      <c r="G205" s="26" t="str">
        <f>'Raw data'!G200</f>
        <v>31~38</v>
      </c>
      <c r="H205" s="26" t="str">
        <f>'Raw data'!I200</f>
        <v>170~</v>
      </c>
      <c r="I205" s="26" t="str">
        <f>'Raw data'!J200</f>
        <v>ISFJ</v>
      </c>
      <c r="J205" s="26" t="str">
        <f>'Raw data'!K200</f>
        <v>무관</v>
      </c>
      <c r="K205" s="26" t="str">
        <f>'Raw data'!L200</f>
        <v>무교</v>
      </c>
      <c r="L205" s="26" t="str">
        <f>'Raw data'!M200</f>
        <v>무관</v>
      </c>
      <c r="M205" s="26" t="str">
        <f>'Raw data'!P200</f>
        <v>자영업</v>
      </c>
      <c r="N205" s="26" t="str">
        <f>'Raw data'!N200</f>
        <v>긍정적이고 예민하지않은 사람</v>
      </c>
      <c r="O205" s="26" t="str">
        <f>'Raw data'!O200</f>
        <v>털털하고 다정한사람</v>
      </c>
      <c r="P205" s="26">
        <f>'Raw data'!Q200</f>
        <v>0</v>
      </c>
    </row>
    <row r="206" spans="1:16">
      <c r="A206" s="45">
        <v>204</v>
      </c>
      <c r="B206" s="26" t="str">
        <f>'Raw data'!B201</f>
        <v>여</v>
      </c>
      <c r="C206" s="26" t="str">
        <f>'Raw data'!C201</f>
        <v>홍여경</v>
      </c>
      <c r="D206" s="26">
        <f>'Raw data'!F201</f>
        <v>38</v>
      </c>
      <c r="E206" s="26">
        <f>'Raw data'!H201</f>
        <v>164</v>
      </c>
      <c r="F206" s="26" t="str">
        <f>'Raw data'!E201</f>
        <v>주택관리사무소 직원</v>
      </c>
      <c r="G206" s="26" t="str">
        <f>'Raw data'!G201</f>
        <v>31~38</v>
      </c>
      <c r="H206" s="26" t="str">
        <f>'Raw data'!I201</f>
        <v>175~</v>
      </c>
      <c r="I206" s="26" t="str">
        <f>'Raw data'!J201</f>
        <v>ISFP</v>
      </c>
      <c r="J206" s="26" t="str">
        <f>'Raw data'!K201</f>
        <v>ISTJ, ISFJ, ESFJ</v>
      </c>
      <c r="K206" s="26" t="str">
        <f>'Raw data'!L201</f>
        <v>무교</v>
      </c>
      <c r="L206" s="26" t="str">
        <f>'Raw data'!M201</f>
        <v>동일</v>
      </c>
      <c r="M206" s="26" t="str">
        <f>'Raw data'!P201</f>
        <v>자영업</v>
      </c>
      <c r="N206" s="26" t="str">
        <f>'Raw data'!N201</f>
        <v>밝고 긍정적이며 리액션 좋은 사람</v>
      </c>
      <c r="O206" s="26" t="str">
        <f>'Raw data'!O201</f>
        <v>하얀무쌍 리트리버 멍뭉미있는 남자</v>
      </c>
      <c r="P206" s="26" t="str">
        <f>'Raw data'!Q201</f>
        <v>요즘엔 만나이로 적어야하는지 헷갈려요.. 1989년생입니다!</v>
      </c>
    </row>
    <row r="207" spans="1:16">
      <c r="A207" s="46">
        <v>205</v>
      </c>
      <c r="B207" s="26" t="str">
        <f>'Raw data'!B202</f>
        <v>남</v>
      </c>
      <c r="C207" s="26" t="str">
        <f>'Raw data'!C202</f>
        <v>황동민</v>
      </c>
      <c r="D207" s="26">
        <f>'Raw data'!F202</f>
        <v>40</v>
      </c>
      <c r="E207" s="26">
        <f>'Raw data'!H202</f>
        <v>167</v>
      </c>
      <c r="F207" s="26" t="str">
        <f>'Raw data'!E202</f>
        <v>개발자</v>
      </c>
      <c r="G207" s="26" t="str">
        <f>'Raw data'!G202</f>
        <v>38~41</v>
      </c>
      <c r="H207" s="26" t="str">
        <f>'Raw data'!I202</f>
        <v>~160</v>
      </c>
      <c r="I207" s="26" t="str">
        <f>'Raw data'!J202</f>
        <v>ISFP</v>
      </c>
      <c r="J207" s="26" t="str">
        <f>'Raw data'!K202</f>
        <v>무관</v>
      </c>
      <c r="K207" s="26" t="str">
        <f>'Raw data'!L202</f>
        <v>기독교</v>
      </c>
      <c r="L207" s="26" t="str">
        <f>'Raw data'!M202</f>
        <v>무관</v>
      </c>
      <c r="M207" s="26" t="str">
        <f>'Raw data'!P202</f>
        <v>무관</v>
      </c>
      <c r="N207" s="26" t="str">
        <f>'Raw data'!N202</f>
        <v>내성적이지만 친해지면서 활발해지는 사람
입니다.</v>
      </c>
      <c r="O207" s="26">
        <f>'Raw data'!O202</f>
        <v>0</v>
      </c>
      <c r="P207" s="26">
        <f>'Raw data'!Q202</f>
        <v>0</v>
      </c>
    </row>
    <row r="208" spans="1:16">
      <c r="A208" s="46">
        <v>206</v>
      </c>
      <c r="B208" s="26" t="str">
        <f>'Raw data'!B203</f>
        <v>여</v>
      </c>
      <c r="C208" s="26" t="str">
        <f>'Raw data'!C203</f>
        <v>황신혜</v>
      </c>
      <c r="D208" s="26">
        <f>'Raw data'!F203</f>
        <v>37</v>
      </c>
      <c r="E208" s="26">
        <f>'Raw data'!H203</f>
        <v>162</v>
      </c>
      <c r="F208" s="26" t="str">
        <f>'Raw data'!E203</f>
        <v>프리랜서</v>
      </c>
      <c r="G208" s="26" t="str">
        <f>'Raw data'!G203</f>
        <v>31~41</v>
      </c>
      <c r="H208" s="26" t="str">
        <f>'Raw data'!I203</f>
        <v>170~180</v>
      </c>
      <c r="I208" s="26" t="str">
        <f>'Raw data'!J203</f>
        <v>ISFP</v>
      </c>
      <c r="J208" s="26" t="str">
        <f>'Raw data'!K203</f>
        <v>무관</v>
      </c>
      <c r="K208" s="26" t="str">
        <f>'Raw data'!L203</f>
        <v>기독교</v>
      </c>
      <c r="L208" s="26" t="str">
        <f>'Raw data'!M203</f>
        <v>무관</v>
      </c>
      <c r="M208" s="26" t="str">
        <f>'Raw data'!P203</f>
        <v>무관</v>
      </c>
      <c r="N208" s="26" t="str">
        <f>'Raw data'!N203</f>
        <v>친절한사람</v>
      </c>
      <c r="O208" s="26" t="str">
        <f>'Raw data'!O203</f>
        <v>친절하고 나랑 잘 맞는 사람</v>
      </c>
      <c r="P208" s="26">
        <f>'Raw data'!Q203</f>
        <v>0</v>
      </c>
    </row>
    <row r="209" spans="1:16">
      <c r="A209" s="46">
        <v>207</v>
      </c>
      <c r="B209" s="26" t="str">
        <f>'Raw data'!B204</f>
        <v>여</v>
      </c>
      <c r="C209" s="26" t="str">
        <f>'Raw data'!C204</f>
        <v>황혜선</v>
      </c>
      <c r="D209" s="26">
        <f>'Raw data'!F204</f>
        <v>40</v>
      </c>
      <c r="E209" s="26">
        <f>'Raw data'!H204</f>
        <v>155</v>
      </c>
      <c r="F209" s="26" t="str">
        <f>'Raw data'!E204</f>
        <v>학교,학원 바이올린 선생님</v>
      </c>
      <c r="G209" s="26" t="str">
        <f>'Raw data'!G204</f>
        <v>38~</v>
      </c>
      <c r="H209" s="26" t="str">
        <f>'Raw data'!I204</f>
        <v>170~180</v>
      </c>
      <c r="I209" s="26" t="str">
        <f>'Raw data'!J204</f>
        <v>ENFP</v>
      </c>
      <c r="J209" s="26" t="str">
        <f>'Raw data'!K204</f>
        <v>무관</v>
      </c>
      <c r="K209" s="26" t="str">
        <f>'Raw data'!L204</f>
        <v>천주교</v>
      </c>
      <c r="L209" s="26" t="str">
        <f>'Raw data'!M204</f>
        <v>무관</v>
      </c>
      <c r="M209" s="26" t="str">
        <f>'Raw data'!P204</f>
        <v>기술직, 자영업</v>
      </c>
      <c r="N209" s="26" t="str">
        <f>'Raw data'!N204</f>
        <v>잘 웃고 마음이 따뜻한 사람</v>
      </c>
      <c r="O209" s="26" t="str">
        <f>'Raw data'!O204</f>
        <v>한결같고 티키타카가 잘 되는 사람. 표현이 많은 솔직한 사람</v>
      </c>
      <c r="P209" s="26">
        <f>'Raw data'!Q204</f>
        <v>0</v>
      </c>
    </row>
    <row r="210" spans="1:16">
      <c r="A210" s="45">
        <v>208</v>
      </c>
      <c r="B210" s="26" t="str">
        <f>'Raw data'!B205</f>
        <v>여</v>
      </c>
      <c r="C210" s="26" t="str">
        <f>'Raw data'!C205</f>
        <v>여채원</v>
      </c>
      <c r="D210" s="26">
        <f>'Raw data'!F205</f>
        <v>29</v>
      </c>
      <c r="E210" s="26">
        <f>'Raw data'!H205</f>
        <v>164</v>
      </c>
      <c r="F210" s="26" t="str">
        <f>'Raw data'!E205</f>
        <v>삼성서울병원 관리파트</v>
      </c>
      <c r="G210" s="26" t="str">
        <f>'Raw data'!G205</f>
        <v>31~34</v>
      </c>
      <c r="H210" s="26" t="str">
        <f>'Raw data'!I205</f>
        <v>170~</v>
      </c>
      <c r="I210" s="26" t="str">
        <f>'Raw data'!J205</f>
        <v>INFP</v>
      </c>
      <c r="J210" s="26" t="str">
        <f>'Raw data'!K205</f>
        <v>무관, INTJ, ISTJ, ENTJ</v>
      </c>
      <c r="K210" s="26" t="str">
        <f>'Raw data'!L205</f>
        <v>천주교</v>
      </c>
      <c r="L210" s="26" t="str">
        <f>'Raw data'!M205</f>
        <v>무관</v>
      </c>
      <c r="M210" s="26" t="str">
        <f>'Raw data'!P205</f>
        <v>자영업, 공무원</v>
      </c>
      <c r="N210" s="26" t="str">
        <f>'Raw data'!N205</f>
        <v>조용한 편이지만, 마음이 열리면 생각보다 잘 웃고 많이 이야기해요.
일상에서는 차분하게 제 할 일을 해나가고,
퇴근 후나 주말엔 그림을 그리거나 작은 취향을 즐기며 쉬는 걸 좋아해요.
빠른 템포보다는
천천히 알아가면서 신뢰가 쌓이는 관계를 선호해요.
말을 잘 들어주는 사람,
서로의 세계를 존중해줄 수 있는 사람과 잘 맞아요. 가까워지면 의외로 잘 웃고 대화가 깊어요.
감정에 휘둘리기보다는, 스스로를 돌아보며 관계를 지키려는 편이에요.
혼자만의 시간도 소중히 여기지만, 소중한 사람에게는 진심으로 집중해요.
작은 취향과 일상을 꾸준히 가꿀 줄 알고, 좋아하는 걸 오래 좋아해요.
말보다 행동이 먼저 나가는 타입이라 신뢰를 중요하게 생각해요.
소소한 대화부터 깊은 이야기까지
자연스럽게 나눌 수 있는 인연을 기대하고 있어요</v>
      </c>
      <c r="O210" s="26" t="str">
        <f>'Raw data'!O205</f>
        <v>겉모습은 감자처럼 귀엽게 생긴 사람이면 좋겠어요. 과하게 꾸미지 않아도 호감 가는 인상인데, 알고 보면 자기관리는 꾸준히 하는 사람. 성격은 연인이라기보다 가장 친한 친구 같은 사람이 좋아요. 눈치 보지 않고 모든 걸 터놓고 이야기할 수 있고, 웃긴 얘기도 진지한 얘기도 자연스럽게 오가는 사이요. 무엇보다 가식 없이 진솔한 사람, 감정을 숨기기보다 말로 풀 줄 아는 사람이면 좋겠어요. 편안하지만 가볍지 않은 관계를 함께 만들 수 있는 사람을 찾고 있어요.</v>
      </c>
      <c r="P210" s="26" t="str">
        <f>'Raw data'!Q205</f>
        <v>무</v>
      </c>
    </row>
    <row r="211" spans="1:16">
      <c r="A211" s="46">
        <v>209</v>
      </c>
      <c r="B211" s="26" t="str">
        <f>'Raw data'!B206</f>
        <v>여</v>
      </c>
      <c r="C211" s="26" t="str">
        <f>'Raw data'!C206</f>
        <v>김상민</v>
      </c>
      <c r="D211" s="26">
        <f>'Raw data'!F206</f>
        <v>34</v>
      </c>
      <c r="E211" s="26">
        <f>'Raw data'!H206</f>
        <v>165</v>
      </c>
      <c r="F211" s="26" t="str">
        <f>'Raw data'!E206</f>
        <v>간호사 (삼성서울병원 내과계중환자실)</v>
      </c>
      <c r="G211" s="26" t="str">
        <f>'Raw data'!G206</f>
        <v>31~34</v>
      </c>
      <c r="H211" s="26" t="str">
        <f>'Raw data'!I206</f>
        <v>175~</v>
      </c>
      <c r="I211" s="26" t="str">
        <f>'Raw data'!J206</f>
        <v>ESTJ</v>
      </c>
      <c r="J211" s="26" t="str">
        <f>'Raw data'!K206</f>
        <v>무관</v>
      </c>
      <c r="K211" s="26" t="str">
        <f>'Raw data'!L206</f>
        <v>무교</v>
      </c>
      <c r="L211" s="26" t="str">
        <f>'Raw data'!M206</f>
        <v>동일</v>
      </c>
      <c r="M211" s="26" t="str">
        <f>'Raw data'!P206</f>
        <v>자영업</v>
      </c>
      <c r="N211" s="26" t="str">
        <f>'Raw data'!N206</f>
        <v>나와 잘 맞는 사람을 찾는게 얼마나 어려운 것인지 깨닫는 요즘 연애의 끝은 결혼이고 싶어 신청하게 되었습니다.
잘 웃고 소소한 일상에서도 즐거움을 찾으려고 합니다.
책임감이 강하고 거짓말을 못합니다.</v>
      </c>
      <c r="O211" s="26" t="str">
        <f>'Raw data'!O206</f>
        <v>감정기복이 없는 사람</v>
      </c>
      <c r="P211" s="26" t="str">
        <f>'Raw data'!Q206</f>
        <v>무</v>
      </c>
    </row>
    <row r="212" spans="1:16">
      <c r="A212" s="46">
        <v>210</v>
      </c>
      <c r="B212" s="26" t="str">
        <f>'Raw data'!B207</f>
        <v>여</v>
      </c>
      <c r="C212" s="26" t="str">
        <f>'Raw data'!C207</f>
        <v>김보영</v>
      </c>
      <c r="D212" s="26">
        <f>'Raw data'!F207</f>
        <v>27</v>
      </c>
      <c r="E212" s="26">
        <f>'Raw data'!H207</f>
        <v>156</v>
      </c>
      <c r="F212" s="26" t="str">
        <f>'Raw data'!E207</f>
        <v>삼성서울병원/영상의학과 사무직</v>
      </c>
      <c r="G212" s="26" t="str">
        <f>'Raw data'!G207</f>
        <v>20~30</v>
      </c>
      <c r="H212" s="26" t="str">
        <f>'Raw data'!I207</f>
        <v>175~</v>
      </c>
      <c r="I212" s="26" t="str">
        <f>'Raw data'!J207</f>
        <v>ESTJ</v>
      </c>
      <c r="J212" s="26" t="str">
        <f>'Raw data'!K207</f>
        <v>무관</v>
      </c>
      <c r="K212" s="26" t="str">
        <f>'Raw data'!L207</f>
        <v>무교</v>
      </c>
      <c r="L212" s="26" t="str">
        <f>'Raw data'!M207</f>
        <v>동일</v>
      </c>
      <c r="M212" s="26">
        <f>'Raw data'!P207</f>
        <v>0</v>
      </c>
      <c r="N212" s="26" t="str">
        <f>'Raw data'!N207</f>
        <v>저는 스포츠를 좋아해요. 그 중 e스포츠를 가장 좋아합니다! Lck를 사랑하는 사람이에요. 게임을 하는 것도, 보는 것도 좋아합니다. 여행다니는 것도 좋아해요. 이곳저곳 다니면서 힐링을 합니다. 사람이랑 대화하는 것도 좋아해서 새로운 만남이 있으면 좋아합니다.
항상 밝고 낯을 가리지 않는 그런 사람이에요</v>
      </c>
      <c r="O212" s="26">
        <f>'Raw data'!O207</f>
        <v>0</v>
      </c>
      <c r="P212" s="26">
        <f>'Raw data'!Q207</f>
        <v>0</v>
      </c>
    </row>
    <row r="213" spans="1:16">
      <c r="A213" s="46">
        <v>211</v>
      </c>
      <c r="B213" s="26" t="str">
        <f>'Raw data'!B208</f>
        <v>여</v>
      </c>
      <c r="C213" s="26" t="str">
        <f>'Raw data'!C208</f>
        <v>윤소영</v>
      </c>
      <c r="D213" s="26">
        <f>'Raw data'!F208</f>
        <v>33</v>
      </c>
      <c r="E213" s="26">
        <f>'Raw data'!H208</f>
        <v>159</v>
      </c>
      <c r="F213" s="26" t="str">
        <f>'Raw data'!E208</f>
        <v>강남 세브란스 피부과 연구원</v>
      </c>
      <c r="G213" s="26" t="str">
        <f>'Raw data'!G208</f>
        <v>30~35</v>
      </c>
      <c r="H213" s="26" t="str">
        <f>'Raw data'!I208</f>
        <v>170~</v>
      </c>
      <c r="I213" s="26" t="str">
        <f>'Raw data'!J208</f>
        <v>ENFP</v>
      </c>
      <c r="J213" s="26" t="str">
        <f>'Raw data'!K208</f>
        <v>무관, INFJ</v>
      </c>
      <c r="K213" s="26" t="str">
        <f>'Raw data'!L208</f>
        <v>무교</v>
      </c>
      <c r="L213" s="26" t="str">
        <f>'Raw data'!M208</f>
        <v>동일</v>
      </c>
      <c r="M213" s="26">
        <f>'Raw data'!P208</f>
        <v>0</v>
      </c>
      <c r="N213" s="26" t="str">
        <f>'Raw data'!N208</f>
        <v>안녕하세요,
짧은 시간이라도 편하고 재미있게 참여하고 싶어요.
잘 부탁드립니다.전 부담 없이 시작해서, 기분 좋게 기억에 남는 타입입니다.</v>
      </c>
      <c r="O213" s="26">
        <f>'Raw data'!O208</f>
        <v>0</v>
      </c>
      <c r="P213" s="26">
        <f>'Raw data'!Q208</f>
        <v>0</v>
      </c>
    </row>
    <row r="214" spans="1:16">
      <c r="A214" s="46">
        <v>212</v>
      </c>
      <c r="B214" s="26" t="str">
        <f>'Raw data'!B209</f>
        <v>여</v>
      </c>
      <c r="C214" s="26" t="str">
        <f>'Raw data'!C209</f>
        <v>고도연</v>
      </c>
      <c r="D214" s="26">
        <f>'Raw data'!F209</f>
        <v>28</v>
      </c>
      <c r="E214" s="26">
        <f>'Raw data'!H209</f>
        <v>158</v>
      </c>
      <c r="F214" s="26" t="str">
        <f>'Raw data'!E209</f>
        <v>삼성서울병원, 신생아중환자실 간호사</v>
      </c>
      <c r="G214" s="26" t="str">
        <f>'Raw data'!G209</f>
        <v>25~35</v>
      </c>
      <c r="H214" s="26" t="str">
        <f>'Raw data'!I209</f>
        <v>175~185</v>
      </c>
      <c r="I214" s="26" t="str">
        <f>'Raw data'!J209</f>
        <v>ISTP</v>
      </c>
      <c r="J214" s="26" t="str">
        <f>'Raw data'!K209</f>
        <v>INTJ, INTP, INFJ, ISTJ, ISTP, ISFJ, ISFP, ENTJ, ENTP, ENFJ, ESTJ, ESTP, ESFJ, ESFP</v>
      </c>
      <c r="K214" s="26" t="str">
        <f>'Raw data'!L209</f>
        <v>무교</v>
      </c>
      <c r="L214" s="26" t="str">
        <f>'Raw data'!M209</f>
        <v>동일</v>
      </c>
      <c r="M214" s="26">
        <f>'Raw data'!P209</f>
        <v>0</v>
      </c>
      <c r="N214" s="26" t="str">
        <f>'Raw data'!N209</f>
        <v>안녕하세요! 저는 올해로 4년차 직장인이 된 고도연입니다. 베이킹에 관심은 많지만 1인
가구의 특성상 빵을 만들기는 어려운 현실입니다•• 매번 눈여겨 보고 있던 케미스트리 오븐을 통해 사람들과 두쫀쿠를 만들며 1월 행복하게 마무리 해보고 싶습니다 ☺️ •• 겉으로는 바삭 딱딱해보이지만 속은 부드럽(?)답니다. 긍정적이고 웃음이 많고 여러 사람과 어울리는 것을 잘합니다 :)</v>
      </c>
      <c r="O214" s="26">
        <f>'Raw data'!O209</f>
        <v>0</v>
      </c>
      <c r="P214" s="26">
        <f>'Raw data'!Q209</f>
        <v>0</v>
      </c>
    </row>
    <row r="215" spans="1:16">
      <c r="A215" s="46">
        <v>213</v>
      </c>
      <c r="B215" s="26" t="str">
        <f>'Raw data'!B210</f>
        <v>여</v>
      </c>
      <c r="C215" s="26" t="str">
        <f>'Raw data'!C210</f>
        <v>우민정</v>
      </c>
      <c r="D215" s="26">
        <f>'Raw data'!F210</f>
        <v>30</v>
      </c>
      <c r="E215" s="26">
        <f>'Raw data'!H210</f>
        <v>170</v>
      </c>
      <c r="F215" s="26" t="str">
        <f>'Raw data'!E210</f>
        <v>간호사</v>
      </c>
      <c r="G215" s="26" t="str">
        <f>'Raw data'!G210</f>
        <v>28~34</v>
      </c>
      <c r="H215" s="26" t="str">
        <f>'Raw data'!I210</f>
        <v>175~</v>
      </c>
      <c r="I215" s="26" t="str">
        <f>'Raw data'!J210</f>
        <v>INFJ</v>
      </c>
      <c r="J215" s="26" t="str">
        <f>'Raw data'!K210</f>
        <v>무관</v>
      </c>
      <c r="K215" s="26" t="str">
        <f>'Raw data'!L210</f>
        <v>기독교</v>
      </c>
      <c r="L215" s="26" t="str">
        <f>'Raw data'!M210</f>
        <v>동일</v>
      </c>
      <c r="M215" s="26" t="str">
        <f>'Raw data'!P210</f>
        <v>무관</v>
      </c>
      <c r="N215" s="26" t="str">
        <f>'Raw data'!N210</f>
        <v>에의바른사람</v>
      </c>
      <c r="O215" s="26" t="str">
        <f>'Raw data'!O210</f>
        <v>다정하시고 예의바르신분</v>
      </c>
      <c r="P215" s="26">
        <f>'Raw data'!Q210</f>
        <v>0</v>
      </c>
    </row>
    <row r="216" spans="1:16">
      <c r="A216" s="46">
        <v>214</v>
      </c>
      <c r="B216" s="26" t="str">
        <f>'Raw data'!B211</f>
        <v>여</v>
      </c>
      <c r="C216" s="26" t="str">
        <f>'Raw data'!C211</f>
        <v>김연수</v>
      </c>
      <c r="D216" s="26">
        <f>'Raw data'!F211</f>
        <v>32</v>
      </c>
      <c r="E216" s="26">
        <f>'Raw data'!H211</f>
        <v>168</v>
      </c>
      <c r="F216" s="26" t="str">
        <f>'Raw data'!E211</f>
        <v>간호사(서울아산병원 소아과)</v>
      </c>
      <c r="G216" s="26" t="str">
        <f>'Raw data'!G211</f>
        <v>31~34</v>
      </c>
      <c r="H216" s="26" t="str">
        <f>'Raw data'!I211</f>
        <v>175~</v>
      </c>
      <c r="I216" s="26" t="str">
        <f>'Raw data'!J211</f>
        <v>ISFP</v>
      </c>
      <c r="J216" s="26" t="str">
        <f>'Raw data'!K211</f>
        <v>무관</v>
      </c>
      <c r="K216" s="26" t="str">
        <f>'Raw data'!L211</f>
        <v>무교</v>
      </c>
      <c r="L216" s="26" t="str">
        <f>'Raw data'!M211</f>
        <v>동일</v>
      </c>
      <c r="M216" s="26" t="str">
        <f>'Raw data'!P211</f>
        <v>무관</v>
      </c>
      <c r="N216" s="26" t="str">
        <f>'Raw data'!N211</f>
        <v>안녕하세요 :)
좋은 인연을 만나고 싶어서 용기 내어 신청했어요.
저는 빵과 디저트를 좋아하고, 카페에서 커피를 마시며 책 읽는 시간도 좋아해요.
요즘은 콘서트, 뮤지컬, 연극 등 공연을 보러 가는 것도 좋아합니다.
서로 좋아하는 것을 함께 나눌 수 있는, 
잘 맞는 분을 만나고 싶어요! 저는 안정적인 직장에 재직 중이며, 현재는 더 발전하기 위해 대학원 석사 과정을 밟고 있어요.
돌아오는 3월이 마지막 학기입니다!
아직 헬린이지만, PT를 받으며 자기 관리도 꾸준히 하고 있어요.
I 성향이라 처음에는 낯을 가리지만, 친해지면 정이 많고 사람을 좋아하는 편이에요.</v>
      </c>
      <c r="O216" s="26" t="str">
        <f>'Raw data'!O211</f>
        <v>선한 인상을 가진, 표현을 아끼지 않는 다정한 분을 만나고 싶어요. 자기 관리를 위해 운동을 하나쯤은 즐기시고, 비흡연자이신 분이면 좋겠습니다.</v>
      </c>
      <c r="P216" s="26" t="str">
        <f>'Raw data'!Q211</f>
        <v>무</v>
      </c>
    </row>
    <row r="217" spans="1:16">
      <c r="A217" s="46">
        <v>215</v>
      </c>
      <c r="B217" s="26" t="str">
        <f>'Raw data'!B212</f>
        <v>여</v>
      </c>
      <c r="C217" s="26" t="str">
        <f>'Raw data'!C212</f>
        <v>이정민</v>
      </c>
      <c r="D217" s="26">
        <f>'Raw data'!F212</f>
        <v>31</v>
      </c>
      <c r="E217" s="26">
        <f>'Raw data'!H212</f>
        <v>167</v>
      </c>
      <c r="F217" s="26" t="str">
        <f>'Raw data'!E212</f>
        <v>어린이집 교사</v>
      </c>
      <c r="G217" s="26" t="str">
        <f>'Raw data'!G212</f>
        <v>35~38</v>
      </c>
      <c r="H217" s="26" t="str">
        <f>'Raw data'!I212</f>
        <v>175~180</v>
      </c>
      <c r="I217" s="26" t="str">
        <f>'Raw data'!J212</f>
        <v>ISFP</v>
      </c>
      <c r="J217" s="26" t="str">
        <f>'Raw data'!K212</f>
        <v>ESFJ</v>
      </c>
      <c r="K217" s="26" t="str">
        <f>'Raw data'!L212</f>
        <v>무교</v>
      </c>
      <c r="L217" s="26" t="str">
        <f>'Raw data'!M212</f>
        <v>동일</v>
      </c>
      <c r="M217" s="26" t="str">
        <f>'Raw data'!P212</f>
        <v>무관</v>
      </c>
      <c r="N217" s="26" t="str">
        <f>'Raw data'!N212</f>
        <v>배려심이 있으며 상대방을 편안하게 해주고 좋아하는 사람에게 적극적으로 내 마음을 표현할 수 있는 사람</v>
      </c>
      <c r="O217" s="26" t="str">
        <f>'Raw data'!O212</f>
        <v>주말은 좋아하는 사람이랑 함께 보낼 수 있으며 다정다감하고 배려심이 있는 사람</v>
      </c>
      <c r="P217" s="26" t="str">
        <f>'Raw data'!Q212</f>
        <v>좋은 사람 만나서 좋은 인연 가지고 싶어요!</v>
      </c>
    </row>
    <row r="218" spans="1:16">
      <c r="A218" s="46">
        <v>216</v>
      </c>
      <c r="B218" s="26" t="str">
        <f>'Raw data'!B213</f>
        <v>여</v>
      </c>
      <c r="C218" s="26" t="str">
        <f>'Raw data'!C213</f>
        <v>김주연</v>
      </c>
      <c r="D218" s="26">
        <f>'Raw data'!F213</f>
        <v>39</v>
      </c>
      <c r="E218" s="26">
        <f>'Raw data'!H213</f>
        <v>166</v>
      </c>
      <c r="F218" s="26" t="str">
        <f>'Raw data'!E213</f>
        <v>홍대 방탈출카페 점장 ( 책임자 및 관리 )</v>
      </c>
      <c r="G218" s="26" t="str">
        <f>'Raw data'!G213</f>
        <v>35~41</v>
      </c>
      <c r="H218" s="26" t="str">
        <f>'Raw data'!I213</f>
        <v>180~</v>
      </c>
      <c r="I218" s="26" t="str">
        <f>'Raw data'!J213</f>
        <v>ISFJ</v>
      </c>
      <c r="J218" s="26" t="str">
        <f>'Raw data'!K213</f>
        <v>INFJ, ISFJ, ENFJ</v>
      </c>
      <c r="K218" s="26" t="str">
        <f>'Raw data'!L213</f>
        <v>무교</v>
      </c>
      <c r="L218" s="26" t="str">
        <f>'Raw data'!M213</f>
        <v>동일</v>
      </c>
      <c r="M218" s="26" t="str">
        <f>'Raw data'!P213</f>
        <v>자영업, 무관</v>
      </c>
      <c r="N218" s="26" t="str">
        <f>'Raw data'!N213</f>
        <v>나쁘지 않은 괜찮은 사람. 마음이 예쁜 사람.</v>
      </c>
      <c r="O218" s="26" t="str">
        <f>'Raw data'!O213</f>
        <v>1. 자기 앞가림은 할수있는사람 2. 가족,가정의 소중함을 아는사람 3. 인생의 순위에서 내가 0순위가 될수있는사람 4. 본인의 가족만큼 나의주변과 가족도 챙길줄 아는사람 5. 마주보고 밥먹을때 비위상하지 않는사람 (2세에게 미안하긴 싫어서) 6. 다정한 사람 7. 술 절제할줄 아는사람 (안마시면 더 좋고) 8. 빚 없는사람 ( 나도 없으니 ) 9. 자기관리 할줄 아는사람 10. 책임감이 있는사람 마지막으로 미래가 있는사람 (크게 정해놓은 틀이 아니더라도 성실하고 부지런하고 안정적인 환경을 가진사람)</v>
      </c>
      <c r="P218" s="26" t="str">
        <f>'Raw data'!Q213</f>
        <v>좋은 자리에 좋은 짝을 만날수 있을때 매칭되었으면 좋겠습니다🩷</v>
      </c>
    </row>
    <row r="219" spans="1:16">
      <c r="A219" s="46">
        <v>217</v>
      </c>
      <c r="B219" s="26" t="str">
        <f>'Raw data'!B214</f>
        <v>여</v>
      </c>
      <c r="C219" s="26" t="str">
        <f>'Raw data'!C214</f>
        <v>김세연</v>
      </c>
      <c r="D219" s="26">
        <f>'Raw data'!F214</f>
        <v>28</v>
      </c>
      <c r="E219" s="26">
        <f>'Raw data'!H214</f>
        <v>171.8</v>
      </c>
      <c r="F219" s="26" t="str">
        <f>'Raw data'!E214</f>
        <v>분당서울대학교병원 연구간호사</v>
      </c>
      <c r="G219" s="26" t="str">
        <f>'Raw data'!G214</f>
        <v>28~34</v>
      </c>
      <c r="H219" s="26" t="str">
        <f>'Raw data'!I214</f>
        <v>175~</v>
      </c>
      <c r="I219" s="26" t="str">
        <f>'Raw data'!J214</f>
        <v>INFJ</v>
      </c>
      <c r="J219" s="26" t="str">
        <f>'Raw data'!K214</f>
        <v>INFJ, INTJ, ISFJ, ENFJ, ESFJ, ENTP, ENTJ</v>
      </c>
      <c r="K219" s="26" t="str">
        <f>'Raw data'!L214</f>
        <v>기독교</v>
      </c>
      <c r="L219" s="26" t="str">
        <f>'Raw data'!M214</f>
        <v>무관</v>
      </c>
      <c r="M219" s="26" t="str">
        <f>'Raw data'!P214</f>
        <v>병원직군, 자영업</v>
      </c>
      <c r="N219" s="26" t="str">
        <f>'Raw data'!N214</f>
        <v>낯가림이 있어 사람을 천천히 알아가는 편입니다. 여행을 통해 새로운 음식과 문화를 경험하는 것을 좋아합니다. 또한, 마음에 드는 영화나 책은 여러 번 반복해서 보는 취미가 있습니다.</v>
      </c>
      <c r="O219" s="26" t="str">
        <f>'Raw data'!O214</f>
        <v>마음이 따뜻하고 배려심 있는 분을 선호합니다. 제가 키가 큰 편이라, 저보다 체격이 크고 듬직한 분에게 편안함을 느끼는 것 같습니다.</v>
      </c>
      <c r="P219" s="26">
        <f>'Raw data'!Q214</f>
        <v>0</v>
      </c>
    </row>
    <row r="220" spans="1:16">
      <c r="A220" s="46">
        <v>218</v>
      </c>
      <c r="B220" s="26" t="str">
        <f>'Raw data'!B215</f>
        <v>여</v>
      </c>
      <c r="C220" s="26" t="str">
        <f>'Raw data'!C215</f>
        <v>서동연</v>
      </c>
      <c r="D220" s="26">
        <f>'Raw data'!F215</f>
        <v>28</v>
      </c>
      <c r="E220" s="26">
        <f>'Raw data'!H215</f>
        <v>168</v>
      </c>
      <c r="F220" s="26" t="str">
        <f>'Raw data'!E215</f>
        <v>삼성서울병원 병리과</v>
      </c>
      <c r="G220" s="26" t="str">
        <f>'Raw data'!G215</f>
        <v>24~34</v>
      </c>
      <c r="H220" s="26" t="str">
        <f>'Raw data'!I215</f>
        <v>170~</v>
      </c>
      <c r="I220" s="26" t="str">
        <f>'Raw data'!J215</f>
        <v>ISFJ</v>
      </c>
      <c r="J220" s="26" t="str">
        <f>'Raw data'!K215</f>
        <v>무관</v>
      </c>
      <c r="K220" s="26" t="str">
        <f>'Raw data'!L215</f>
        <v>무교</v>
      </c>
      <c r="L220" s="26" t="str">
        <f>'Raw data'!M215</f>
        <v>무관</v>
      </c>
      <c r="M220" s="26" t="str">
        <f>'Raw data'!P215</f>
        <v>무관</v>
      </c>
      <c r="N220" s="26" t="str">
        <f>'Raw data'!N215</f>
        <v>처음엔 좀 낯을 가리긴 하는데 금방 또 잘 어울리기도 하고 내 사람이다 싶으면 한 없이 퍼주는 성격입니다! 진중한 면이 있으면서도 장난끼많아서 같이 있으면 편하고 속얘기를 다 털어놓게 되는 사람인 것 같아요</v>
      </c>
      <c r="O220" s="26" t="str">
        <f>'Raw data'!O215</f>
        <v>유머코드가 잘 맞고 제가 걱정이 좀 많은 편이라 상대방은 기복이 심하지 않고 무던한 성격이 좋아요!</v>
      </c>
      <c r="P220" s="26" t="str">
        <f>'Raw data'!Q215</f>
        <v>같은과(병리과)는 안겹치게 해주세요 !!!</v>
      </c>
    </row>
    <row r="221" spans="1:16">
      <c r="A221" s="46">
        <v>219</v>
      </c>
      <c r="B221" s="26" t="str">
        <f>'Raw data'!B216</f>
        <v>여</v>
      </c>
      <c r="C221" s="26" t="str">
        <f>'Raw data'!C216</f>
        <v>김수민</v>
      </c>
      <c r="D221" s="26">
        <f>'Raw data'!F216</f>
        <v>28</v>
      </c>
      <c r="E221" s="26">
        <f>'Raw data'!H216</f>
        <v>169</v>
      </c>
      <c r="F221" s="26" t="str">
        <f>'Raw data'!E216</f>
        <v>CRA (Clinical Research Associate, 신약개발 임상운영본부, CRO)</v>
      </c>
      <c r="G221" s="26" t="str">
        <f>'Raw data'!G216</f>
        <v>28~38</v>
      </c>
      <c r="H221" s="26" t="str">
        <f>'Raw data'!I216</f>
        <v>175~</v>
      </c>
      <c r="I221" s="26" t="str">
        <f>'Raw data'!J216</f>
        <v>ESTP</v>
      </c>
      <c r="J221" s="26" t="str">
        <f>'Raw data'!K216</f>
        <v>ISFP, INTP, ISTP, ISTJ, INTJ, ISFJ, ESFP, ESFJ, ENTP, ESTP, ENTJ, ESTJ</v>
      </c>
      <c r="K221" s="26" t="str">
        <f>'Raw data'!L216</f>
        <v>무교, 천주교</v>
      </c>
      <c r="L221" s="26" t="str">
        <f>'Raw data'!M216</f>
        <v>무관</v>
      </c>
      <c r="M221" s="26" t="str">
        <f>'Raw data'!P216</f>
        <v>자영업, 공무원</v>
      </c>
      <c r="N221" s="26" t="str">
        <f>'Raw data'!N216</f>
        <v>밝고 솔직한 성격입니당</v>
      </c>
      <c r="O221" s="26" t="str">
        <f>'Raw data'!O216</f>
        <v>다정하고 대화할 때 재밌는 사람이었으면 좋겠어요. 하얗고 I인 수줍음 많은 남자</v>
      </c>
      <c r="P221" s="26">
        <f>'Raw data'!Q216</f>
        <v>0</v>
      </c>
    </row>
    <row r="222" spans="1:16">
      <c r="A222" s="46">
        <v>220</v>
      </c>
      <c r="B222" s="26" t="str">
        <f>'Raw data'!B217</f>
        <v>남</v>
      </c>
      <c r="C222" s="26" t="str">
        <f>'Raw data'!C217</f>
        <v>송신욱</v>
      </c>
      <c r="D222" s="26">
        <f>'Raw data'!F217</f>
        <v>29</v>
      </c>
      <c r="E222" s="26">
        <f>'Raw data'!H217</f>
        <v>174</v>
      </c>
      <c r="F222" s="26" t="str">
        <f>'Raw data'!E217</f>
        <v>영업직</v>
      </c>
      <c r="G222" s="26" t="str">
        <f>'Raw data'!G217</f>
        <v>28~34</v>
      </c>
      <c r="H222" s="26" t="str">
        <f>'Raw data'!I217</f>
        <v>~160</v>
      </c>
      <c r="I222" s="26" t="str">
        <f>'Raw data'!J217</f>
        <v>ESTJ</v>
      </c>
      <c r="J222" s="26" t="str">
        <f>'Raw data'!K217</f>
        <v>무관</v>
      </c>
      <c r="K222" s="26" t="str">
        <f>'Raw data'!L217</f>
        <v>무교</v>
      </c>
      <c r="L222" s="26" t="str">
        <f>'Raw data'!M217</f>
        <v>동일</v>
      </c>
      <c r="M222" s="26" t="str">
        <f>'Raw data'!P217</f>
        <v>무관</v>
      </c>
      <c r="N222" s="26" t="str">
        <f>'Raw data'!N217</f>
        <v>도전적이고 현실적임</v>
      </c>
      <c r="O222" s="26" t="str">
        <f>'Raw data'!O217</f>
        <v>상대방을 존중해주는 사람</v>
      </c>
      <c r="P222" s="26">
        <f>'Raw data'!Q217</f>
        <v>0</v>
      </c>
    </row>
    <row r="223" spans="1:16">
      <c r="A223" s="46">
        <v>221</v>
      </c>
      <c r="B223" s="26" t="str">
        <f>'Raw data'!B218</f>
        <v>여</v>
      </c>
      <c r="C223" s="26" t="str">
        <f>'Raw data'!C218</f>
        <v>노경빈</v>
      </c>
      <c r="D223" s="26">
        <f>'Raw data'!F218</f>
        <v>29</v>
      </c>
      <c r="E223" s="26">
        <f>'Raw data'!H218</f>
        <v>174</v>
      </c>
      <c r="F223" s="26" t="str">
        <f>'Raw data'!E218</f>
        <v>회사원(산업보건)</v>
      </c>
      <c r="G223" s="26" t="str">
        <f>'Raw data'!G218</f>
        <v>28~34</v>
      </c>
      <c r="H223" s="26" t="str">
        <f>'Raw data'!I218</f>
        <v>180~</v>
      </c>
      <c r="I223" s="26" t="str">
        <f>'Raw data'!J218</f>
        <v>ISTJ</v>
      </c>
      <c r="J223" s="26" t="str">
        <f>'Raw data'!K218</f>
        <v>무관, ISFP, ISFJ, ESFP, ESFJ</v>
      </c>
      <c r="K223" s="26" t="str">
        <f>'Raw data'!L218</f>
        <v>무교</v>
      </c>
      <c r="L223" s="26" t="str">
        <f>'Raw data'!M218</f>
        <v>동일</v>
      </c>
      <c r="M223" s="26" t="str">
        <f>'Raw data'!P218</f>
        <v>자영업</v>
      </c>
      <c r="N223" s="26" t="str">
        <f>'Raw data'!N218</f>
        <v>낯가림은 있지만 잘 웃는 스타일</v>
      </c>
      <c r="O223" s="26" t="str">
        <f>'Raw data'!O218</f>
        <v>대화가 잘 통하는 사람</v>
      </c>
      <c r="P223" s="26">
        <f>'Raw data'!Q218</f>
        <v>0</v>
      </c>
    </row>
    <row r="224" spans="1:16">
      <c r="A224" s="46">
        <v>222</v>
      </c>
      <c r="B224" s="26" t="str">
        <f>'Raw data'!B219</f>
        <v>여</v>
      </c>
      <c r="C224" s="26" t="str">
        <f>'Raw data'!C219</f>
        <v>김정하</v>
      </c>
      <c r="D224" s="26">
        <f>'Raw data'!F219</f>
        <v>38</v>
      </c>
      <c r="E224" s="26">
        <f>'Raw data'!H219</f>
        <v>158</v>
      </c>
      <c r="F224" s="26" t="str">
        <f>'Raw data'!E219</f>
        <v>스타트업 운영</v>
      </c>
      <c r="G224" s="26" t="str">
        <f>'Raw data'!G219</f>
        <v>35~41</v>
      </c>
      <c r="H224" s="26" t="str">
        <f>'Raw data'!I219</f>
        <v>175~180</v>
      </c>
      <c r="I224" s="26" t="str">
        <f>'Raw data'!J219</f>
        <v>ESTP</v>
      </c>
      <c r="J224" s="26" t="str">
        <f>'Raw data'!K219</f>
        <v>무관</v>
      </c>
      <c r="K224" s="26" t="str">
        <f>'Raw data'!L219</f>
        <v>무교, 천주교, 불교</v>
      </c>
      <c r="L224" s="26" t="str">
        <f>'Raw data'!M219</f>
        <v>동일</v>
      </c>
      <c r="M224" s="26" t="str">
        <f>'Raw data'!P219</f>
        <v>무관</v>
      </c>
      <c r="N224" s="26" t="str">
        <f>'Raw data'!N219</f>
        <v>같이 추억을 쌓는걸 중요하게 생각하는 사람이에요.</v>
      </c>
      <c r="O224" s="26" t="str">
        <f>'Raw data'!O219</f>
        <v>다정한 사람</v>
      </c>
      <c r="P224" s="26">
        <f>'Raw data'!Q219</f>
        <v>0</v>
      </c>
    </row>
    <row r="225" spans="1:16">
      <c r="A225" s="46">
        <v>223</v>
      </c>
      <c r="B225" s="26" t="str">
        <f>'Raw data'!B220</f>
        <v>남</v>
      </c>
      <c r="C225" s="26" t="str">
        <f>'Raw data'!C220</f>
        <v>고성우</v>
      </c>
      <c r="D225" s="26">
        <f>'Raw data'!F220</f>
        <v>40</v>
      </c>
      <c r="E225" s="26">
        <f>'Raw data'!H220</f>
        <v>170</v>
      </c>
      <c r="F225" s="26" t="str">
        <f>'Raw data'!E220</f>
        <v>바리스타 점장</v>
      </c>
      <c r="G225" s="26" t="str">
        <f>'Raw data'!G220</f>
        <v>31~41</v>
      </c>
      <c r="H225" s="26" t="str">
        <f>'Raw data'!I220</f>
        <v>무관</v>
      </c>
      <c r="I225" s="26" t="str">
        <f>'Raw data'!J220</f>
        <v>ISFP</v>
      </c>
      <c r="J225" s="26" t="str">
        <f>'Raw data'!K220</f>
        <v>무관</v>
      </c>
      <c r="K225" s="26" t="str">
        <f>'Raw data'!L220</f>
        <v>무교</v>
      </c>
      <c r="L225" s="26" t="str">
        <f>'Raw data'!M220</f>
        <v>무관</v>
      </c>
      <c r="M225" s="26" t="str">
        <f>'Raw data'!P220</f>
        <v>무관</v>
      </c>
      <c r="N225" s="26" t="str">
        <f>'Raw data'!N220</f>
        <v>다정하고 배려있는남자</v>
      </c>
      <c r="O225" s="26" t="str">
        <f>'Raw data'!O220</f>
        <v>밝은사람</v>
      </c>
      <c r="P225" s="26">
        <f>'Raw data'!Q220</f>
        <v>0</v>
      </c>
    </row>
    <row r="226" spans="1:16">
      <c r="A226" s="46">
        <v>224</v>
      </c>
      <c r="B226" s="26" t="str">
        <f>'Raw data'!B221</f>
        <v>여</v>
      </c>
      <c r="C226" s="26" t="str">
        <f>'Raw data'!C221</f>
        <v>김지영</v>
      </c>
      <c r="D226" s="26">
        <f>'Raw data'!F221</f>
        <v>32</v>
      </c>
      <c r="E226" s="26">
        <f>'Raw data'!H221</f>
        <v>158</v>
      </c>
      <c r="F226" s="26" t="str">
        <f>'Raw data'!E221</f>
        <v>공무원 / 전산직</v>
      </c>
      <c r="G226" s="26" t="str">
        <f>'Raw data'!G221</f>
        <v>31~34</v>
      </c>
      <c r="H226" s="26" t="str">
        <f>'Raw data'!I221</f>
        <v>175~180</v>
      </c>
      <c r="I226" s="26" t="str">
        <f>'Raw data'!J221</f>
        <v>ISFJ</v>
      </c>
      <c r="J226" s="26" t="str">
        <f>'Raw data'!K221</f>
        <v>무관</v>
      </c>
      <c r="K226" s="26" t="str">
        <f>'Raw data'!L221</f>
        <v>무교</v>
      </c>
      <c r="L226" s="26" t="str">
        <f>'Raw data'!M221</f>
        <v>동일</v>
      </c>
      <c r="M226" s="26" t="str">
        <f>'Raw data'!P221</f>
        <v>자영업</v>
      </c>
      <c r="N226" s="26" t="str">
        <f>'Raw data'!N221</f>
        <v>밝고 긍정적인 사고를 가진 사람</v>
      </c>
      <c r="O226" s="26" t="str">
        <f>'Raw data'!O221</f>
        <v>사소한 것에도 잘 웃고, 입이 커서 웃는게 이쁜 사람</v>
      </c>
      <c r="P226" s="26">
        <f>'Raw data'!Q221</f>
        <v>0</v>
      </c>
    </row>
    <row r="227" spans="1:16">
      <c r="A227" s="46">
        <v>225</v>
      </c>
      <c r="B227" s="26" t="str">
        <f>'Raw data'!B222</f>
        <v>여</v>
      </c>
      <c r="C227" s="26" t="str">
        <f>'Raw data'!C222</f>
        <v>김상희</v>
      </c>
      <c r="D227" s="26">
        <f>'Raw data'!F222</f>
        <v>38</v>
      </c>
      <c r="E227" s="26">
        <f>'Raw data'!H222</f>
        <v>168</v>
      </c>
      <c r="F227" s="26" t="str">
        <f>'Raw data'!E222</f>
        <v>회사원(재무)</v>
      </c>
      <c r="G227" s="26" t="str">
        <f>'Raw data'!G222</f>
        <v>38~</v>
      </c>
      <c r="H227" s="26" t="str">
        <f>'Raw data'!I222</f>
        <v>170~</v>
      </c>
      <c r="I227" s="26" t="str">
        <f>'Raw data'!J222</f>
        <v>ISFJ</v>
      </c>
      <c r="J227" s="26" t="str">
        <f>'Raw data'!K222</f>
        <v>무관</v>
      </c>
      <c r="K227" s="26" t="str">
        <f>'Raw data'!L222</f>
        <v>무교</v>
      </c>
      <c r="L227" s="26" t="str">
        <f>'Raw data'!M222</f>
        <v>동일</v>
      </c>
      <c r="M227" s="26" t="str">
        <f>'Raw data'!P222</f>
        <v>병원직군, 자영업</v>
      </c>
      <c r="N227" s="26" t="str">
        <f>'Raw data'!N222</f>
        <v>따뜻하고 공감을 잘하며 행복을 추구하는 사람</v>
      </c>
      <c r="O227" s="26" t="str">
        <f>'Raw data'!O222</f>
        <v>티키타카 잘되는 다정하고 가정적인 사람</v>
      </c>
      <c r="P227" s="26">
        <f>'Raw data'!Q222</f>
        <v>0</v>
      </c>
    </row>
    <row r="228" spans="1:16">
      <c r="A228" s="46">
        <v>226</v>
      </c>
      <c r="B228" s="26" t="str">
        <f>'Raw data'!B223</f>
        <v>여</v>
      </c>
      <c r="C228" s="26" t="str">
        <f>'Raw data'!C223</f>
        <v>장민아</v>
      </c>
      <c r="D228" s="26">
        <f>'Raw data'!F223</f>
        <v>32</v>
      </c>
      <c r="E228" s="26">
        <f>'Raw data'!H223</f>
        <v>158.80000000000001</v>
      </c>
      <c r="F228" s="26" t="str">
        <f>'Raw data'!E223</f>
        <v>이직 준비 중</v>
      </c>
      <c r="G228" s="26" t="str">
        <f>'Raw data'!G223</f>
        <v>28~34</v>
      </c>
      <c r="H228" s="26" t="str">
        <f>'Raw data'!I223</f>
        <v>165~170</v>
      </c>
      <c r="I228" s="26" t="str">
        <f>'Raw data'!J223</f>
        <v>ENFJ</v>
      </c>
      <c r="J228" s="26" t="str">
        <f>'Raw data'!K223</f>
        <v>INFP, ISFP, INFJ, ISTJ, INTJ, ISFJ, ESFJ, ENTP, ESTJ</v>
      </c>
      <c r="K228" s="26" t="str">
        <f>'Raw data'!L223</f>
        <v>무교</v>
      </c>
      <c r="L228" s="26" t="str">
        <f>'Raw data'!M223</f>
        <v>무관</v>
      </c>
      <c r="M228" s="26" t="str">
        <f>'Raw data'!P223</f>
        <v>무관</v>
      </c>
      <c r="N228" s="26" t="str">
        <f>'Raw data'!N223</f>
        <v>음악을 좋아해서 공연을 자주보러다니고 그 외에는 집에서 하는 취미가 많은 집순이입니다. 장난치는 걸 좋아하고 한번 빠지면 한사람한테만 집중합니다. 애교랑 웃음이 많은 편이고 활동적인 반면에 조용한 곳을 좋아하는 편입니다. 30살이 되고나서 남사친은 불필요하다고 판단해서 불편한 사이의 이성친구는 없습니다. 캐주얼이나 단정한 느낌의 옷을 주로 입으며 어렷을때부터 화학을 좋아해서 이과 관련 얘기를 좋아합니다.</v>
      </c>
      <c r="O228" s="26" t="str">
        <f>'Raw data'!O223</f>
        <v>노래듣는 걸 좋아하고 취미가 다양한 사람이면서 책읽는 즐거움을 알면 좋겠습니다. 남자답지만 표현을 잘하는 성격이면 좋겠습니다. 서울에 살면 좋겠고 소소하게 돌아다니는 데이트를 좋아했으면 합니다.</v>
      </c>
      <c r="P228" s="26">
        <f>'Raw data'!Q223</f>
        <v>0</v>
      </c>
    </row>
    <row r="229" spans="1:16">
      <c r="A229" s="46">
        <v>227</v>
      </c>
      <c r="B229" s="26" t="str">
        <f>'Raw data'!B224</f>
        <v>남</v>
      </c>
      <c r="C229" s="26" t="str">
        <f>'Raw data'!C224</f>
        <v>강병곤</v>
      </c>
      <c r="D229" s="26">
        <f>'Raw data'!F224</f>
        <v>34</v>
      </c>
      <c r="E229" s="26">
        <f>'Raw data'!H224</f>
        <v>167</v>
      </c>
      <c r="F229" s="26" t="str">
        <f>'Raw data'!E224</f>
        <v>LBhunet(lg고객센터) 사원</v>
      </c>
      <c r="G229" s="26" t="str">
        <f>'Raw data'!G224</f>
        <v>28~31</v>
      </c>
      <c r="H229" s="26" t="str">
        <f>'Raw data'!I224</f>
        <v>무관</v>
      </c>
      <c r="I229" s="26" t="str">
        <f>'Raw data'!J224</f>
        <v>ISTJ</v>
      </c>
      <c r="J229" s="26" t="str">
        <f>'Raw data'!K224</f>
        <v>무관</v>
      </c>
      <c r="K229" s="26" t="str">
        <f>'Raw data'!L224</f>
        <v>천주교</v>
      </c>
      <c r="L229" s="26" t="str">
        <f>'Raw data'!M224</f>
        <v>무관</v>
      </c>
      <c r="M229" s="26" t="str">
        <f>'Raw data'!P224</f>
        <v>무관</v>
      </c>
      <c r="N229" s="26" t="str">
        <f>'Raw data'!N224</f>
        <v>첫인상은 조용하고 T같고 차분하지만 친해지면 재밋는 부분도 어느정도 있고 바운더리에 들어오기 까지 경계를 많이 하지만 들어오고 난 이후로는 무장해제 되는 사람입니다
키가 작아서 그런지 동안인 편이고 생활패턴은 헬스장 직장 학원 간혹 주말에 혼자 재즈공연 보러 혼자 외출해요</v>
      </c>
      <c r="O229" s="26" t="str">
        <f>'Raw data'!O224</f>
        <v>외적인 부분으로는 스트리머 금휘님 같은 스타일 성격은 긍정적이고 밝은 분</v>
      </c>
      <c r="P229" s="26" t="str">
        <f>'Raw data'!Q224</f>
        <v>낯을 많이 가리는 편이에요 정말 사람만날 곳이 없어서 신청했는데 잘부탁드립니다</v>
      </c>
    </row>
    <row r="230" spans="1:16">
      <c r="A230" s="46">
        <v>228</v>
      </c>
      <c r="B230" s="26" t="str">
        <f>'Raw data'!B225</f>
        <v>여</v>
      </c>
      <c r="C230" s="26" t="str">
        <f>'Raw data'!C225</f>
        <v>이혜민</v>
      </c>
      <c r="D230" s="26">
        <f>'Raw data'!F225</f>
        <v>37</v>
      </c>
      <c r="E230" s="26">
        <f>'Raw data'!H225</f>
        <v>167</v>
      </c>
      <c r="F230" s="26" t="str">
        <f>'Raw data'!E225</f>
        <v>건설사 계약관리직</v>
      </c>
      <c r="G230" s="26" t="str">
        <f>'Raw data'!G225</f>
        <v>35~41</v>
      </c>
      <c r="H230" s="26" t="str">
        <f>'Raw data'!I225</f>
        <v>175~</v>
      </c>
      <c r="I230" s="26" t="str">
        <f>'Raw data'!J225</f>
        <v>ESTJ</v>
      </c>
      <c r="J230" s="26" t="str">
        <f>'Raw data'!K225</f>
        <v>무관</v>
      </c>
      <c r="K230" s="26" t="str">
        <f>'Raw data'!L225</f>
        <v>무교</v>
      </c>
      <c r="L230" s="26" t="str">
        <f>'Raw data'!M225</f>
        <v>동일</v>
      </c>
      <c r="M230" s="26" t="str">
        <f>'Raw data'!P225</f>
        <v>자영업</v>
      </c>
      <c r="N230" s="26" t="str">
        <f>'Raw data'!N225</f>
        <v>차분하지만 밝고 개그욕심 있는 사람!</v>
      </c>
      <c r="O230" s="26" t="str">
        <f>'Raw data'!O225</f>
        <v>키크고 자상하고 티키타카 잘되는분</v>
      </c>
      <c r="P230" s="26">
        <f>'Raw data'!Q225</f>
        <v>0</v>
      </c>
    </row>
    <row r="231" spans="1:16">
      <c r="A231" s="46">
        <v>229</v>
      </c>
      <c r="B231" s="26" t="str">
        <f>'Raw data'!B226</f>
        <v>여</v>
      </c>
      <c r="C231" s="26" t="str">
        <f>'Raw data'!C226</f>
        <v>최해진</v>
      </c>
      <c r="D231" s="26">
        <f>'Raw data'!F226</f>
        <v>36</v>
      </c>
      <c r="E231" s="26">
        <f>'Raw data'!H226</f>
        <v>161</v>
      </c>
      <c r="F231" s="26" t="str">
        <f>'Raw data'!E226</f>
        <v>아우디딜러사 회계팀</v>
      </c>
      <c r="G231" s="26" t="str">
        <f>'Raw data'!G226</f>
        <v>31~41</v>
      </c>
      <c r="H231" s="26" t="str">
        <f>'Raw data'!I226</f>
        <v>175~180</v>
      </c>
      <c r="I231" s="26" t="str">
        <f>'Raw data'!J226</f>
        <v>INFP</v>
      </c>
      <c r="J231" s="26" t="str">
        <f>'Raw data'!K226</f>
        <v>무관</v>
      </c>
      <c r="K231" s="26" t="str">
        <f>'Raw data'!L226</f>
        <v>무교</v>
      </c>
      <c r="L231" s="26" t="str">
        <f>'Raw data'!M226</f>
        <v>무관</v>
      </c>
      <c r="M231" s="26" t="str">
        <f>'Raw data'!P226</f>
        <v>무관</v>
      </c>
      <c r="N231" s="26" t="str">
        <f>'Raw data'!N226</f>
        <v>배려와 다정한 사랑꾼</v>
      </c>
      <c r="O231" s="26" t="str">
        <f>'Raw data'!O226</f>
        <v>무던하고 다정다감</v>
      </c>
      <c r="P231" s="26">
        <f>'Raw data'!Q226</f>
        <v>0</v>
      </c>
    </row>
    <row r="232" spans="1:16">
      <c r="A232" s="46">
        <v>230</v>
      </c>
      <c r="B232" s="26" t="str">
        <f>'Raw data'!B227</f>
        <v>여</v>
      </c>
      <c r="C232" s="26" t="str">
        <f>'Raw data'!C227</f>
        <v>최안나</v>
      </c>
      <c r="D232" s="26">
        <f>'Raw data'!F227</f>
        <v>37</v>
      </c>
      <c r="E232" s="26">
        <f>'Raw data'!H227</f>
        <v>168</v>
      </c>
      <c r="F232" s="26" t="str">
        <f>'Raw data'!E227</f>
        <v>인테리어디자이너</v>
      </c>
      <c r="G232" s="26" t="str">
        <f>'Raw data'!G227</f>
        <v>31~41</v>
      </c>
      <c r="H232" s="26" t="str">
        <f>'Raw data'!I227</f>
        <v>170~</v>
      </c>
      <c r="I232" s="26" t="str">
        <f>'Raw data'!J227</f>
        <v>ISFJ</v>
      </c>
      <c r="J232" s="26" t="str">
        <f>'Raw data'!K227</f>
        <v>INFP, ISFP, INFJ, ISFJ, ENFP, ESFP, ENFJ, ESFJ</v>
      </c>
      <c r="K232" s="26" t="str">
        <f>'Raw data'!L227</f>
        <v>기독교</v>
      </c>
      <c r="L232" s="26" t="str">
        <f>'Raw data'!M227</f>
        <v>동일, 무관</v>
      </c>
      <c r="M232" s="26" t="str">
        <f>'Raw data'!P227</f>
        <v>무관</v>
      </c>
      <c r="N232" s="26" t="str">
        <f>'Raw data'!N227</f>
        <v>쳇지피티에게 물어본 저의 성격 입니다
-나의 일에대한 자부심과 욕심이 있는 편
1. 기본 성향: 강한데 섬세함
• 겉으로는 단단하고 자기주장 있는 스타일
• 근데 속은 생각 많고, 감정 디테일하게 느끼는 편
👉 그래서 “쿨한데 예민한 사람” 느낌 같이 있음
—
2. 사람 대하는 방식: 선택적으로 열림
• 아무한테나 잘해주는 타입 아님
• 대신 한 번 마음 열면 진짜 잘해줌
👉 그래서 인간관계가 “깊거나 / 아니거나” 둘 중 하나
—
3. 자존감 구조
• 기본 자존감은 있는 편 (쉽게 무너지진 않음)
• 근데 특정 상황(연애, 상대 반응)에서는 흔들림 있음
👉 “나는 괜찮은데 왜 이러지?” 이런 생각 자주 드는 타입
—
4. 감정 처리 방식
• 감정이 없는 게 아니라
👉 느끼지만 표현을 조절하는 스타일
• 그래서 겉으로는 덤덤해 보이는데
속에서는 계속 생각 돌림
—
5. 연애 성향 연결
• 가볍게 못 만남
• 확신 없으면 마음 아끼려고 함
👉 그래서 애매한 상황에서 더 스트레스 받는 타입
—
6. 중요한 포인트 하나
너는
👉 사람을 보는 눈이 있는 대신, 감정이 따라가면 그걸 무시 못하는 타입
그래서
• “이 사람 아닌 거 아는데 왜 신경 쓰이지?”
이런 상황이 생김
—
한 줄로 정리하면
👉 겉은 강하고 선 긋는 사람
👉 속은 깊고 쉽게 정 주는 사람
👉 그래서 스스로도 헷갈릴 때 있는 타입</v>
      </c>
      <c r="O232" s="26" t="str">
        <f>'Raw data'!O227</f>
        <v>말을 함부로 하지않고 다정한 사람. 가끔 웃긴사람</v>
      </c>
      <c r="P232" s="26">
        <f>'Raw data'!Q227</f>
        <v>0</v>
      </c>
    </row>
    <row r="233" spans="1:16">
      <c r="A233" s="46">
        <v>231</v>
      </c>
      <c r="B233" s="26" t="str">
        <f>'Raw data'!B228</f>
        <v>여</v>
      </c>
      <c r="C233" s="26" t="str">
        <f>'Raw data'!C228</f>
        <v>허예진</v>
      </c>
      <c r="D233" s="26">
        <f>'Raw data'!F228</f>
        <v>26</v>
      </c>
      <c r="E233" s="26">
        <f>'Raw data'!H228</f>
        <v>168</v>
      </c>
      <c r="F233" s="26" t="str">
        <f>'Raw data'!E228</f>
        <v>요양병원 간호사</v>
      </c>
      <c r="G233" s="26" t="str">
        <f>'Raw data'!G228</f>
        <v>24~31</v>
      </c>
      <c r="H233" s="26" t="str">
        <f>'Raw data'!I228</f>
        <v>175~</v>
      </c>
      <c r="I233" s="26" t="str">
        <f>'Raw data'!J228</f>
        <v>INTJ</v>
      </c>
      <c r="J233" s="26" t="str">
        <f>'Raw data'!K228</f>
        <v>무관</v>
      </c>
      <c r="K233" s="26" t="str">
        <f>'Raw data'!L228</f>
        <v>무교</v>
      </c>
      <c r="L233" s="26" t="str">
        <f>'Raw data'!M228</f>
        <v>무관</v>
      </c>
      <c r="M233" s="26" t="str">
        <f>'Raw data'!P228</f>
        <v>자영업</v>
      </c>
      <c r="N233" s="26" t="str">
        <f>'Raw data'!N228</f>
        <v>친해지면 재밌는 사람</v>
      </c>
      <c r="O233" s="26" t="str">
        <f>'Raw data'!O228</f>
        <v>정형화 된 것은 없고 서로 얼굴 이미지가 같고 대화가 통하는 사람??</v>
      </c>
      <c r="P233" s="26">
        <f>'Raw data'!Q228</f>
        <v>0</v>
      </c>
    </row>
    <row r="234" spans="1:16">
      <c r="A234" s="46">
        <v>232</v>
      </c>
      <c r="B234" s="26" t="str">
        <f>'Raw data'!B229</f>
        <v>여</v>
      </c>
      <c r="C234" s="26" t="str">
        <f>'Raw data'!C229</f>
        <v>유서희</v>
      </c>
      <c r="D234" s="26">
        <f>'Raw data'!F229</f>
        <v>39</v>
      </c>
      <c r="E234" s="26">
        <f>'Raw data'!H229</f>
        <v>160</v>
      </c>
      <c r="F234" s="26" t="str">
        <f>'Raw data'!E229</f>
        <v>대학원생</v>
      </c>
      <c r="G234" s="26" t="str">
        <f>'Raw data'!G229</f>
        <v>38~</v>
      </c>
      <c r="H234" s="26" t="str">
        <f>'Raw data'!I229</f>
        <v>175~</v>
      </c>
      <c r="I234" s="26" t="str">
        <f>'Raw data'!J229</f>
        <v>INFJ</v>
      </c>
      <c r="J234" s="26" t="str">
        <f>'Raw data'!K229</f>
        <v>무관</v>
      </c>
      <c r="K234" s="26" t="str">
        <f>'Raw data'!L229</f>
        <v>무교</v>
      </c>
      <c r="L234" s="26" t="str">
        <f>'Raw data'!M229</f>
        <v>무관</v>
      </c>
      <c r="M234" s="26" t="str">
        <f>'Raw data'!P229</f>
        <v>무관</v>
      </c>
      <c r="N234" s="26" t="str">
        <f>'Raw data'!N229</f>
        <v>예쁜편. 단아하고 지적인 이미지. 
자기 감정 스스로 책임질줄 아는 사람.
다양한 관점에서 세계관 상상하길 좋아하는 사람. 
상대방을 있는 그대로 바라보고 존중하려 노력하는 사람.</v>
      </c>
      <c r="O234" s="26" t="str">
        <f>'Raw data'!O229</f>
        <v>상대방을 존중할 줄 아는 사람. 문제 해결력 좋은 사람. 단정한 사람.</v>
      </c>
      <c r="P234" s="26">
        <f>'Raw data'!Q229</f>
        <v>0</v>
      </c>
    </row>
    <row r="235" spans="1:16">
      <c r="A235" s="46">
        <v>233</v>
      </c>
      <c r="B235" s="26" t="str">
        <f>'Raw data'!B230</f>
        <v>남</v>
      </c>
      <c r="C235" s="26" t="str">
        <f>'Raw data'!C230</f>
        <v>양명직</v>
      </c>
      <c r="D235" s="26">
        <f>'Raw data'!F230</f>
        <v>39</v>
      </c>
      <c r="E235" s="26">
        <f>'Raw data'!H230</f>
        <v>177</v>
      </c>
      <c r="F235" s="26" t="str">
        <f>'Raw data'!E230</f>
        <v>설비업. 대표</v>
      </c>
      <c r="G235" s="26" t="str">
        <f>'Raw data'!G230</f>
        <v>35~41</v>
      </c>
      <c r="H235" s="26" t="str">
        <f>'Raw data'!I230</f>
        <v>165~175</v>
      </c>
      <c r="I235" s="26" t="str">
        <f>'Raw data'!J230</f>
        <v>ENTP</v>
      </c>
      <c r="J235" s="26" t="str">
        <f>'Raw data'!K230</f>
        <v>무관</v>
      </c>
      <c r="K235" s="26" t="str">
        <f>'Raw data'!L230</f>
        <v>기독교</v>
      </c>
      <c r="L235" s="26" t="str">
        <f>'Raw data'!M230</f>
        <v>무관</v>
      </c>
      <c r="M235" s="26" t="str">
        <f>'Raw data'!P230</f>
        <v>무관</v>
      </c>
      <c r="N235" s="26" t="str">
        <f>'Raw data'!N230</f>
        <v>차분하고 섹시한타입</v>
      </c>
      <c r="O235" s="26" t="str">
        <f>'Raw data'!O230</f>
        <v>귀여운여자</v>
      </c>
      <c r="P235" s="26" t="str">
        <f>'Raw data'!Q230</f>
        <v>없습니다</v>
      </c>
    </row>
    <row r="236" spans="1:16">
      <c r="A236" s="46">
        <v>234</v>
      </c>
      <c r="B236" s="26" t="str">
        <f>'Raw data'!B231</f>
        <v>남</v>
      </c>
      <c r="C236" s="26" t="str">
        <f>'Raw data'!C231</f>
        <v>김용재</v>
      </c>
      <c r="D236" s="26">
        <f>'Raw data'!F231</f>
        <v>29</v>
      </c>
      <c r="E236" s="26">
        <f>'Raw data'!H231</f>
        <v>166</v>
      </c>
      <c r="F236" s="26" t="str">
        <f>'Raw data'!E231</f>
        <v>엔지니어</v>
      </c>
      <c r="G236" s="26" t="str">
        <f>'Raw data'!G231</f>
        <v>24~34</v>
      </c>
      <c r="H236" s="26" t="str">
        <f>'Raw data'!I231</f>
        <v>~170</v>
      </c>
      <c r="I236" s="26" t="str">
        <f>'Raw data'!J231</f>
        <v>INTP</v>
      </c>
      <c r="J236" s="26" t="str">
        <f>'Raw data'!K231</f>
        <v>무관</v>
      </c>
      <c r="K236" s="26" t="str">
        <f>'Raw data'!L231</f>
        <v>무교</v>
      </c>
      <c r="L236" s="26" t="str">
        <f>'Raw data'!M231</f>
        <v>무관</v>
      </c>
      <c r="M236" s="26">
        <f>'Raw data'!P231</f>
        <v>0</v>
      </c>
      <c r="N236" s="26" t="str">
        <f>'Raw data'!N231</f>
        <v>좋은사람😄</v>
      </c>
      <c r="O236" s="26">
        <f>'Raw data'!O231</f>
        <v>0</v>
      </c>
      <c r="P236" s="26">
        <f>'Raw data'!Q231</f>
        <v>0</v>
      </c>
    </row>
    <row r="237" spans="1:16">
      <c r="A237" s="46">
        <v>235</v>
      </c>
      <c r="B237" s="26" t="str">
        <f>'Raw data'!B232</f>
        <v>여</v>
      </c>
      <c r="C237" s="26" t="str">
        <f>'Raw data'!C232</f>
        <v>김다은</v>
      </c>
      <c r="D237" s="26">
        <f>'Raw data'!F232</f>
        <v>30</v>
      </c>
      <c r="E237" s="26">
        <f>'Raw data'!H232</f>
        <v>158</v>
      </c>
      <c r="F237" s="26" t="str">
        <f>'Raw data'!E232</f>
        <v>서울시 공무원</v>
      </c>
      <c r="G237" s="26" t="str">
        <f>'Raw data'!G232</f>
        <v>31~34</v>
      </c>
      <c r="H237" s="26" t="str">
        <f>'Raw data'!I232</f>
        <v>170~180</v>
      </c>
      <c r="I237" s="26" t="str">
        <f>'Raw data'!J232</f>
        <v>ISFJ</v>
      </c>
      <c r="J237" s="26" t="str">
        <f>'Raw data'!K232</f>
        <v>무관</v>
      </c>
      <c r="K237" s="26" t="str">
        <f>'Raw data'!L232</f>
        <v>무교</v>
      </c>
      <c r="L237" s="26" t="str">
        <f>'Raw data'!M232</f>
        <v>동일</v>
      </c>
      <c r="M237" s="26">
        <f>'Raw data'!P232</f>
        <v>0</v>
      </c>
      <c r="N237" s="26" t="str">
        <f>'Raw data'!N232</f>
        <v>차분한 사람..?</v>
      </c>
      <c r="O237" s="26">
        <f>'Raw data'!O232</f>
        <v>0</v>
      </c>
      <c r="P237" s="26">
        <f>'Raw data'!Q232</f>
        <v>0</v>
      </c>
    </row>
    <row r="238" spans="1:16">
      <c r="A238" s="46">
        <v>236</v>
      </c>
      <c r="B238" s="26" t="str">
        <f>'Raw data'!B233</f>
        <v>여</v>
      </c>
      <c r="C238" s="26" t="str">
        <f>'Raw data'!C233</f>
        <v>김리안</v>
      </c>
      <c r="D238" s="26">
        <f>'Raw data'!F233</f>
        <v>31</v>
      </c>
      <c r="E238" s="26">
        <f>'Raw data'!H233</f>
        <v>156</v>
      </c>
      <c r="F238" s="26" t="str">
        <f>'Raw data'!E233</f>
        <v>건축 cg 디자이너</v>
      </c>
      <c r="G238" s="26" t="str">
        <f>'Raw data'!G233</f>
        <v>31~38</v>
      </c>
      <c r="H238" s="26" t="str">
        <f>'Raw data'!I233</f>
        <v>175~180</v>
      </c>
      <c r="I238" s="26" t="str">
        <f>'Raw data'!J233</f>
        <v>ESTJ</v>
      </c>
      <c r="J238" s="26" t="str">
        <f>'Raw data'!K233</f>
        <v>무관</v>
      </c>
      <c r="K238" s="26" t="str">
        <f>'Raw data'!L233</f>
        <v>무교, 불교</v>
      </c>
      <c r="L238" s="26" t="str">
        <f>'Raw data'!M233</f>
        <v>동일, 무관</v>
      </c>
      <c r="M238" s="26" t="str">
        <f>'Raw data'!P233</f>
        <v>무관</v>
      </c>
      <c r="N238" s="26" t="str">
        <f>'Raw data'!N233</f>
        <v>양파같은 매력을 지닌 자</v>
      </c>
      <c r="O238" s="26" t="str">
        <f>'Raw data'!O233</f>
        <v>곰상/리드 잘 하시는 분/ 손톱이 깨끗한 분/ 섬세한 분</v>
      </c>
      <c r="P238" s="26">
        <f>'Raw data'!Q233</f>
        <v>0</v>
      </c>
    </row>
    <row r="239" spans="1:16">
      <c r="A239" s="46">
        <v>237</v>
      </c>
      <c r="B239" s="26" t="str">
        <f>'Raw data'!B234</f>
        <v>여</v>
      </c>
      <c r="C239" s="26" t="str">
        <f>'Raw data'!C234</f>
        <v>심진희</v>
      </c>
      <c r="D239" s="26">
        <f>'Raw data'!F234</f>
        <v>37</v>
      </c>
      <c r="E239" s="26">
        <f>'Raw data'!H234</f>
        <v>163</v>
      </c>
      <c r="F239" s="26" t="str">
        <f>'Raw data'!E234</f>
        <v>하이파킹 서비스지원팀</v>
      </c>
      <c r="G239" s="26" t="str">
        <f>'Raw data'!G234</f>
        <v>35~41</v>
      </c>
      <c r="H239" s="26" t="str">
        <f>'Raw data'!I234</f>
        <v>170~</v>
      </c>
      <c r="I239" s="26" t="str">
        <f>'Raw data'!J234</f>
        <v>ENFP</v>
      </c>
      <c r="J239" s="26" t="str">
        <f>'Raw data'!K234</f>
        <v>무관</v>
      </c>
      <c r="K239" s="26" t="str">
        <f>'Raw data'!L234</f>
        <v>무교</v>
      </c>
      <c r="L239" s="26" t="str">
        <f>'Raw data'!M234</f>
        <v>동일</v>
      </c>
      <c r="M239" s="26" t="str">
        <f>'Raw data'!P234</f>
        <v>무관</v>
      </c>
      <c r="N239" s="26" t="str">
        <f>'Raw data'!N234</f>
        <v>웃음이 많은 사람</v>
      </c>
      <c r="O239" s="26" t="str">
        <f>'Raw data'!O234</f>
        <v>다부진데 다정한사람</v>
      </c>
      <c r="P239" s="26">
        <f>'Raw data'!Q234</f>
        <v>0</v>
      </c>
    </row>
    <row r="240" spans="1:16">
      <c r="A240" s="46">
        <v>238</v>
      </c>
      <c r="B240" s="26" t="str">
        <f>'Raw data'!B235</f>
        <v>남</v>
      </c>
      <c r="C240" s="26" t="str">
        <f>'Raw data'!C235</f>
        <v>김성중</v>
      </c>
      <c r="D240" s="26">
        <f>'Raw data'!F235</f>
        <v>29</v>
      </c>
      <c r="E240" s="26">
        <f>'Raw data'!H235</f>
        <v>175</v>
      </c>
      <c r="F240" s="26" t="str">
        <f>'Raw data'!E235</f>
        <v>서울도시가스 (기술직)</v>
      </c>
      <c r="G240" s="26" t="str">
        <f>'Raw data'!G235</f>
        <v>24~27</v>
      </c>
      <c r="H240" s="26" t="str">
        <f>'Raw data'!I235</f>
        <v>~165</v>
      </c>
      <c r="I240" s="26" t="str">
        <f>'Raw data'!J235</f>
        <v>ESTJ</v>
      </c>
      <c r="J240" s="26" t="str">
        <f>'Raw data'!K235</f>
        <v>무관</v>
      </c>
      <c r="K240" s="26" t="str">
        <f>'Raw data'!L235</f>
        <v>무교</v>
      </c>
      <c r="L240" s="26" t="str">
        <f>'Raw data'!M235</f>
        <v>무관</v>
      </c>
      <c r="M240" s="26" t="str">
        <f>'Raw data'!P235</f>
        <v>무관</v>
      </c>
      <c r="N240" s="26" t="str">
        <f>'Raw data'!N235</f>
        <v>현실적이고 이상적이며 열심히 살고있는 개미에요</v>
      </c>
      <c r="O240" s="26" t="str">
        <f>'Raw data'!O235</f>
        <v>애교 많고 청순한 스타일</v>
      </c>
      <c r="P240" s="26">
        <f>'Raw data'!Q235</f>
        <v>0</v>
      </c>
    </row>
    <row r="241" spans="1:16">
      <c r="A241" s="46">
        <v>239</v>
      </c>
      <c r="B241" s="26" t="str">
        <f>'Raw data'!B236</f>
        <v>여</v>
      </c>
      <c r="C241" s="26" t="str">
        <f>'Raw data'!C236</f>
        <v>이혜원</v>
      </c>
      <c r="D241" s="26">
        <f>'Raw data'!F236</f>
        <v>33</v>
      </c>
      <c r="E241" s="26">
        <f>'Raw data'!H236</f>
        <v>163</v>
      </c>
      <c r="F241" s="26" t="str">
        <f>'Raw data'!E236</f>
        <v>교사</v>
      </c>
      <c r="G241" s="26" t="str">
        <f>'Raw data'!G236</f>
        <v>31~38</v>
      </c>
      <c r="H241" s="26" t="str">
        <f>'Raw data'!I236</f>
        <v>175~</v>
      </c>
      <c r="I241" s="26" t="str">
        <f>'Raw data'!J236</f>
        <v>ESTP</v>
      </c>
      <c r="J241" s="26" t="str">
        <f>'Raw data'!K236</f>
        <v>무관, ISFP, ESFP, ESFJ</v>
      </c>
      <c r="K241" s="26" t="str">
        <f>'Raw data'!L236</f>
        <v>천주교</v>
      </c>
      <c r="L241" s="26" t="str">
        <f>'Raw data'!M236</f>
        <v>무관</v>
      </c>
      <c r="M241" s="26" t="str">
        <f>'Raw data'!P236</f>
        <v>공무원</v>
      </c>
      <c r="N241" s="26" t="str">
        <f>'Raw data'!N236</f>
        <v>차분한사람</v>
      </c>
      <c r="O241" s="26" t="str">
        <f>'Raw data'!O236</f>
        <v>남자다운사람</v>
      </c>
      <c r="P241" s="26" t="str">
        <f>'Raw data'!Q236</f>
        <v>없음</v>
      </c>
    </row>
    <row r="242" spans="1:16">
      <c r="A242" s="46">
        <v>240</v>
      </c>
      <c r="B242" s="26" t="str">
        <f>'Raw data'!B237</f>
        <v>남</v>
      </c>
      <c r="C242" s="26" t="str">
        <f>'Raw data'!C237</f>
        <v>최현식</v>
      </c>
      <c r="D242" s="26">
        <f>'Raw data'!F237</f>
        <v>31</v>
      </c>
      <c r="E242" s="26">
        <f>'Raw data'!H237</f>
        <v>174</v>
      </c>
      <c r="F242" s="26" t="str">
        <f>'Raw data'!E237</f>
        <v>전략기획실</v>
      </c>
      <c r="G242" s="26" t="str">
        <f>'Raw data'!G237</f>
        <v>24~34</v>
      </c>
      <c r="H242" s="26" t="str">
        <f>'Raw data'!I237</f>
        <v>160~170</v>
      </c>
      <c r="I242" s="26" t="str">
        <f>'Raw data'!J237</f>
        <v>ISFJ</v>
      </c>
      <c r="J242" s="26" t="str">
        <f>'Raw data'!K237</f>
        <v>무관</v>
      </c>
      <c r="K242" s="26" t="str">
        <f>'Raw data'!L237</f>
        <v>무교</v>
      </c>
      <c r="L242" s="26" t="str">
        <f>'Raw data'!M237</f>
        <v>동일</v>
      </c>
      <c r="M242" s="26" t="str">
        <f>'Raw data'!P237</f>
        <v>무관</v>
      </c>
      <c r="N242" s="26" t="str">
        <f>'Raw data'!N237</f>
        <v>나는 .. 장난끼잇는데 차분한사람..?</v>
      </c>
      <c r="O242" s="26" t="str">
        <f>'Raw data'!O237</f>
        <v>내가 생각하는거 보다 그냥 나랑 잘 맞는사람</v>
      </c>
      <c r="P242" s="26">
        <f>'Raw data'!Q237</f>
        <v>0</v>
      </c>
    </row>
    <row r="243" spans="1:16">
      <c r="A243" s="46">
        <v>241</v>
      </c>
      <c r="B243" s="26" t="str">
        <f>'Raw data'!B238</f>
        <v>여</v>
      </c>
      <c r="C243" s="26" t="str">
        <f>'Raw data'!C238</f>
        <v>안희준</v>
      </c>
      <c r="D243" s="26">
        <f>'Raw data'!F238</f>
        <v>32</v>
      </c>
      <c r="E243" s="26">
        <f>'Raw data'!H238</f>
        <v>162</v>
      </c>
      <c r="F243" s="26" t="str">
        <f>'Raw data'!E238</f>
        <v>건축사무소, 건축설계</v>
      </c>
      <c r="G243" s="26" t="str">
        <f>'Raw data'!G238</f>
        <v>31~38</v>
      </c>
      <c r="H243" s="26" t="str">
        <f>'Raw data'!I238</f>
        <v>175~</v>
      </c>
      <c r="I243" s="26" t="str">
        <f>'Raw data'!J238</f>
        <v>ENTJ</v>
      </c>
      <c r="J243" s="26" t="str">
        <f>'Raw data'!K238</f>
        <v>무관</v>
      </c>
      <c r="K243" s="26" t="str">
        <f>'Raw data'!L238</f>
        <v>무교, 불교</v>
      </c>
      <c r="L243" s="26" t="str">
        <f>'Raw data'!M238</f>
        <v>무관</v>
      </c>
      <c r="M243" s="26" t="str">
        <f>'Raw data'!P238</f>
        <v>자영업</v>
      </c>
      <c r="N243" s="26" t="str">
        <f>'Raw data'!N238</f>
        <v>추진력있고 다양한 경험을 좋아하는 사람, 장난기있지만 다정한 사람</v>
      </c>
      <c r="O243" s="26" t="str">
        <f>'Raw data'!O238</f>
        <v>긴장 잘 안하는 사람, 자기 확신있는 사람, 손이 남자다운 사람</v>
      </c>
      <c r="P243" s="26">
        <f>'Raw data'!Q238</f>
        <v>0</v>
      </c>
    </row>
    <row r="244" spans="1:16">
      <c r="A244" s="46">
        <v>242</v>
      </c>
      <c r="B244" s="26" t="str">
        <f>'Raw data'!B239</f>
        <v>남</v>
      </c>
      <c r="C244" s="26" t="str">
        <f>'Raw data'!C239</f>
        <v>이성민</v>
      </c>
      <c r="D244" s="26">
        <f>'Raw data'!F239</f>
        <v>34</v>
      </c>
      <c r="E244" s="26">
        <f>'Raw data'!H239</f>
        <v>173</v>
      </c>
      <c r="F244" s="26" t="str">
        <f>'Raw data'!E239</f>
        <v>배달전용프랜차이즈본사/대표</v>
      </c>
      <c r="G244" s="26" t="str">
        <f>'Raw data'!G239</f>
        <v>28~34</v>
      </c>
      <c r="H244" s="26" t="str">
        <f>'Raw data'!I239</f>
        <v>~170</v>
      </c>
      <c r="I244" s="26" t="str">
        <f>'Raw data'!J239</f>
        <v>ENTJ</v>
      </c>
      <c r="J244" s="26" t="str">
        <f>'Raw data'!K239</f>
        <v>무관</v>
      </c>
      <c r="K244" s="26" t="str">
        <f>'Raw data'!L239</f>
        <v>기독교</v>
      </c>
      <c r="L244" s="26" t="str">
        <f>'Raw data'!M239</f>
        <v>무관</v>
      </c>
      <c r="M244" s="26" t="str">
        <f>'Raw data'!P239</f>
        <v>무관</v>
      </c>
      <c r="N244" s="26" t="str">
        <f>'Raw data'!N239</f>
        <v>목표가 정해지면 주저하지 않고 실행에 옮겨 효율적인 결과를 만들어내는 사람?인 것 같아요</v>
      </c>
      <c r="O244" s="26" t="str">
        <f>'Raw data'!O239</f>
        <v>잘웃고, 잘먹고, 잘놀고, 본인업무에 성취감을 느끼는 사람</v>
      </c>
      <c r="P244" s="26" t="str">
        <f>'Raw data'!Q239</f>
        <v>요즘엔 버터떡이 유행이더라구요?!? 뭐든 좋긴해요!</v>
      </c>
    </row>
    <row r="245" spans="1:16">
      <c r="A245" s="46">
        <v>243</v>
      </c>
      <c r="B245" s="26" t="str">
        <f>'Raw data'!B240</f>
        <v>남</v>
      </c>
      <c r="C245" s="26" t="str">
        <f>'Raw data'!C240</f>
        <v>이민현</v>
      </c>
      <c r="D245" s="26">
        <f>'Raw data'!F240</f>
        <v>38</v>
      </c>
      <c r="E245" s="26">
        <f>'Raw data'!H240</f>
        <v>170</v>
      </c>
      <c r="F245" s="26" t="str">
        <f>'Raw data'!E240</f>
        <v>회사원(SK, 서비스기획)</v>
      </c>
      <c r="G245" s="26" t="str">
        <f>'Raw data'!G240</f>
        <v>31~38</v>
      </c>
      <c r="H245" s="26" t="str">
        <f>'Raw data'!I240</f>
        <v>160~165</v>
      </c>
      <c r="I245" s="26" t="str">
        <f>'Raw data'!J240</f>
        <v>ESFJ</v>
      </c>
      <c r="J245" s="26" t="str">
        <f>'Raw data'!K240</f>
        <v>무관</v>
      </c>
      <c r="K245" s="26" t="str">
        <f>'Raw data'!L240</f>
        <v>무교</v>
      </c>
      <c r="L245" s="26" t="str">
        <f>'Raw data'!M240</f>
        <v>무관</v>
      </c>
      <c r="M245" s="26" t="str">
        <f>'Raw data'!P240</f>
        <v>무관</v>
      </c>
      <c r="N245" s="26" t="str">
        <f>'Raw data'!N240</f>
        <v>낯을 조금 가리지만, 편안한 대화와 소소한 웃음을 좋아하는 사람입니다. 천천히 알아갈수록 괜찮은 사람이라는 말 자주 듣습니다.</v>
      </c>
      <c r="O245" s="26" t="str">
        <f>'Raw data'!O240</f>
        <v>대화가 편하고, 같이 있을 때 웃음 포인트가 맞는 분을 좋아합니다.</v>
      </c>
      <c r="P245" s="26">
        <f>'Raw data'!Q240</f>
        <v>0</v>
      </c>
    </row>
    <row r="246" spans="1:16">
      <c r="A246" s="46">
        <v>244</v>
      </c>
      <c r="B246" s="26" t="str">
        <f>'Raw data'!B241</f>
        <v>남</v>
      </c>
      <c r="C246" s="26" t="str">
        <f>'Raw data'!C241</f>
        <v>장태진</v>
      </c>
      <c r="D246" s="26">
        <f>'Raw data'!F241</f>
        <v>36</v>
      </c>
      <c r="E246" s="26">
        <f>'Raw data'!H241</f>
        <v>176</v>
      </c>
      <c r="F246" s="26" t="str">
        <f>'Raw data'!E241</f>
        <v>과일디저트 브랜드, 총괄팀장</v>
      </c>
      <c r="G246" s="26" t="str">
        <f>'Raw data'!G241</f>
        <v>31~34</v>
      </c>
      <c r="H246" s="26" t="str">
        <f>'Raw data'!I241</f>
        <v>160~165</v>
      </c>
      <c r="I246" s="26" t="str">
        <f>'Raw data'!J241</f>
        <v>ENFJ</v>
      </c>
      <c r="J246" s="26" t="str">
        <f>'Raw data'!K241</f>
        <v>INFP, ISFP, INFJ, ISFJ, ENFP, ESFP, ENFJ, ESFJ</v>
      </c>
      <c r="K246" s="26" t="str">
        <f>'Raw data'!L241</f>
        <v>무교</v>
      </c>
      <c r="L246" s="26" t="str">
        <f>'Raw data'!M241</f>
        <v>무관</v>
      </c>
      <c r="M246" s="26" t="str">
        <f>'Raw data'!P241</f>
        <v>무관</v>
      </c>
      <c r="N246" s="26" t="str">
        <f>'Raw data'!N241</f>
        <v>공과사 구분확실, 모든지 최선, 경청배려</v>
      </c>
      <c r="O246" s="26" t="str">
        <f>'Raw data'!O241</f>
        <v>서로를 위한 존경과 내조</v>
      </c>
      <c r="P246" s="26">
        <f>'Raw data'!Q241</f>
        <v>0</v>
      </c>
    </row>
    <row r="247" spans="1:16">
      <c r="A247" s="46">
        <v>245</v>
      </c>
      <c r="B247" s="26" t="str">
        <f>'Raw data'!B242</f>
        <v>남</v>
      </c>
      <c r="C247" s="26" t="str">
        <f>'Raw data'!C242</f>
        <v>신지윤</v>
      </c>
      <c r="D247" s="26">
        <f>'Raw data'!F242</f>
        <v>34</v>
      </c>
      <c r="E247" s="26">
        <f>'Raw data'!H242</f>
        <v>186</v>
      </c>
      <c r="F247" s="26" t="str">
        <f>'Raw data'!E242</f>
        <v>(주)엘케이아이씨티/개발</v>
      </c>
      <c r="G247" s="26" t="str">
        <f>'Raw data'!G242</f>
        <v>28~34</v>
      </c>
      <c r="H247" s="26" t="str">
        <f>'Raw data'!I242</f>
        <v>160~170</v>
      </c>
      <c r="I247" s="26" t="str">
        <f>'Raw data'!J242</f>
        <v>ISFJ</v>
      </c>
      <c r="J247" s="26" t="str">
        <f>'Raw data'!K242</f>
        <v>무관</v>
      </c>
      <c r="K247" s="26" t="str">
        <f>'Raw data'!L242</f>
        <v>천주교</v>
      </c>
      <c r="L247" s="26" t="str">
        <f>'Raw data'!M242</f>
        <v>무관</v>
      </c>
      <c r="M247" s="26" t="str">
        <f>'Raw data'!P242</f>
        <v>무관</v>
      </c>
      <c r="N247" s="26" t="str">
        <f>'Raw data'!N242</f>
        <v>말 잘 듣는 사람</v>
      </c>
      <c r="O247" s="26">
        <f>'Raw data'!O242</f>
        <v>0</v>
      </c>
      <c r="P247" s="26">
        <f>'Raw data'!Q242</f>
        <v>0</v>
      </c>
    </row>
    <row r="248" spans="1:16">
      <c r="A248" s="46">
        <v>246</v>
      </c>
      <c r="B248" s="26" t="str">
        <f>'Raw data'!B243</f>
        <v>남</v>
      </c>
      <c r="C248" s="26" t="str">
        <f>'Raw data'!C243</f>
        <v>최장군</v>
      </c>
      <c r="D248" s="26">
        <f>'Raw data'!F243</f>
        <v>31</v>
      </c>
      <c r="E248" s="26">
        <f>'Raw data'!H243</f>
        <v>178</v>
      </c>
      <c r="F248" s="26" t="str">
        <f>'Raw data'!E243</f>
        <v>수제맥주 자영업자</v>
      </c>
      <c r="G248" s="26" t="str">
        <f>'Raw data'!G243</f>
        <v>24~34</v>
      </c>
      <c r="H248" s="26" t="str">
        <f>'Raw data'!I243</f>
        <v>~175</v>
      </c>
      <c r="I248" s="26" t="str">
        <f>'Raw data'!J243</f>
        <v>ENFP</v>
      </c>
      <c r="J248" s="26" t="str">
        <f>'Raw data'!K243</f>
        <v>무관</v>
      </c>
      <c r="K248" s="26" t="str">
        <f>'Raw data'!L243</f>
        <v>무교</v>
      </c>
      <c r="L248" s="26" t="str">
        <f>'Raw data'!M243</f>
        <v>무관</v>
      </c>
      <c r="M248" s="26" t="str">
        <f>'Raw data'!P243</f>
        <v>무관</v>
      </c>
      <c r="N248" s="26" t="str">
        <f>'Raw data'!N243</f>
        <v>재밌는사람</v>
      </c>
      <c r="O248" s="26" t="str">
        <f>'Raw data'!O243</f>
        <v>티키타카</v>
      </c>
      <c r="P248" s="26">
        <f>'Raw data'!Q243</f>
        <v>0</v>
      </c>
    </row>
    <row r="249" spans="1:16">
      <c r="A249" s="46">
        <v>247</v>
      </c>
      <c r="B249" s="26" t="str">
        <f>'Raw data'!B244</f>
        <v>여</v>
      </c>
      <c r="C249" s="26" t="str">
        <f>'Raw data'!C244</f>
        <v>지현선</v>
      </c>
      <c r="D249" s="26">
        <f>'Raw data'!F244</f>
        <v>39</v>
      </c>
      <c r="E249" s="26">
        <f>'Raw data'!H244</f>
        <v>163</v>
      </c>
      <c r="F249" s="26" t="str">
        <f>'Raw data'!E244</f>
        <v>상급종합병원 간호사</v>
      </c>
      <c r="G249" s="26" t="str">
        <f>'Raw data'!G244</f>
        <v>38~41</v>
      </c>
      <c r="H249" s="26" t="str">
        <f>'Raw data'!I244</f>
        <v>175~</v>
      </c>
      <c r="I249" s="26" t="str">
        <f>'Raw data'!J244</f>
        <v>ISFP</v>
      </c>
      <c r="J249" s="26" t="str">
        <f>'Raw data'!K244</f>
        <v>무관</v>
      </c>
      <c r="K249" s="26" t="str">
        <f>'Raw data'!L244</f>
        <v>무교</v>
      </c>
      <c r="L249" s="26" t="str">
        <f>'Raw data'!M244</f>
        <v>무관</v>
      </c>
      <c r="M249" s="26" t="str">
        <f>'Raw data'!P244</f>
        <v>자영업</v>
      </c>
      <c r="N249" s="26" t="str">
        <f>'Raw data'!N244</f>
        <v>따뜻한 사람</v>
      </c>
      <c r="O249" s="26" t="str">
        <f>'Raw data'!O244</f>
        <v>유머러스하고 배려심많은 사람</v>
      </c>
      <c r="P249" s="26">
        <f>'Raw data'!Q244</f>
        <v>0</v>
      </c>
    </row>
    <row r="250" spans="1:16">
      <c r="A250" s="46">
        <v>248</v>
      </c>
      <c r="B250" s="26" t="str">
        <f>'Raw data'!B245</f>
        <v>여</v>
      </c>
      <c r="C250" s="26" t="str">
        <f>'Raw data'!C245</f>
        <v>이수진</v>
      </c>
      <c r="D250" s="26">
        <f>'Raw data'!F245</f>
        <v>34</v>
      </c>
      <c r="E250" s="26">
        <f>'Raw data'!H245</f>
        <v>165</v>
      </c>
      <c r="F250" s="26" t="str">
        <f>'Raw data'!E245</f>
        <v>아멜리, 패키지디자인</v>
      </c>
      <c r="G250" s="26" t="str">
        <f>'Raw data'!G245</f>
        <v>31~38</v>
      </c>
      <c r="H250" s="26" t="str">
        <f>'Raw data'!I245</f>
        <v>175~</v>
      </c>
      <c r="I250" s="26" t="str">
        <f>'Raw data'!J245</f>
        <v>ENFP</v>
      </c>
      <c r="J250" s="26" t="str">
        <f>'Raw data'!K245</f>
        <v>INFJ, ISFJ, ENFP, ESFP, ENFJ, ESFJ</v>
      </c>
      <c r="K250" s="26" t="str">
        <f>'Raw data'!L245</f>
        <v>무교</v>
      </c>
      <c r="L250" s="26" t="str">
        <f>'Raw data'!M245</f>
        <v>동일, 무관</v>
      </c>
      <c r="M250" s="26" t="str">
        <f>'Raw data'!P245</f>
        <v>병원직군, 기술직, 연구직, 회사원</v>
      </c>
      <c r="N250" s="26" t="str">
        <f>'Raw data'!N245</f>
        <v>밝고 이해심이 높은 사람</v>
      </c>
      <c r="O250" s="26" t="str">
        <f>'Raw data'!O245</f>
        <v>호감형에 자상하고 배려심 좋은 사람</v>
      </c>
      <c r="P250" s="26">
        <f>'Raw data'!Q245</f>
        <v>0</v>
      </c>
    </row>
    <row r="251" spans="1:16">
      <c r="A251" s="46">
        <v>249</v>
      </c>
      <c r="B251" s="26" t="str">
        <f>'Raw data'!B246</f>
        <v>남</v>
      </c>
      <c r="C251" s="26" t="str">
        <f>'Raw data'!C246</f>
        <v>이승후</v>
      </c>
      <c r="D251" s="26">
        <f>'Raw data'!F246</f>
        <v>32</v>
      </c>
      <c r="E251" s="26">
        <f>'Raw data'!H246</f>
        <v>175</v>
      </c>
      <c r="F251" s="26" t="str">
        <f>'Raw data'!E246</f>
        <v>엑시스웨이 / 마케팅 팀장</v>
      </c>
      <c r="G251" s="26" t="str">
        <f>'Raw data'!G246</f>
        <v>28~31</v>
      </c>
      <c r="H251" s="26" t="str">
        <f>'Raw data'!I246</f>
        <v>160~165</v>
      </c>
      <c r="I251" s="26" t="str">
        <f>'Raw data'!J246</f>
        <v>ENTP</v>
      </c>
      <c r="J251" s="26" t="str">
        <f>'Raw data'!K246</f>
        <v>무관</v>
      </c>
      <c r="K251" s="26" t="str">
        <f>'Raw data'!L246</f>
        <v>무교</v>
      </c>
      <c r="L251" s="26" t="str">
        <f>'Raw data'!M246</f>
        <v>동일</v>
      </c>
      <c r="M251" s="26">
        <f>'Raw data'!P246</f>
        <v>0</v>
      </c>
      <c r="N251" s="26" t="str">
        <f>'Raw data'!N246</f>
        <v>저는 즉흥적인 사람인거 같습니다 여행을 좋아하고 어떤거에 꽂히면 바로 도전하고 놀땐 놀고 일할때는 일하는 성격이예요! 제 사람이라고 생각하면 최선을 다해 잘해주는 타입입니다. 글로는 다 표현을 못하지만 실제로 앞에서는 어색해하지 않는 사람이예요!</v>
      </c>
      <c r="O251" s="26" t="str">
        <f>'Raw data'!O246</f>
        <v>서로 공통점이 맞으면 좋을거 같습니다. 여행 좋아하고 제가 조금 활발하다보니 너무 조용하기보다 조금 활발했으면 좋겠습니다</v>
      </c>
      <c r="P251" s="26">
        <f>'Raw data'!Q246</f>
        <v>0</v>
      </c>
    </row>
    <row r="252" spans="1:16">
      <c r="A252" s="46">
        <v>250</v>
      </c>
      <c r="B252" s="26" t="str">
        <f>'Raw data'!B247</f>
        <v>여</v>
      </c>
      <c r="C252" s="26" t="str">
        <f>'Raw data'!C247</f>
        <v>김유나</v>
      </c>
      <c r="D252" s="26">
        <f>'Raw data'!F247</f>
        <v>35</v>
      </c>
      <c r="E252" s="26">
        <f>'Raw data'!H247</f>
        <v>158</v>
      </c>
      <c r="F252" s="26" t="str">
        <f>'Raw data'!E247</f>
        <v>동국대일산병원/간호사</v>
      </c>
      <c r="G252" s="26" t="str">
        <f>'Raw data'!G247</f>
        <v>31~38</v>
      </c>
      <c r="H252" s="26" t="str">
        <f>'Raw data'!I247</f>
        <v>175~</v>
      </c>
      <c r="I252" s="26" t="str">
        <f>'Raw data'!J247</f>
        <v>ISFJ</v>
      </c>
      <c r="J252" s="26" t="str">
        <f>'Raw data'!K247</f>
        <v>INFP, ISFP, INFJ, ISTJ, ISFJ, ENFP, ESFP, ENFJ, ESFJ</v>
      </c>
      <c r="K252" s="26" t="str">
        <f>'Raw data'!L247</f>
        <v>무교</v>
      </c>
      <c r="L252" s="26" t="str">
        <f>'Raw data'!M247</f>
        <v>동일</v>
      </c>
      <c r="M252" s="26" t="str">
        <f>'Raw data'!P247</f>
        <v>무관</v>
      </c>
      <c r="N252" s="26" t="str">
        <f>'Raw data'!N247</f>
        <v>맛집이랑 카페를 좋아하고, 직접 해먹는 편이에요. 같이 맛집 다니는 것도 좋아해요 :) 좋아하는 사람이 생기면 잘 챙겨주고 표현도 잘해요!</v>
      </c>
      <c r="O252" s="26" t="str">
        <f>'Raw data'!O247</f>
        <v>비흡연자, 다정한 성격</v>
      </c>
      <c r="P252" s="26">
        <f>'Raw data'!Q247</f>
        <v>0</v>
      </c>
    </row>
    <row r="253" spans="1:16">
      <c r="A253" s="46">
        <v>251</v>
      </c>
      <c r="B253" s="26" t="str">
        <f>'Raw data'!B248</f>
        <v>여</v>
      </c>
      <c r="C253" s="26" t="str">
        <f>'Raw data'!C248</f>
        <v>구한나</v>
      </c>
      <c r="D253" s="26">
        <f>'Raw data'!F248</f>
        <v>27</v>
      </c>
      <c r="E253" s="26">
        <f>'Raw data'!H248</f>
        <v>163</v>
      </c>
      <c r="F253" s="26" t="str">
        <f>'Raw data'!E248</f>
        <v>치위생사</v>
      </c>
      <c r="G253" s="26" t="str">
        <f>'Raw data'!G248</f>
        <v>28~31</v>
      </c>
      <c r="H253" s="26" t="str">
        <f>'Raw data'!I248</f>
        <v>170~180</v>
      </c>
      <c r="I253" s="26" t="str">
        <f>'Raw data'!J248</f>
        <v>INFJ</v>
      </c>
      <c r="J253" s="26" t="str">
        <f>'Raw data'!K248</f>
        <v>무관</v>
      </c>
      <c r="K253" s="26" t="str">
        <f>'Raw data'!L248</f>
        <v>무교</v>
      </c>
      <c r="L253" s="26" t="str">
        <f>'Raw data'!M248</f>
        <v>동일</v>
      </c>
      <c r="M253" s="26" t="str">
        <f>'Raw data'!P248</f>
        <v>병원직군, 기술직, 공무원, 연구직, 회사원</v>
      </c>
      <c r="N253" s="26" t="str">
        <f>'Raw data'!N248</f>
        <v>직접 알아보기🥰</v>
      </c>
      <c r="O253" s="26" t="str">
        <f>'Raw data'!O248</f>
        <v>웃는게 이쁘고 재밌는 사람</v>
      </c>
      <c r="P253" s="26">
        <f>'Raw data'!Q248</f>
        <v>0</v>
      </c>
    </row>
    <row r="254" spans="1:16">
      <c r="A254" s="46">
        <v>252</v>
      </c>
      <c r="B254" s="26" t="str">
        <f>'Raw data'!B249</f>
        <v>여</v>
      </c>
      <c r="C254" s="26" t="str">
        <f>'Raw data'!C249</f>
        <v>이하영</v>
      </c>
      <c r="D254" s="26">
        <f>'Raw data'!F249</f>
        <v>37</v>
      </c>
      <c r="E254" s="26">
        <f>'Raw data'!H249</f>
        <v>163.5</v>
      </c>
      <c r="F254" s="26" t="str">
        <f>'Raw data'!E249</f>
        <v>아동발달센터 행정팀</v>
      </c>
      <c r="G254" s="26" t="str">
        <f>'Raw data'!G249</f>
        <v>35~41</v>
      </c>
      <c r="H254" s="26" t="str">
        <f>'Raw data'!I249</f>
        <v>180~</v>
      </c>
      <c r="I254" s="26" t="str">
        <f>'Raw data'!J249</f>
        <v>ISFJ</v>
      </c>
      <c r="J254" s="26" t="str">
        <f>'Raw data'!K249</f>
        <v>무관</v>
      </c>
      <c r="K254" s="26" t="str">
        <f>'Raw data'!L249</f>
        <v>무교</v>
      </c>
      <c r="L254" s="26">
        <f>'Raw data'!M249</f>
        <v>0</v>
      </c>
      <c r="M254" s="26">
        <f>'Raw data'!P249</f>
        <v>0</v>
      </c>
      <c r="N254" s="26" t="str">
        <f>'Raw data'!N249</f>
        <v>밝고 상냥한 사람</v>
      </c>
      <c r="O254" s="26">
        <f>'Raw data'!O249</f>
        <v>0</v>
      </c>
      <c r="P254" s="26">
        <f>'Raw data'!Q249</f>
        <v>0</v>
      </c>
    </row>
    <row r="255" spans="1:16">
      <c r="A255" s="46">
        <v>253</v>
      </c>
      <c r="B255" s="26" t="str">
        <f>'Raw data'!B250</f>
        <v>여</v>
      </c>
      <c r="C255" s="26" t="str">
        <f>'Raw data'!C250</f>
        <v>우다은</v>
      </c>
      <c r="D255" s="26">
        <f>'Raw data'!F250</f>
        <v>32</v>
      </c>
      <c r="E255" s="26">
        <f>'Raw data'!H250</f>
        <v>160</v>
      </c>
      <c r="F255" s="26" t="str">
        <f>'Raw data'!E250</f>
        <v>회사원, 건축업</v>
      </c>
      <c r="G255" s="26" t="str">
        <f>'Raw data'!G250</f>
        <v>28~34</v>
      </c>
      <c r="H255" s="26" t="str">
        <f>'Raw data'!I250</f>
        <v>175~180</v>
      </c>
      <c r="I255" s="26" t="str">
        <f>'Raw data'!J250</f>
        <v>ISTP</v>
      </c>
      <c r="J255" s="26" t="str">
        <f>'Raw data'!K250</f>
        <v>무관</v>
      </c>
      <c r="K255" s="26" t="str">
        <f>'Raw data'!L250</f>
        <v>무교</v>
      </c>
      <c r="L255" s="26" t="str">
        <f>'Raw data'!M250</f>
        <v>동일</v>
      </c>
      <c r="M255" s="26" t="str">
        <f>'Raw data'!P250</f>
        <v>무관</v>
      </c>
      <c r="N255" s="26" t="str">
        <f>'Raw data'!N250</f>
        <v>차분해 보이지만 가까워지면 은근 웃기고 편한 사람</v>
      </c>
      <c r="O255" s="26" t="str">
        <f>'Raw data'!O250</f>
        <v>다정하게 표현 잘하고 말 한마디도 부드럽게 건네는 사람</v>
      </c>
      <c r="P255" s="26">
        <f>'Raw data'!Q250</f>
        <v>0</v>
      </c>
    </row>
    <row r="256" spans="1:16">
      <c r="A256" s="46">
        <v>254</v>
      </c>
      <c r="B256" s="26" t="str">
        <f>'Raw data'!B251</f>
        <v>여</v>
      </c>
      <c r="C256" s="26" t="str">
        <f>'Raw data'!C251</f>
        <v>홍세빈</v>
      </c>
      <c r="D256" s="26">
        <f>'Raw data'!F251</f>
        <v>28</v>
      </c>
      <c r="E256" s="26">
        <f>'Raw data'!H251</f>
        <v>162</v>
      </c>
      <c r="F256" s="26" t="str">
        <f>'Raw data'!E251</f>
        <v>보령제약, 학술팀</v>
      </c>
      <c r="G256" s="26" t="str">
        <f>'Raw data'!G251</f>
        <v>28~34</v>
      </c>
      <c r="H256" s="26" t="str">
        <f>'Raw data'!I251</f>
        <v>175~</v>
      </c>
      <c r="I256" s="26" t="str">
        <f>'Raw data'!J251</f>
        <v>ISTJ</v>
      </c>
      <c r="J256" s="26" t="str">
        <f>'Raw data'!K251</f>
        <v>INFP, ISFP, INFJ, ISFJ, ENFP, ESFP, ENFJ, ESFJ</v>
      </c>
      <c r="K256" s="26" t="str">
        <f>'Raw data'!L251</f>
        <v>무교</v>
      </c>
      <c r="L256" s="26" t="str">
        <f>'Raw data'!M251</f>
        <v>무관</v>
      </c>
      <c r="M256" s="26" t="str">
        <f>'Raw data'!P251</f>
        <v>무관</v>
      </c>
      <c r="N256" s="26" t="str">
        <f>'Raw data'!N251</f>
        <v>안녕하세요! 날씨도 따뜻해지면서 새로운 사람들을 만나고 싶어 지원하게 되었습니다
간단히 소개하자면 저는 외적인 부분은 무쌍에 계란형 얼굴을 가지고 있고요 키는 162에 슬림한 체격을 가지고 있습니다
성격은 처음에는 낯을 가리지만 친해지면 장난도 많이 치는 성격인 것 같아요 그래서 주변 지인들은 첫인상과 다른 반전 매력을 가지고 있다고 합니다!
조용한 성격이지만 활발하게 활동하는거 좋아해서 주말에는 항상 자주 나가는 편입니다 그리고 상대방울 항상 배려하려는 마음가짐을 가지고 있습니다!</v>
      </c>
      <c r="O256" s="26" t="str">
        <f>'Raw data'!O251</f>
        <v>저의 이상형은 외적인 부분에서는 강아지상을 좋아하고 제가 무쌍이라 쌍커풀이 있는 눈을 좋아합니다 또 평소에는 활발하지만 또 한편으로는 진지한 성격을 좋아하고 예의바르고 항상 배려할 줄 아는 마음이 따뜻한 사람을 좋아합니다</v>
      </c>
      <c r="P256" s="26">
        <f>'Raw data'!Q251</f>
        <v>0</v>
      </c>
    </row>
    <row r="257" spans="1:16">
      <c r="A257" s="46">
        <v>255</v>
      </c>
      <c r="B257" s="26" t="str">
        <f>'Raw data'!B252</f>
        <v>여</v>
      </c>
      <c r="C257" s="26" t="str">
        <f>'Raw data'!C252</f>
        <v>오영경</v>
      </c>
      <c r="D257" s="26">
        <f>'Raw data'!F252</f>
        <v>26</v>
      </c>
      <c r="E257" s="26">
        <f>'Raw data'!H252</f>
        <v>160</v>
      </c>
      <c r="F257" s="26" t="str">
        <f>'Raw data'!E252</f>
        <v>회계 공무직</v>
      </c>
      <c r="G257" s="26" t="str">
        <f>'Raw data'!G252</f>
        <v>28~34</v>
      </c>
      <c r="H257" s="26" t="str">
        <f>'Raw data'!I252</f>
        <v>175~</v>
      </c>
      <c r="I257" s="26" t="str">
        <f>'Raw data'!J252</f>
        <v>INFP</v>
      </c>
      <c r="J257" s="26" t="str">
        <f>'Raw data'!K252</f>
        <v>무관</v>
      </c>
      <c r="K257" s="26" t="str">
        <f>'Raw data'!L252</f>
        <v>무교</v>
      </c>
      <c r="L257" s="26" t="str">
        <f>'Raw data'!M252</f>
        <v>무관</v>
      </c>
      <c r="M257" s="26" t="str">
        <f>'Raw data'!P252</f>
        <v>공무원</v>
      </c>
      <c r="N257" s="26" t="str">
        <f>'Raw data'!N252</f>
        <v>조용함</v>
      </c>
      <c r="O257" s="26">
        <f>'Raw data'!O252</f>
        <v>0</v>
      </c>
      <c r="P257" s="26">
        <f>'Raw data'!Q252</f>
        <v>0</v>
      </c>
    </row>
    <row r="258" spans="1:16">
      <c r="A258" s="46">
        <v>256</v>
      </c>
      <c r="B258" s="26" t="str">
        <f>'Raw data'!B253</f>
        <v>여</v>
      </c>
      <c r="C258" s="26" t="str">
        <f>'Raw data'!C253</f>
        <v>최수진</v>
      </c>
      <c r="D258" s="26">
        <f>'Raw data'!F253</f>
        <v>40</v>
      </c>
      <c r="E258" s="26">
        <f>'Raw data'!H253</f>
        <v>167</v>
      </c>
      <c r="F258" s="26" t="str">
        <f>'Raw data'!E253</f>
        <v>장애인스포츠지도사</v>
      </c>
      <c r="G258" s="26" t="str">
        <f>'Raw data'!G253</f>
        <v>무관</v>
      </c>
      <c r="H258" s="26" t="str">
        <f>'Raw data'!I253</f>
        <v>170~180</v>
      </c>
      <c r="I258" s="26" t="str">
        <f>'Raw data'!J253</f>
        <v>ISTJ</v>
      </c>
      <c r="J258" s="26" t="str">
        <f>'Raw data'!K253</f>
        <v>무관</v>
      </c>
      <c r="K258" s="26" t="str">
        <f>'Raw data'!L253</f>
        <v>무교</v>
      </c>
      <c r="L258" s="26" t="str">
        <f>'Raw data'!M253</f>
        <v>무관</v>
      </c>
      <c r="M258" s="26" t="str">
        <f>'Raw data'!P253</f>
        <v>무관</v>
      </c>
      <c r="N258" s="26" t="str">
        <f>'Raw data'!N253</f>
        <v>긍정적이고 밝은 사람인거같아요!</v>
      </c>
      <c r="O258" s="26" t="str">
        <f>'Raw data'!O253</f>
        <v>매너있고 다정한사람</v>
      </c>
      <c r="P258" s="26">
        <f>'Raw data'!Q253</f>
        <v>0</v>
      </c>
    </row>
    <row r="259" spans="1:16">
      <c r="A259" s="46">
        <v>257</v>
      </c>
      <c r="B259" s="26" t="str">
        <f>'Raw data'!B254</f>
        <v>여</v>
      </c>
      <c r="C259" s="26" t="str">
        <f>'Raw data'!C254</f>
        <v>김수희</v>
      </c>
      <c r="D259" s="26">
        <f>'Raw data'!F254</f>
        <v>36</v>
      </c>
      <c r="E259" s="26">
        <f>'Raw data'!H254</f>
        <v>160</v>
      </c>
      <c r="F259" s="26" t="str">
        <f>'Raw data'!E254</f>
        <v>회사원</v>
      </c>
      <c r="G259" s="26" t="str">
        <f>'Raw data'!G254</f>
        <v>35~41</v>
      </c>
      <c r="H259" s="26" t="str">
        <f>'Raw data'!I254</f>
        <v>175~</v>
      </c>
      <c r="I259" s="26" t="str">
        <f>'Raw data'!J254</f>
        <v>ISFP</v>
      </c>
      <c r="J259" s="26" t="str">
        <f>'Raw data'!K254</f>
        <v>ISFP, INFJ, ISFJ, ENFP, ESFP, ENFJ, ESFJ</v>
      </c>
      <c r="K259" s="26" t="str">
        <f>'Raw data'!L254</f>
        <v>무교</v>
      </c>
      <c r="L259" s="26" t="str">
        <f>'Raw data'!M254</f>
        <v>동일</v>
      </c>
      <c r="M259" s="26" t="str">
        <f>'Raw data'!P254</f>
        <v>자영업</v>
      </c>
      <c r="N259" s="26" t="str">
        <f>'Raw data'!N254</f>
        <v>밝고 긍정적</v>
      </c>
      <c r="O259" s="26" t="str">
        <f>'Raw data'!O254</f>
        <v>두부상</v>
      </c>
      <c r="P259" s="26">
        <f>'Raw data'!Q254</f>
        <v>0</v>
      </c>
    </row>
    <row r="260" spans="1:16">
      <c r="A260" s="46">
        <v>258</v>
      </c>
      <c r="B260" s="26" t="str">
        <f>'Raw data'!B255</f>
        <v>여</v>
      </c>
      <c r="C260" s="26" t="str">
        <f>'Raw data'!C255</f>
        <v>김지운</v>
      </c>
      <c r="D260" s="26">
        <f>'Raw data'!F255</f>
        <v>30</v>
      </c>
      <c r="E260" s="26">
        <f>'Raw data'!H255</f>
        <v>156</v>
      </c>
      <c r="F260" s="26" t="str">
        <f>'Raw data'!E255</f>
        <v>의료직</v>
      </c>
      <c r="G260" s="26" t="str">
        <f>'Raw data'!G255</f>
        <v>28~31</v>
      </c>
      <c r="H260" s="26" t="str">
        <f>'Raw data'!I255</f>
        <v>175~180</v>
      </c>
      <c r="I260" s="26" t="str">
        <f>'Raw data'!J255</f>
        <v>INFP OR INTP</v>
      </c>
      <c r="J260" s="26" t="str">
        <f>'Raw data'!K255</f>
        <v>무관</v>
      </c>
      <c r="K260" s="26" t="str">
        <f>'Raw data'!L255</f>
        <v>무교</v>
      </c>
      <c r="L260" s="26" t="str">
        <f>'Raw data'!M255</f>
        <v>무관</v>
      </c>
      <c r="M260" s="26" t="str">
        <f>'Raw data'!P255</f>
        <v>무관</v>
      </c>
      <c r="N260" s="26" t="str">
        <f>'Raw data'!N255</f>
        <v>착하고 리액션 잘함, 장난도 적당히 선 안 넘게 치고 티키타카 웬만하면 잘 됨</v>
      </c>
      <c r="O260" s="26" t="str">
        <f>'Raw data'!O255</f>
        <v>빠른 눈치와 기본 도덕성과 인성이 있는 사람, 외적으로는 적당히 자기관리 하고 눈이 작지 않고 피부 깨끗한 사람</v>
      </c>
      <c r="P260" s="26" t="str">
        <f>'Raw data'!Q255</f>
        <v>저 다른 어플에서 사진으로 많이 속아서 현타왔어요... 살려주세요.....</v>
      </c>
    </row>
    <row r="261" spans="1:16">
      <c r="A261" s="46">
        <v>259</v>
      </c>
      <c r="B261" s="26" t="str">
        <f>'Raw data'!B256</f>
        <v>여</v>
      </c>
      <c r="C261" s="26" t="str">
        <f>'Raw data'!C256</f>
        <v>최지연</v>
      </c>
      <c r="D261" s="26">
        <f>'Raw data'!F256</f>
        <v>38</v>
      </c>
      <c r="E261" s="26">
        <f>'Raw data'!H256</f>
        <v>161</v>
      </c>
      <c r="F261" s="26" t="str">
        <f>'Raw data'!E256</f>
        <v>젝시믹스(회계팀)</v>
      </c>
      <c r="G261" s="26" t="str">
        <f>'Raw data'!G256</f>
        <v>35~41</v>
      </c>
      <c r="H261" s="26" t="str">
        <f>'Raw data'!I256</f>
        <v>170~180</v>
      </c>
      <c r="I261" s="26" t="str">
        <f>'Raw data'!J256</f>
        <v>ENFJ</v>
      </c>
      <c r="J261" s="26" t="str">
        <f>'Raw data'!K256</f>
        <v>INFP, ISFP, INTP, INFJ, INTJ, ISFJ, ENFP, ESFP, ENFJ, ESFJ, ENTP, ENTJ</v>
      </c>
      <c r="K261" s="26" t="str">
        <f>'Raw data'!L256</f>
        <v>무교</v>
      </c>
      <c r="L261" s="26" t="str">
        <f>'Raw data'!M256</f>
        <v>동일</v>
      </c>
      <c r="M261" s="26" t="str">
        <f>'Raw data'!P256</f>
        <v>공무원, 연구직, 회사원</v>
      </c>
      <c r="N261" s="26" t="str">
        <f>'Raw data'!N256</f>
        <v>밝고 긍정적인 사람</v>
      </c>
      <c r="O261" s="26" t="str">
        <f>'Raw data'!O256</f>
        <v>다정다감하고 말 예쁘게하고 책임감있는사람</v>
      </c>
      <c r="P261" s="26">
        <f>'Raw data'!Q256</f>
        <v>0</v>
      </c>
    </row>
    <row r="262" spans="1:16">
      <c r="A262" s="46">
        <v>260</v>
      </c>
      <c r="B262" s="26" t="str">
        <f>'Raw data'!B257</f>
        <v>여</v>
      </c>
      <c r="C262" s="26" t="str">
        <f>'Raw data'!C257</f>
        <v>안윤희</v>
      </c>
      <c r="D262" s="26">
        <f>'Raw data'!F257</f>
        <v>34</v>
      </c>
      <c r="E262" s="26">
        <f>'Raw data'!H257</f>
        <v>161</v>
      </c>
      <c r="F262" s="26" t="str">
        <f>'Raw data'!E257</f>
        <v>(주)지냄 재무회계팀</v>
      </c>
      <c r="G262" s="26" t="str">
        <f>'Raw data'!G257</f>
        <v>31~38</v>
      </c>
      <c r="H262" s="26" t="str">
        <f>'Raw data'!I257</f>
        <v>175~</v>
      </c>
      <c r="I262" s="26" t="str">
        <f>'Raw data'!J257</f>
        <v>ENTP</v>
      </c>
      <c r="J262" s="26" t="str">
        <f>'Raw data'!K257</f>
        <v>INFP, ISFP, INTP, INFJ, ISTJ, INTJ, ISFJ, ENFP, ESFP, ENFJ, ESFJ, ENTP, ESTP, ENTJ, ESTJ</v>
      </c>
      <c r="K262" s="26" t="str">
        <f>'Raw data'!L257</f>
        <v>무교</v>
      </c>
      <c r="L262" s="26" t="str">
        <f>'Raw data'!M257</f>
        <v>무관</v>
      </c>
      <c r="M262" s="26" t="str">
        <f>'Raw data'!P257</f>
        <v>무관</v>
      </c>
      <c r="N262" s="26" t="str">
        <f>'Raw data'!N257</f>
        <v>성격은 밝은 편이고 처음 보는 분들이랑도 금방 편해지는 스타일입니다.
빵을 좋아해서 관심 갖고 보다가 지원하게 됐고 혼자 하는 것보다 같이 만들면서 얘기 나누는 게 더 재밌을 것 같아서 신청했습니다.
편하게 웃으면서 즐길 수 있는 분위기라 기대하고 있습니다:)</v>
      </c>
      <c r="O262" s="26" t="str">
        <f>'Raw data'!O257</f>
        <v>대화 잘 통하고 티키타카 잘 되는 사람이 좋습니다 같이 웃으면서 편하게 시간 보낼 수 있는 분이면 좋겠고 키 큰 분을 좋아하는 편입니다😊</v>
      </c>
      <c r="P262" s="26" t="str">
        <f>'Raw data'!Q257</f>
        <v>다 같이 편하게 어울릴 수 있는 분위기였으면 좋겠습니다
저도 자연스럽게 어울리면서 즐겁게 참여하겠습니다😃</v>
      </c>
    </row>
    <row r="263" spans="1:16">
      <c r="A263" s="46">
        <v>261</v>
      </c>
      <c r="B263" s="26" t="str">
        <f>'Raw data'!B258</f>
        <v>남</v>
      </c>
      <c r="C263" s="26" t="str">
        <f>'Raw data'!C258</f>
        <v>한재성</v>
      </c>
      <c r="D263" s="26">
        <f>'Raw data'!F258</f>
        <v>37</v>
      </c>
      <c r="E263" s="26">
        <f>'Raw data'!H258</f>
        <v>183</v>
      </c>
      <c r="F263" s="26" t="str">
        <f>'Raw data'!E258</f>
        <v>초등교사</v>
      </c>
      <c r="G263" s="26" t="str">
        <f>'Raw data'!G258</f>
        <v>28~38</v>
      </c>
      <c r="H263" s="26" t="str">
        <f>'Raw data'!I258</f>
        <v>165~175</v>
      </c>
      <c r="I263" s="26" t="str">
        <f>'Raw data'!J258</f>
        <v>ISTJ</v>
      </c>
      <c r="J263" s="26" t="str">
        <f>'Raw data'!K258</f>
        <v>무관</v>
      </c>
      <c r="K263" s="26" t="str">
        <f>'Raw data'!L258</f>
        <v>무교</v>
      </c>
      <c r="L263" s="26" t="str">
        <f>'Raw data'!M258</f>
        <v>동일</v>
      </c>
      <c r="M263" s="26" t="str">
        <f>'Raw data'!P258</f>
        <v>무관</v>
      </c>
      <c r="N263" s="26" t="str">
        <f>'Raw data'!N258</f>
        <v>처음엔 낯을 가리고 친해지기에 시간이 걸리지만 친해지면 오래가는 사람</v>
      </c>
      <c r="O263" s="26" t="str">
        <f>'Raw data'!O258</f>
        <v>외모도 중요하지만 성격과 코드가 잘 맞는 사람</v>
      </c>
      <c r="P263" s="26">
        <f>'Raw data'!Q258</f>
        <v>0</v>
      </c>
    </row>
    <row r="264" spans="1:16">
      <c r="A264" s="46">
        <v>262</v>
      </c>
      <c r="B264" s="26" t="str">
        <f>'Raw data'!B259</f>
        <v>여</v>
      </c>
      <c r="C264" s="26" t="str">
        <f>'Raw data'!C259</f>
        <v>문화인</v>
      </c>
      <c r="D264" s="26">
        <f>'Raw data'!F259</f>
        <v>43</v>
      </c>
      <c r="E264" s="26">
        <f>'Raw data'!H259</f>
        <v>163</v>
      </c>
      <c r="F264" s="26" t="str">
        <f>'Raw data'!E259</f>
        <v>미래에셋증권 마케팅</v>
      </c>
      <c r="G264" s="26" t="str">
        <f>'Raw data'!G259</f>
        <v>35~</v>
      </c>
      <c r="H264" s="26" t="str">
        <f>'Raw data'!I259</f>
        <v>175~</v>
      </c>
      <c r="I264" s="26" t="str">
        <f>'Raw data'!J259</f>
        <v>ISFJ</v>
      </c>
      <c r="J264" s="26" t="str">
        <f>'Raw data'!K259</f>
        <v>ISFP, ISFJ, ESFP, ESFJ, ESTP</v>
      </c>
      <c r="K264" s="26" t="str">
        <f>'Raw data'!L259</f>
        <v>무교</v>
      </c>
      <c r="L264" s="26" t="str">
        <f>'Raw data'!M259</f>
        <v>무관</v>
      </c>
      <c r="M264" s="26" t="str">
        <f>'Raw data'!P259</f>
        <v>자영업</v>
      </c>
      <c r="N264" s="26" t="str">
        <f>'Raw data'!N259</f>
        <v>반전매력 따뜻하고 여린사람</v>
      </c>
      <c r="O264" s="26" t="str">
        <f>'Raw data'!O259</f>
        <v>다정다감 연락잘되고 적극적인사람</v>
      </c>
      <c r="P264" s="26">
        <f>'Raw data'!Q259</f>
        <v>0</v>
      </c>
    </row>
    <row r="265" spans="1:16">
      <c r="A265" s="46">
        <v>263</v>
      </c>
      <c r="B265" s="26" t="str">
        <f>'Raw data'!B260</f>
        <v>여</v>
      </c>
      <c r="C265" s="26" t="str">
        <f>'Raw data'!C260</f>
        <v>허지호</v>
      </c>
      <c r="D265" s="26">
        <f>'Raw data'!F260</f>
        <v>32</v>
      </c>
      <c r="E265" s="26">
        <f>'Raw data'!H260</f>
        <v>168</v>
      </c>
      <c r="F265" s="26" t="str">
        <f>'Raw data'!E260</f>
        <v>화장품 회사 브랜드매니저</v>
      </c>
      <c r="G265" s="26" t="str">
        <f>'Raw data'!G260</f>
        <v>28~34</v>
      </c>
      <c r="H265" s="26" t="str">
        <f>'Raw data'!I260</f>
        <v>175~</v>
      </c>
      <c r="I265" s="26" t="str">
        <f>'Raw data'!J260</f>
        <v>ENTP</v>
      </c>
      <c r="J265" s="26" t="str">
        <f>'Raw data'!K260</f>
        <v>INFJ, ISTJ, INTJ, ISFJ, ENFJ, ENTP, ENTJ, ESTJ</v>
      </c>
      <c r="K265" s="26" t="str">
        <f>'Raw data'!L260</f>
        <v>무교</v>
      </c>
      <c r="L265" s="26" t="str">
        <f>'Raw data'!M260</f>
        <v>동일</v>
      </c>
      <c r="M265" s="26" t="str">
        <f>'Raw data'!P260</f>
        <v>자영업</v>
      </c>
      <c r="N265" s="26" t="str">
        <f>'Raw data'!N260</f>
        <v>활발하고 사교성이 좋습니다, 취미가 많고 다양한걸 도전해보는걸 좋아합니다. 맛있는거 먹으러 다니는걸 좋아하고 술도 즐기는 편입니다. 흡연은 하지않고 고양이를 키웁니다.</v>
      </c>
      <c r="O265" s="26" t="str">
        <f>'Raw data'!O260</f>
        <v>너무 예민하지 않고 다정하고 마음의 여유가 있었으면 좋겠습니다. 가능하면 비흡연자에 술을 좋아하더라도 조절을 잘 했으면 좋겠고 운동하는걸 즐기는 분이 좋습니다! 어느정도 본인에게 어울리는 스타일을 알고 일에 열정을 가지고 있어 존경할 수 있었으면 좋겠습니다.</v>
      </c>
      <c r="P265" s="26">
        <f>'Raw data'!Q260</f>
        <v>0</v>
      </c>
    </row>
    <row r="266" spans="1:16">
      <c r="A266" s="46">
        <v>264</v>
      </c>
      <c r="B266" s="26" t="str">
        <f>'Raw data'!B261</f>
        <v>여</v>
      </c>
      <c r="C266" s="26" t="str">
        <f>'Raw data'!C261</f>
        <v>류혜영</v>
      </c>
      <c r="D266" s="26">
        <f>'Raw data'!F261</f>
        <v>39</v>
      </c>
      <c r="E266" s="26">
        <f>'Raw data'!H261</f>
        <v>164</v>
      </c>
      <c r="F266" s="26" t="str">
        <f>'Raw data'!E261</f>
        <v>간호사</v>
      </c>
      <c r="G266" s="26" t="str">
        <f>'Raw data'!G261</f>
        <v>38~45</v>
      </c>
      <c r="H266" s="26" t="str">
        <f>'Raw data'!I261</f>
        <v>175~180</v>
      </c>
      <c r="I266" s="26" t="str">
        <f>'Raw data'!J261</f>
        <v>ISTP</v>
      </c>
      <c r="J266" s="26" t="str">
        <f>'Raw data'!K261</f>
        <v>무관</v>
      </c>
      <c r="K266" s="26" t="str">
        <f>'Raw data'!L261</f>
        <v>천주교</v>
      </c>
      <c r="L266" s="26" t="str">
        <f>'Raw data'!M261</f>
        <v>무관</v>
      </c>
      <c r="M266" s="26" t="str">
        <f>'Raw data'!P261</f>
        <v>병원직군, 공무원</v>
      </c>
      <c r="N266" s="26" t="str">
        <f>'Raw data'!N261</f>
        <v>성실하고 책임감있는 사람</v>
      </c>
      <c r="O266" s="26" t="str">
        <f>'Raw data'!O261</f>
        <v>다정한사람</v>
      </c>
      <c r="P266" s="26">
        <f>'Raw data'!Q261</f>
        <v>0</v>
      </c>
    </row>
    <row r="267" spans="1:16">
      <c r="A267" s="46">
        <v>265</v>
      </c>
      <c r="B267" s="26" t="str">
        <f>'Raw data'!B262</f>
        <v>남</v>
      </c>
      <c r="C267" s="26" t="str">
        <f>'Raw data'!C262</f>
        <v>이준석</v>
      </c>
      <c r="D267" s="26">
        <f>'Raw data'!F262</f>
        <v>39</v>
      </c>
      <c r="E267" s="26">
        <f>'Raw data'!H262</f>
        <v>172</v>
      </c>
      <c r="F267" s="26" t="str">
        <f>'Raw data'!E262</f>
        <v>디자인로고스 인테리어 기사</v>
      </c>
      <c r="G267" s="26" t="str">
        <f>'Raw data'!G262</f>
        <v>28~41</v>
      </c>
      <c r="H267" s="26" t="str">
        <f>'Raw data'!I262</f>
        <v>160~175</v>
      </c>
      <c r="I267" s="26" t="str">
        <f>'Raw data'!J262</f>
        <v>ESFJ</v>
      </c>
      <c r="J267" s="26" t="str">
        <f>'Raw data'!K262</f>
        <v>무관</v>
      </c>
      <c r="K267" s="26" t="str">
        <f>'Raw data'!L262</f>
        <v>무교</v>
      </c>
      <c r="L267" s="26" t="str">
        <f>'Raw data'!M262</f>
        <v>무관</v>
      </c>
      <c r="M267" s="26" t="str">
        <f>'Raw data'!P262</f>
        <v>병원직군</v>
      </c>
      <c r="N267" s="26" t="str">
        <f>'Raw data'!N262</f>
        <v>일과 자기 관리에 최선을 다합니다. 감정기복이 없고 상대의 말들 잘 들어주며 이해 노력하는 스타일</v>
      </c>
      <c r="O267" s="26" t="str">
        <f>'Raw data'!O262</f>
        <v>자기 관리하고 대화의 결 온도 중시하는분</v>
      </c>
      <c r="P267" s="26">
        <f>'Raw data'!Q262</f>
        <v>0</v>
      </c>
    </row>
    <row r="268" spans="1:16">
      <c r="A268" s="46">
        <v>266</v>
      </c>
      <c r="B268" s="26" t="str">
        <f>'Raw data'!B263</f>
        <v>여</v>
      </c>
      <c r="C268" s="26" t="str">
        <f>'Raw data'!C263</f>
        <v>김예은</v>
      </c>
      <c r="D268" s="26">
        <f>'Raw data'!F263</f>
        <v>32</v>
      </c>
      <c r="E268" s="26">
        <f>'Raw data'!H263</f>
        <v>161</v>
      </c>
      <c r="F268" s="26" t="str">
        <f>'Raw data'!E263</f>
        <v>입시전문교육회사 - 마케팅</v>
      </c>
      <c r="G268" s="26" t="str">
        <f>'Raw data'!G263</f>
        <v>28~34</v>
      </c>
      <c r="H268" s="26" t="str">
        <f>'Raw data'!I263</f>
        <v>175~</v>
      </c>
      <c r="I268" s="26" t="str">
        <f>'Raw data'!J263</f>
        <v>INTJ</v>
      </c>
      <c r="J268" s="26" t="str">
        <f>'Raw data'!K263</f>
        <v>무관</v>
      </c>
      <c r="K268" s="26" t="str">
        <f>'Raw data'!L263</f>
        <v>기독교</v>
      </c>
      <c r="L268" s="26" t="str">
        <f>'Raw data'!M263</f>
        <v>무관</v>
      </c>
      <c r="M268" s="26" t="str">
        <f>'Raw data'!P263</f>
        <v>자영업</v>
      </c>
      <c r="N268" s="26" t="str">
        <f>'Raw data'!N263</f>
        <v>예민하지 않고 감정적이지 않으며 안정적인 것을 추구합니다. 친해지면 재미있는 성격이고, 활동적인 것도 좋아합니다. 남의 말을 잘 듣고 잘 이해합니다.</v>
      </c>
      <c r="O268" s="26" t="str">
        <f>'Raw data'!O263</f>
        <v>저와 성격이 비슷하면 좋겠습니다. 같이 있으면 즐겁고 말이 잘 통하고 청결한 사람이면 좋을 것 같아요.</v>
      </c>
      <c r="P268" s="26">
        <f>'Raw data'!Q263</f>
        <v>0</v>
      </c>
    </row>
    <row r="269" spans="1:16">
      <c r="A269" s="46">
        <v>267</v>
      </c>
      <c r="B269" s="26" t="str">
        <f>'Raw data'!B264</f>
        <v>남</v>
      </c>
      <c r="C269" s="26" t="str">
        <f>'Raw data'!C264</f>
        <v>강문주</v>
      </c>
      <c r="D269" s="26">
        <f>'Raw data'!F264</f>
        <v>29</v>
      </c>
      <c r="E269" s="26">
        <f>'Raw data'!H264</f>
        <v>171</v>
      </c>
      <c r="F269" s="26" t="str">
        <f>'Raw data'!E264</f>
        <v>생산직</v>
      </c>
      <c r="G269" s="26" t="str">
        <f>'Raw data'!G264</f>
        <v>20~34</v>
      </c>
      <c r="H269" s="26" t="str">
        <f>'Raw data'!I264</f>
        <v>~165</v>
      </c>
      <c r="I269" s="26" t="str">
        <f>'Raw data'!J264</f>
        <v>ISTP</v>
      </c>
      <c r="J269" s="26" t="str">
        <f>'Raw data'!K264</f>
        <v>무관</v>
      </c>
      <c r="K269" s="26" t="str">
        <f>'Raw data'!L264</f>
        <v>무교</v>
      </c>
      <c r="L269" s="26" t="str">
        <f>'Raw data'!M264</f>
        <v>무관</v>
      </c>
      <c r="M269" s="26" t="str">
        <f>'Raw data'!P264</f>
        <v>무관</v>
      </c>
      <c r="N269" s="26" t="str">
        <f>'Raw data'!N264</f>
        <v>맑고 투명한사람</v>
      </c>
      <c r="O269" s="26" t="str">
        <f>'Raw data'!O264</f>
        <v>말이쁘게 하는사람</v>
      </c>
      <c r="P269" s="26">
        <f>'Raw data'!Q264</f>
        <v>0</v>
      </c>
    </row>
    <row r="270" spans="1:16">
      <c r="A270" s="46">
        <v>268</v>
      </c>
      <c r="B270" s="26" t="str">
        <f>'Raw data'!B265</f>
        <v>남</v>
      </c>
      <c r="C270" s="26" t="str">
        <f>'Raw data'!C265</f>
        <v>홍문기</v>
      </c>
      <c r="D270" s="26">
        <f>'Raw data'!F265</f>
        <v>34</v>
      </c>
      <c r="E270" s="26">
        <f>'Raw data'!H265</f>
        <v>173</v>
      </c>
      <c r="F270" s="26" t="str">
        <f>'Raw data'!E265</f>
        <v>한화/부동산금융</v>
      </c>
      <c r="G270" s="26" t="str">
        <f>'Raw data'!G265</f>
        <v>28~34</v>
      </c>
      <c r="H270" s="26" t="str">
        <f>'Raw data'!I265</f>
        <v>160~175</v>
      </c>
      <c r="I270" s="26" t="str">
        <f>'Raw data'!J265</f>
        <v>ESFJ</v>
      </c>
      <c r="J270" s="26" t="str">
        <f>'Raw data'!K265</f>
        <v>무관</v>
      </c>
      <c r="K270" s="26" t="str">
        <f>'Raw data'!L265</f>
        <v>무교</v>
      </c>
      <c r="L270" s="26" t="str">
        <f>'Raw data'!M265</f>
        <v>무관</v>
      </c>
      <c r="M270" s="26" t="str">
        <f>'Raw data'!P265</f>
        <v>무관</v>
      </c>
      <c r="N270" s="26" t="str">
        <f>'Raw data'!N265</f>
        <v>밝고 장난이 많지만 진지충</v>
      </c>
      <c r="O270" s="26" t="str">
        <f>'Raw data'!O265</f>
        <v>밝은 사람 !</v>
      </c>
      <c r="P270" s="26">
        <f>'Raw data'!Q265</f>
        <v>0</v>
      </c>
    </row>
    <row r="271" spans="1:16">
      <c r="A271" s="46">
        <v>269</v>
      </c>
      <c r="B271" s="26" t="str">
        <f>'Raw data'!B266</f>
        <v>여</v>
      </c>
      <c r="C271" s="26" t="str">
        <f>'Raw data'!C266</f>
        <v>최은서</v>
      </c>
      <c r="D271" s="26">
        <f>'Raw data'!F266</f>
        <v>32</v>
      </c>
      <c r="E271" s="26">
        <f>'Raw data'!H266</f>
        <v>173</v>
      </c>
      <c r="F271" s="26" t="str">
        <f>'Raw data'!E266</f>
        <v>간호사, 신생아중환자실</v>
      </c>
      <c r="G271" s="26" t="str">
        <f>'Raw data'!G266</f>
        <v>31~38</v>
      </c>
      <c r="H271" s="26" t="str">
        <f>'Raw data'!I266</f>
        <v>175~</v>
      </c>
      <c r="I271" s="26" t="str">
        <f>'Raw data'!J266</f>
        <v>ISFJ</v>
      </c>
      <c r="J271" s="26" t="str">
        <f>'Raw data'!K266</f>
        <v>무관</v>
      </c>
      <c r="K271" s="26" t="str">
        <f>'Raw data'!L266</f>
        <v>무교</v>
      </c>
      <c r="L271" s="26" t="str">
        <f>'Raw data'!M266</f>
        <v>동일</v>
      </c>
      <c r="M271" s="26" t="str">
        <f>'Raw data'!P266</f>
        <v>무관</v>
      </c>
      <c r="N271" s="26" t="str">
        <f>'Raw data'!N266</f>
        <v>웃음 장벽이 낮아 잘 웃고 술, 담배, 유흥을 좋아하지 않아요
다정하고 섬세하고 내 사람한테는 다 퍼주는 스타일이에요
손재주가 좋아서 손으로 하는 건 대체로 다 잘해요</v>
      </c>
      <c r="O271" s="26" t="str">
        <f>'Raw data'!O266</f>
        <v>비흡연자, 회피하지 않고 대화를 잘 하는 사람, 다정하고 배려 할 줄 아는 예의 바른 사람, 하얗고 대형견 같은 두부상</v>
      </c>
      <c r="P271" s="26">
        <f>'Raw data'!Q266</f>
        <v>0</v>
      </c>
    </row>
    <row r="272" spans="1:16">
      <c r="A272" s="46">
        <v>270</v>
      </c>
      <c r="B272" s="26" t="str">
        <f>'Raw data'!B267</f>
        <v>여</v>
      </c>
      <c r="C272" s="26" t="str">
        <f>'Raw data'!C267</f>
        <v>장보리</v>
      </c>
      <c r="D272" s="26">
        <f>'Raw data'!F267</f>
        <v>37</v>
      </c>
      <c r="E272" s="26">
        <f>'Raw data'!H267</f>
        <v>164</v>
      </c>
      <c r="F272" s="26" t="str">
        <f>'Raw data'!E267</f>
        <v>표면처리센터 관리회계</v>
      </c>
      <c r="G272" s="26" t="str">
        <f>'Raw data'!G267</f>
        <v>35~41</v>
      </c>
      <c r="H272" s="26" t="str">
        <f>'Raw data'!I267</f>
        <v>175~180</v>
      </c>
      <c r="I272" s="26" t="str">
        <f>'Raw data'!J267</f>
        <v>ESFP</v>
      </c>
      <c r="J272" s="26" t="str">
        <f>'Raw data'!K267</f>
        <v>ESFJ</v>
      </c>
      <c r="K272" s="26" t="str">
        <f>'Raw data'!L267</f>
        <v>불교</v>
      </c>
      <c r="L272" s="26" t="str">
        <f>'Raw data'!M267</f>
        <v>동일</v>
      </c>
      <c r="M272" s="26" t="str">
        <f>'Raw data'!P267</f>
        <v>기술직</v>
      </c>
      <c r="N272" s="26" t="str">
        <f>'Raw data'!N267</f>
        <v>밝고활발한사람</v>
      </c>
      <c r="O272" s="26" t="str">
        <f>'Raw data'!O267</f>
        <v>감정기복이없고,차분한사람</v>
      </c>
      <c r="P272" s="26">
        <f>'Raw data'!Q267</f>
        <v>0</v>
      </c>
    </row>
    <row r="273" spans="1:16">
      <c r="A273" s="46">
        <v>271</v>
      </c>
      <c r="B273" s="26" t="str">
        <f>'Raw data'!B268</f>
        <v>여</v>
      </c>
      <c r="C273" s="26" t="str">
        <f>'Raw data'!C268</f>
        <v>박세인</v>
      </c>
      <c r="D273" s="26">
        <f>'Raw data'!F268</f>
        <v>37</v>
      </c>
      <c r="E273" s="26">
        <f>'Raw data'!H268</f>
        <v>163</v>
      </c>
      <c r="F273" s="26" t="str">
        <f>'Raw data'!E268</f>
        <v>경찰공무원</v>
      </c>
      <c r="G273" s="26" t="str">
        <f>'Raw data'!G268</f>
        <v>38~41</v>
      </c>
      <c r="H273" s="26" t="str">
        <f>'Raw data'!I268</f>
        <v>175~</v>
      </c>
      <c r="I273" s="26" t="str">
        <f>'Raw data'!J268</f>
        <v>ESTP</v>
      </c>
      <c r="J273" s="26" t="str">
        <f>'Raw data'!K268</f>
        <v>무관</v>
      </c>
      <c r="K273" s="26" t="str">
        <f>'Raw data'!L268</f>
        <v>무교, 천주교, 불교</v>
      </c>
      <c r="L273" s="26" t="str">
        <f>'Raw data'!M268</f>
        <v>무관</v>
      </c>
      <c r="M273" s="26" t="str">
        <f>'Raw data'!P268</f>
        <v>자영업</v>
      </c>
      <c r="N273" s="26" t="str">
        <f>'Raw data'!N268</f>
        <v>운동좋아하는 테토녀</v>
      </c>
      <c r="O273" s="26" t="str">
        <f>'Raw data'!O268</f>
        <v>다정하고 대화 잘 통하는 사람</v>
      </c>
      <c r="P273" s="26">
        <f>'Raw data'!Q268</f>
        <v>0</v>
      </c>
    </row>
    <row r="274" spans="1:16">
      <c r="A274" s="46">
        <v>272</v>
      </c>
      <c r="B274" s="26" t="str">
        <f>'Raw data'!B269</f>
        <v>남</v>
      </c>
      <c r="C274" s="26" t="str">
        <f>'Raw data'!C269</f>
        <v>권민재</v>
      </c>
      <c r="D274" s="26">
        <f>'Raw data'!F269</f>
        <v>34</v>
      </c>
      <c r="E274" s="26">
        <f>'Raw data'!H269</f>
        <v>168</v>
      </c>
      <c r="F274" s="26" t="str">
        <f>'Raw data'!E269</f>
        <v>(주)정직한청년들 상무이사 &amp; 엠제이컴퍼니 대표</v>
      </c>
      <c r="G274" s="26" t="str">
        <f>'Raw data'!G269</f>
        <v>28~34</v>
      </c>
      <c r="H274" s="26" t="str">
        <f>'Raw data'!I269</f>
        <v>~160</v>
      </c>
      <c r="I274" s="26" t="str">
        <f>'Raw data'!J269</f>
        <v>ENTJ</v>
      </c>
      <c r="J274" s="26" t="str">
        <f>'Raw data'!K269</f>
        <v>무관</v>
      </c>
      <c r="K274" s="26" t="str">
        <f>'Raw data'!L269</f>
        <v>무교</v>
      </c>
      <c r="L274" s="26" t="str">
        <f>'Raw data'!M269</f>
        <v>무관</v>
      </c>
      <c r="M274" s="26" t="str">
        <f>'Raw data'!P269</f>
        <v>무관</v>
      </c>
      <c r="N274" s="26" t="str">
        <f>'Raw data'!N269</f>
        <v>진취적 도전적 긍정적, 사업 성공, 일상 행복 추구</v>
      </c>
      <c r="O274" s="26" t="str">
        <f>'Raw data'!O269</f>
        <v>작고 아담하신 분, 생각이 성숙하신 분, 지혜롭고 현명하신 분</v>
      </c>
      <c r="P274" s="26" t="str">
        <f>'Raw data'!Q269</f>
        <v>정보 적을 때, 만나이로 적어주시면 감사합니다!</v>
      </c>
    </row>
    <row r="275" spans="1:16">
      <c r="A275" s="46">
        <v>273</v>
      </c>
      <c r="B275" s="26" t="str">
        <f>'Raw data'!B270</f>
        <v>여</v>
      </c>
      <c r="C275" s="26" t="str">
        <f>'Raw data'!C270</f>
        <v>김조은</v>
      </c>
      <c r="D275" s="26">
        <f>'Raw data'!F270</f>
        <v>27</v>
      </c>
      <c r="E275" s="26">
        <f>'Raw data'!H270</f>
        <v>166</v>
      </c>
      <c r="F275" s="26" t="str">
        <f>'Raw data'!E270</f>
        <v>치과</v>
      </c>
      <c r="G275" s="26" t="str">
        <f>'Raw data'!G270</f>
        <v>28~31</v>
      </c>
      <c r="H275" s="26" t="str">
        <f>'Raw data'!I270</f>
        <v>175~</v>
      </c>
      <c r="I275" s="26" t="str">
        <f>'Raw data'!J270</f>
        <v>ESFP</v>
      </c>
      <c r="J275" s="26" t="str">
        <f>'Raw data'!K270</f>
        <v>무관</v>
      </c>
      <c r="K275" s="26" t="str">
        <f>'Raw data'!L270</f>
        <v>무교</v>
      </c>
      <c r="L275" s="26" t="str">
        <f>'Raw data'!M270</f>
        <v>무관</v>
      </c>
      <c r="M275" s="26" t="str">
        <f>'Raw data'!P270</f>
        <v>무관</v>
      </c>
      <c r="N275" s="26" t="str">
        <f>'Raw data'!N270</f>
        <v>밝고 웃음이많은 긍정적인사람이에요!
밀당을 잘 못하고 마음이 맞다는게 확인되는 순간 직진합니다. 외로움을 잘 타지 않는 스타일이고 상대를 잘 배려하려고 노력하기도합니다.</v>
      </c>
      <c r="O275" s="26" t="str">
        <f>'Raw data'!O270</f>
        <v>남자답고 듬직한사람을 좋아합니다. 외적으로는 마른체형을 가지고계신분은 피하는거같아요! 밝고 유쾌하신분 선호하는거 같습니다:)</v>
      </c>
      <c r="P275" s="26">
        <f>'Raw data'!Q270</f>
        <v>0</v>
      </c>
    </row>
    <row r="276" spans="1:16">
      <c r="A276" s="46">
        <v>274</v>
      </c>
      <c r="B276" s="26" t="str">
        <f>'Raw data'!B271</f>
        <v>여</v>
      </c>
      <c r="C276" s="26" t="str">
        <f>'Raw data'!C271</f>
        <v>김효정</v>
      </c>
      <c r="D276" s="26">
        <f>'Raw data'!F271</f>
        <v>28</v>
      </c>
      <c r="E276" s="26">
        <f>'Raw data'!H271</f>
        <v>156</v>
      </c>
      <c r="F276" s="26" t="str">
        <f>'Raw data'!E271</f>
        <v>학교 영양사</v>
      </c>
      <c r="G276" s="26" t="str">
        <f>'Raw data'!G271</f>
        <v>28~34</v>
      </c>
      <c r="H276" s="26" t="str">
        <f>'Raw data'!I271</f>
        <v>170~180</v>
      </c>
      <c r="I276" s="26" t="str">
        <f>'Raw data'!J271</f>
        <v>ESTJ</v>
      </c>
      <c r="J276" s="26" t="str">
        <f>'Raw data'!K271</f>
        <v>무관, ISFJ, ESFJ</v>
      </c>
      <c r="K276" s="26" t="str">
        <f>'Raw data'!L271</f>
        <v>기독교</v>
      </c>
      <c r="L276" s="26" t="str">
        <f>'Raw data'!M271</f>
        <v>무관</v>
      </c>
      <c r="M276" s="26" t="str">
        <f>'Raw data'!P271</f>
        <v>무관</v>
      </c>
      <c r="N276" s="26" t="str">
        <f>'Raw data'!N271</f>
        <v>밝고 웃음이 많아서 어디에나 잘 어울리는 사람</v>
      </c>
      <c r="O276" s="26" t="str">
        <f>'Raw data'!O271</f>
        <v>자기관리 잘하면서 성실하고 다정한사람</v>
      </c>
      <c r="P276" s="26">
        <f>'Raw data'!Q271</f>
        <v>0</v>
      </c>
    </row>
    <row r="277" spans="1:16">
      <c r="A277" s="46">
        <v>275</v>
      </c>
      <c r="B277" s="26" t="str">
        <f>'Raw data'!B272</f>
        <v>여</v>
      </c>
      <c r="C277" s="26" t="str">
        <f>'Raw data'!C272</f>
        <v>김라희</v>
      </c>
      <c r="D277" s="26">
        <f>'Raw data'!F272</f>
        <v>43</v>
      </c>
      <c r="E277" s="26">
        <f>'Raw data'!H272</f>
        <v>159</v>
      </c>
      <c r="F277" s="26" t="str">
        <f>'Raw data'!E272</f>
        <v>프리랜서 운동 강사</v>
      </c>
      <c r="G277" s="26" t="str">
        <f>'Raw data'!G272</f>
        <v>38~</v>
      </c>
      <c r="H277" s="26" t="str">
        <f>'Raw data'!I272</f>
        <v>170~180</v>
      </c>
      <c r="I277" s="26" t="str">
        <f>'Raw data'!J272</f>
        <v>ESFJ</v>
      </c>
      <c r="J277" s="26" t="str">
        <f>'Raw data'!K272</f>
        <v>ESFP, ENFJ, ESFJ, ESTP, ESTJ</v>
      </c>
      <c r="K277" s="26" t="str">
        <f>'Raw data'!L272</f>
        <v>무교</v>
      </c>
      <c r="L277" s="26" t="str">
        <f>'Raw data'!M272</f>
        <v>무관</v>
      </c>
      <c r="M277" s="26" t="str">
        <f>'Raw data'!P272</f>
        <v>무관</v>
      </c>
      <c r="N277" s="26" t="str">
        <f>'Raw data'!N272</f>
        <v>내성적이지만 내성적이지 않은 척하고 최대한 상대방을 배려하려고 하며 차분해도 여행 좋아하고 사람 좋아함. 사람좋아하지만 약속은 자주 잡지 않음.</v>
      </c>
      <c r="O277" s="26" t="str">
        <f>'Raw data'!O272</f>
        <v>사회성 좋고 재밌고 성격이 둥글둥글한 사람.</v>
      </c>
      <c r="P277" s="26" t="str">
        <f>'Raw data'!Q272</f>
        <v>혹시 선정된다면 문자로 연락 부탁드립니다.</v>
      </c>
    </row>
    <row r="278" spans="1:16">
      <c r="A278" s="46">
        <v>276</v>
      </c>
      <c r="B278" s="26" t="str">
        <f>'Raw data'!B273</f>
        <v>여</v>
      </c>
      <c r="C278" s="26" t="str">
        <f>'Raw data'!C273</f>
        <v>이혜원</v>
      </c>
      <c r="D278" s="26">
        <f>'Raw data'!F273</f>
        <v>33</v>
      </c>
      <c r="E278" s="26">
        <f>'Raw data'!H273</f>
        <v>163</v>
      </c>
      <c r="F278" s="26" t="str">
        <f>'Raw data'!E273</f>
        <v>교사</v>
      </c>
      <c r="G278" s="26" t="str">
        <f>'Raw data'!G273</f>
        <v>31~38</v>
      </c>
      <c r="H278" s="26" t="str">
        <f>'Raw data'!I273</f>
        <v>175~180</v>
      </c>
      <c r="I278" s="26" t="str">
        <f>'Raw data'!J273</f>
        <v>ESTP</v>
      </c>
      <c r="J278" s="26" t="str">
        <f>'Raw data'!K273</f>
        <v>무관</v>
      </c>
      <c r="K278" s="26" t="str">
        <f>'Raw data'!L273</f>
        <v>천주교</v>
      </c>
      <c r="L278" s="26" t="str">
        <f>'Raw data'!M273</f>
        <v>무관</v>
      </c>
      <c r="M278" s="26" t="str">
        <f>'Raw data'!P273</f>
        <v>공무원</v>
      </c>
      <c r="N278" s="26" t="str">
        <f>'Raw data'!N273</f>
        <v>차분하고 이해심이 있음</v>
      </c>
      <c r="O278" s="26" t="str">
        <f>'Raw data'!O273</f>
        <v>자상하고 부드러운사람</v>
      </c>
      <c r="P278" s="26" t="str">
        <f>'Raw data'!Q273</f>
        <v>없음</v>
      </c>
    </row>
    <row r="279" spans="1:16">
      <c r="A279" s="46">
        <v>277</v>
      </c>
      <c r="B279" s="26" t="str">
        <f>'Raw data'!B274</f>
        <v>여</v>
      </c>
      <c r="C279" s="26" t="str">
        <f>'Raw data'!C274</f>
        <v>한혜림</v>
      </c>
      <c r="D279" s="26">
        <f>'Raw data'!F274</f>
        <v>33</v>
      </c>
      <c r="E279" s="26">
        <f>'Raw data'!H274</f>
        <v>160</v>
      </c>
      <c r="F279" s="26" t="str">
        <f>'Raw data'!E274</f>
        <v>IT스타트업 인사담당자</v>
      </c>
      <c r="G279" s="26" t="str">
        <f>'Raw data'!G274</f>
        <v>31~38</v>
      </c>
      <c r="H279" s="26" t="str">
        <f>'Raw data'!I274</f>
        <v>170~</v>
      </c>
      <c r="I279" s="26" t="str">
        <f>'Raw data'!J274</f>
        <v>ESTP</v>
      </c>
      <c r="J279" s="26" t="str">
        <f>'Raw data'!K274</f>
        <v>ISFP, ISTP, ISTJ, ISFJ</v>
      </c>
      <c r="K279" s="26" t="str">
        <f>'Raw data'!L274</f>
        <v>무교</v>
      </c>
      <c r="L279" s="26" t="str">
        <f>'Raw data'!M274</f>
        <v>동일, 무관</v>
      </c>
      <c r="M279" s="26" t="str">
        <f>'Raw data'!P274</f>
        <v>무관</v>
      </c>
      <c r="N279" s="26" t="str">
        <f>'Raw data'!N274</f>
        <v>긍정적이고 유쾌한 편이에요. 낯을 가리진 않고 편하게 대화를 이끌어가는 편이에요.</v>
      </c>
      <c r="O279" s="26" t="str">
        <f>'Raw data'!O274</f>
        <v>성향이 안정적인 분이었으면 좋겠어요, 제가 활발한 편이라 같이 활발하기보단 차분하게 저를 중화시켜주실 수 있는 분이면 좋겠어요. 동물을 좋아하는 분이었으면 좋겠고 같이 헬스할 수 있는 운동하시는 분</v>
      </c>
      <c r="P279" s="26">
        <f>'Raw data'!Q274</f>
        <v>0</v>
      </c>
    </row>
    <row r="280" spans="1:16">
      <c r="A280" s="46">
        <v>278</v>
      </c>
      <c r="B280" s="26" t="str">
        <f>'Raw data'!B275</f>
        <v>여</v>
      </c>
      <c r="C280" s="26" t="str">
        <f>'Raw data'!C275</f>
        <v>박민혜</v>
      </c>
      <c r="D280" s="26">
        <f>'Raw data'!F275</f>
        <v>34</v>
      </c>
      <c r="E280" s="26">
        <f>'Raw data'!H275</f>
        <v>167</v>
      </c>
      <c r="F280" s="26" t="str">
        <f>'Raw data'!E275</f>
        <v>웅진프리드</v>
      </c>
      <c r="G280" s="26" t="str">
        <f>'Raw data'!G275</f>
        <v>28~38</v>
      </c>
      <c r="H280" s="26" t="str">
        <f>'Raw data'!I275</f>
        <v>175~</v>
      </c>
      <c r="I280" s="26" t="str">
        <f>'Raw data'!J275</f>
        <v>INTJ</v>
      </c>
      <c r="J280" s="26" t="str">
        <f>'Raw data'!K275</f>
        <v>무관</v>
      </c>
      <c r="K280" s="26" t="str">
        <f>'Raw data'!L275</f>
        <v>천주교</v>
      </c>
      <c r="L280" s="26" t="str">
        <f>'Raw data'!M275</f>
        <v>무관</v>
      </c>
      <c r="M280" s="26" t="str">
        <f>'Raw data'!P275</f>
        <v>무관</v>
      </c>
      <c r="N280" s="26" t="str">
        <f>'Raw data'!N275</f>
        <v>처음엔 조금 차가워 보일 수 있는데 알고 보면 웃음 많고 은근히 사람 챙기는 스타일</v>
      </c>
      <c r="O280" s="26" t="str">
        <f>'Raw data'!O275</f>
        <v>기본적으로 예의 있고 자기 일 열심히 하는 사람, 말이 잘 통하고 티키타카 되는 사람이 좋습니다.</v>
      </c>
      <c r="P280" s="26">
        <f>'Raw data'!Q275</f>
        <v>0</v>
      </c>
    </row>
    <row r="281" spans="1:16">
      <c r="A281" s="46">
        <v>279</v>
      </c>
      <c r="B281" s="26" t="str">
        <f>'Raw data'!B276</f>
        <v>여</v>
      </c>
      <c r="C281" s="26" t="str">
        <f>'Raw data'!C276</f>
        <v>서원희</v>
      </c>
      <c r="D281" s="26">
        <f>'Raw data'!F276</f>
        <v>33</v>
      </c>
      <c r="E281" s="26">
        <f>'Raw data'!H276</f>
        <v>156</v>
      </c>
      <c r="F281" s="26" t="str">
        <f>'Raw data'!E276</f>
        <v>어린이집교사</v>
      </c>
      <c r="G281" s="26" t="str">
        <f>'Raw data'!G276</f>
        <v>31~38</v>
      </c>
      <c r="H281" s="26" t="str">
        <f>'Raw data'!I276</f>
        <v>무관</v>
      </c>
      <c r="I281" s="26" t="str">
        <f>'Raw data'!J276</f>
        <v>ENFP</v>
      </c>
      <c r="J281" s="26" t="str">
        <f>'Raw data'!K276</f>
        <v>INFP, INTP, INFJ, INTJ, ENFP, ENTP</v>
      </c>
      <c r="K281" s="26" t="str">
        <f>'Raw data'!L276</f>
        <v>무교</v>
      </c>
      <c r="L281" s="26" t="str">
        <f>'Raw data'!M276</f>
        <v>무관</v>
      </c>
      <c r="M281" s="26" t="str">
        <f>'Raw data'!P276</f>
        <v>무관</v>
      </c>
      <c r="N281" s="26" t="str">
        <f>'Raw data'!N276</f>
        <v>밝고 긍정적인 마인드를 가진 사람
다정하고 리액션이 좋은 사람
하루에 하나씩 소확행을 하는 사람
새로운 사람을 만나는 것을 좋아하는 사람</v>
      </c>
      <c r="O281" s="26" t="str">
        <f>'Raw data'!O276</f>
        <v>몸과 마음이 건강한 사람. 건강한 취미를 가지고 있은 사람</v>
      </c>
      <c r="P281" s="26">
        <f>'Raw data'!Q276</f>
        <v>0</v>
      </c>
    </row>
    <row r="282" spans="1:16">
      <c r="A282" s="46">
        <v>280</v>
      </c>
      <c r="B282" s="26" t="str">
        <f>'Raw data'!B277</f>
        <v>남</v>
      </c>
      <c r="C282" s="26" t="str">
        <f>'Raw data'!C277</f>
        <v>정유민</v>
      </c>
      <c r="D282" s="26">
        <f>'Raw data'!F277</f>
        <v>32</v>
      </c>
      <c r="E282" s="26">
        <f>'Raw data'!H277</f>
        <v>170</v>
      </c>
      <c r="F282" s="26" t="str">
        <f>'Raw data'!E277</f>
        <v>드라마,영화 캐스팅디렉터</v>
      </c>
      <c r="G282" s="26" t="str">
        <f>'Raw data'!G277</f>
        <v>28~34</v>
      </c>
      <c r="H282" s="26" t="str">
        <f>'Raw data'!I277</f>
        <v>~165</v>
      </c>
      <c r="I282" s="26" t="str">
        <f>'Raw data'!J277</f>
        <v>ISFP</v>
      </c>
      <c r="J282" s="26" t="str">
        <f>'Raw data'!K277</f>
        <v>무관</v>
      </c>
      <c r="K282" s="26" t="str">
        <f>'Raw data'!L277</f>
        <v>무교</v>
      </c>
      <c r="L282" s="26" t="str">
        <f>'Raw data'!M277</f>
        <v>무관</v>
      </c>
      <c r="M282" s="26" t="str">
        <f>'Raw data'!P277</f>
        <v>자영업</v>
      </c>
      <c r="N282" s="26" t="str">
        <f>'Raw data'!N277</f>
        <v>항상 남들에게 배려해주고 자기 일 열심히 하는 사람 입니다</v>
      </c>
      <c r="O282" s="26" t="str">
        <f>'Raw data'!O277</f>
        <v>자기 할일 열심히하는 사람이 이상형 입니다</v>
      </c>
      <c r="P282" s="26" t="str">
        <f>'Raw data'!Q277</f>
        <v>빵만드는것도 좋아하고 요리도 좋아하는 사람 만나고 싶습니다</v>
      </c>
    </row>
    <row r="283" spans="1:16">
      <c r="A283" s="46">
        <v>281</v>
      </c>
      <c r="B283" s="26" t="str">
        <f>'Raw data'!B278</f>
        <v>남</v>
      </c>
      <c r="C283" s="26" t="str">
        <f>'Raw data'!C278</f>
        <v>김동영</v>
      </c>
      <c r="D283" s="26">
        <f>'Raw data'!F278</f>
        <v>24</v>
      </c>
      <c r="E283" s="26">
        <f>'Raw data'!H278</f>
        <v>168</v>
      </c>
      <c r="F283" s="26" t="str">
        <f>'Raw data'!E278</f>
        <v>서울도시가스 / 안전관리</v>
      </c>
      <c r="G283" s="26" t="str">
        <f>'Raw data'!G278</f>
        <v>24~27</v>
      </c>
      <c r="H283" s="26" t="str">
        <f>'Raw data'!I278</f>
        <v>~165</v>
      </c>
      <c r="I283" s="26" t="str">
        <f>'Raw data'!J278</f>
        <v>ENFJ</v>
      </c>
      <c r="J283" s="26" t="str">
        <f>'Raw data'!K278</f>
        <v>무관</v>
      </c>
      <c r="K283" s="26">
        <f>'Raw data'!L278</f>
        <v>0</v>
      </c>
      <c r="L283" s="26" t="str">
        <f>'Raw data'!M278</f>
        <v>무관</v>
      </c>
      <c r="M283" s="26" t="str">
        <f>'Raw data'!P278</f>
        <v>무관</v>
      </c>
      <c r="N283" s="26" t="str">
        <f>'Raw data'!N278</f>
        <v>밝고 긍정적인 사람입니다. 웃음이 많고 처음 보는 사람과도 빠르게 친해질 수 있습니다.</v>
      </c>
      <c r="O283" s="26" t="str">
        <f>'Raw data'!O278</f>
        <v>두부상</v>
      </c>
      <c r="P283" s="26">
        <f>'Raw data'!Q278</f>
        <v>0</v>
      </c>
    </row>
    <row r="284" spans="1:16">
      <c r="A284" s="46">
        <v>282</v>
      </c>
      <c r="B284" s="26" t="str">
        <f>'Raw data'!B279</f>
        <v>남</v>
      </c>
      <c r="C284" s="26" t="str">
        <f>'Raw data'!C279</f>
        <v>남계승</v>
      </c>
      <c r="D284" s="26">
        <f>'Raw data'!F279</f>
        <v>36</v>
      </c>
      <c r="E284" s="26">
        <f>'Raw data'!H279</f>
        <v>177</v>
      </c>
      <c r="F284" s="26" t="str">
        <f>'Raw data'!E279</f>
        <v>한화시스템ICT/ITO사업부</v>
      </c>
      <c r="G284" s="26" t="str">
        <f>'Raw data'!G279</f>
        <v>28~34</v>
      </c>
      <c r="H284" s="26" t="str">
        <f>'Raw data'!I279</f>
        <v>~170</v>
      </c>
      <c r="I284" s="26" t="str">
        <f>'Raw data'!J279</f>
        <v>ESFJ</v>
      </c>
      <c r="J284" s="26" t="str">
        <f>'Raw data'!K279</f>
        <v>무관</v>
      </c>
      <c r="K284" s="26" t="str">
        <f>'Raw data'!L279</f>
        <v>무교</v>
      </c>
      <c r="L284" s="26" t="str">
        <f>'Raw data'!M279</f>
        <v>동일</v>
      </c>
      <c r="M284" s="26" t="str">
        <f>'Raw data'!P279</f>
        <v>기술직, 공무원, 연구직, 회사원</v>
      </c>
      <c r="N284" s="26" t="str">
        <f>'Raw data'!N279</f>
        <v>다정하고 챙겨주는 것을 좋아하는 사람, 운동을 좋아함</v>
      </c>
      <c r="O284" s="26" t="str">
        <f>'Raw data'!O279</f>
        <v>단아하고 참한 인상, 대화가 잘 통하는 사람</v>
      </c>
      <c r="P284" s="26">
        <f>'Raw data'!Q279</f>
        <v>0</v>
      </c>
    </row>
    <row r="285" spans="1:16">
      <c r="A285" s="46">
        <v>283</v>
      </c>
      <c r="B285" s="26" t="str">
        <f>'Raw data'!B280</f>
        <v>남</v>
      </c>
      <c r="C285" s="26" t="str">
        <f>'Raw data'!C280</f>
        <v>이성민</v>
      </c>
      <c r="D285" s="26">
        <f>'Raw data'!F280</f>
        <v>34</v>
      </c>
      <c r="E285" s="26">
        <f>'Raw data'!H280</f>
        <v>173</v>
      </c>
      <c r="F285" s="26" t="str">
        <f>'Raw data'!E280</f>
        <v>프랜차이즈 회사대표</v>
      </c>
      <c r="G285" s="26" t="str">
        <f>'Raw data'!G280</f>
        <v>28~34</v>
      </c>
      <c r="H285" s="26" t="str">
        <f>'Raw data'!I280</f>
        <v>~170</v>
      </c>
      <c r="I285" s="26" t="str">
        <f>'Raw data'!J280</f>
        <v>ENTJ</v>
      </c>
      <c r="J285" s="26" t="str">
        <f>'Raw data'!K280</f>
        <v>무관</v>
      </c>
      <c r="K285" s="26" t="str">
        <f>'Raw data'!L280</f>
        <v>기독교</v>
      </c>
      <c r="L285" s="26" t="str">
        <f>'Raw data'!M280</f>
        <v>무관</v>
      </c>
      <c r="M285" s="26" t="str">
        <f>'Raw data'!P280</f>
        <v>무관</v>
      </c>
      <c r="N285" s="26" t="str">
        <f>'Raw data'!N280</f>
        <v>열정적이고 할 때는 하는 사람. 불가능은 없다 주의</v>
      </c>
      <c r="O285" s="26" t="str">
        <f>'Raw data'!O280</f>
        <v>활발하고, 말을 이쁘게 하는 사람</v>
      </c>
      <c r="P285" s="26">
        <f>'Raw data'!Q280</f>
        <v>0</v>
      </c>
    </row>
    <row r="286" spans="1:16">
      <c r="A286" s="46">
        <v>284</v>
      </c>
      <c r="B286" s="26" t="str">
        <f>'Raw data'!B281</f>
        <v>남</v>
      </c>
      <c r="C286" s="26" t="str">
        <f>'Raw data'!C281</f>
        <v>허대윤</v>
      </c>
      <c r="D286" s="26">
        <f>'Raw data'!F281</f>
        <v>36</v>
      </c>
      <c r="E286" s="26">
        <f>'Raw data'!H281</f>
        <v>185</v>
      </c>
      <c r="F286" s="26" t="str">
        <f>'Raw data'!E281</f>
        <v>IT 데이터엔지니어</v>
      </c>
      <c r="G286" s="26" t="str">
        <f>'Raw data'!G281</f>
        <v>24~34</v>
      </c>
      <c r="H286" s="26" t="str">
        <f>'Raw data'!I281</f>
        <v>160~180</v>
      </c>
      <c r="I286" s="26" t="str">
        <f>'Raw data'!J281</f>
        <v>ESTJ</v>
      </c>
      <c r="J286" s="26" t="str">
        <f>'Raw data'!K281</f>
        <v>무관</v>
      </c>
      <c r="K286" s="26" t="str">
        <f>'Raw data'!L281</f>
        <v>무교</v>
      </c>
      <c r="L286" s="26" t="str">
        <f>'Raw data'!M281</f>
        <v>무관</v>
      </c>
      <c r="M286" s="26" t="str">
        <f>'Raw data'!P281</f>
        <v>무관</v>
      </c>
      <c r="N286" s="26" t="str">
        <f>'Raw data'!N281</f>
        <v>다정한편입니다. 자기일을 잘해요. 운동을 좋아합니다. 자기관리 열심히해요. 여행을 좋아해요. 영화보는 것 좋아합니다. 독서를 좋아해요. 이야기하는 걸 좋아하고 어떤 활동이든 연인과 같이 함께하는것을 선호합니다</v>
      </c>
      <c r="O286" s="26" t="str">
        <f>'Raw data'!O281</f>
        <v>단아한 인상, 자기관리하시는분, 책임감이 있으신분, 배려심 있으신분</v>
      </c>
      <c r="P286" s="26">
        <f>'Raw data'!Q281</f>
        <v>0</v>
      </c>
    </row>
    <row r="287" spans="1:16">
      <c r="A287" s="46">
        <v>285</v>
      </c>
      <c r="B287" s="26" t="str">
        <f>'Raw data'!B282</f>
        <v>여</v>
      </c>
      <c r="C287" s="26" t="str">
        <f>'Raw data'!C282</f>
        <v>최수진</v>
      </c>
      <c r="D287" s="26">
        <f>'Raw data'!F282</f>
        <v>40</v>
      </c>
      <c r="E287" s="26">
        <f>'Raw data'!H282</f>
        <v>167</v>
      </c>
      <c r="F287" s="26" t="str">
        <f>'Raw data'!E282</f>
        <v>회사원</v>
      </c>
      <c r="G287" s="26" t="str">
        <f>'Raw data'!G282</f>
        <v>31~</v>
      </c>
      <c r="H287" s="26" t="str">
        <f>'Raw data'!I282</f>
        <v>170~180</v>
      </c>
      <c r="I287" s="26" t="str">
        <f>'Raw data'!J282</f>
        <v>ISTJ</v>
      </c>
      <c r="J287" s="26" t="str">
        <f>'Raw data'!K282</f>
        <v>무관</v>
      </c>
      <c r="K287" s="26" t="str">
        <f>'Raw data'!L282</f>
        <v>무교</v>
      </c>
      <c r="L287" s="26" t="str">
        <f>'Raw data'!M282</f>
        <v>무관</v>
      </c>
      <c r="M287" s="26" t="str">
        <f>'Raw data'!P282</f>
        <v>무관</v>
      </c>
      <c r="N287" s="26" t="str">
        <f>'Raw data'!N282</f>
        <v>밝고 긍정적인 사람</v>
      </c>
      <c r="O287" s="26" t="str">
        <f>'Raw data'!O282</f>
        <v>다정하고 매너있고 대화가 통하는사람</v>
      </c>
      <c r="P287" s="26">
        <f>'Raw data'!Q282</f>
        <v>0</v>
      </c>
    </row>
    <row r="288" spans="1:16">
      <c r="A288" s="46">
        <v>286</v>
      </c>
      <c r="B288" s="26" t="str">
        <f>'Raw data'!B283</f>
        <v>남</v>
      </c>
      <c r="C288" s="26" t="str">
        <f>'Raw data'!C283</f>
        <v>심국용</v>
      </c>
      <c r="D288" s="26">
        <f>'Raw data'!F283</f>
        <v>28</v>
      </c>
      <c r="E288" s="26">
        <f>'Raw data'!H283</f>
        <v>187</v>
      </c>
      <c r="F288" s="26" t="str">
        <f>'Raw data'!E283</f>
        <v>SK텔레콤 마케팅</v>
      </c>
      <c r="G288" s="26" t="str">
        <f>'Raw data'!G283</f>
        <v>20~34</v>
      </c>
      <c r="H288" s="26" t="str">
        <f>'Raw data'!I283</f>
        <v>165~180</v>
      </c>
      <c r="I288" s="26" t="str">
        <f>'Raw data'!J283</f>
        <v>ESTJ</v>
      </c>
      <c r="J288" s="26" t="str">
        <f>'Raw data'!K283</f>
        <v>무관</v>
      </c>
      <c r="K288" s="26" t="str">
        <f>'Raw data'!L283</f>
        <v>무교</v>
      </c>
      <c r="L288" s="26" t="str">
        <f>'Raw data'!M283</f>
        <v>무관</v>
      </c>
      <c r="M288" s="26" t="str">
        <f>'Raw data'!P283</f>
        <v>무관</v>
      </c>
      <c r="N288" s="26" t="str">
        <f>'Raw data'!N283</f>
        <v>다정한. 여유로운. 계획적인.</v>
      </c>
      <c r="O288" s="26">
        <f>'Raw data'!O283</f>
        <v>0</v>
      </c>
      <c r="P288" s="26">
        <f>'Raw data'!Q283</f>
        <v>0</v>
      </c>
    </row>
    <row r="289" spans="1:16">
      <c r="A289" s="46">
        <v>287</v>
      </c>
      <c r="B289" s="26" t="str">
        <f>'Raw data'!B284</f>
        <v>여</v>
      </c>
      <c r="C289" s="26" t="str">
        <f>'Raw data'!C284</f>
        <v>지현선</v>
      </c>
      <c r="D289" s="26">
        <f>'Raw data'!F284</f>
        <v>40</v>
      </c>
      <c r="E289" s="26">
        <f>'Raw data'!H284</f>
        <v>163</v>
      </c>
      <c r="F289" s="26" t="str">
        <f>'Raw data'!E284</f>
        <v>상급종합병원, 수술실</v>
      </c>
      <c r="G289" s="26" t="str">
        <f>'Raw data'!G284</f>
        <v>42~</v>
      </c>
      <c r="H289" s="26" t="str">
        <f>'Raw data'!I284</f>
        <v>175~</v>
      </c>
      <c r="I289" s="26" t="str">
        <f>'Raw data'!J284</f>
        <v>ISFP</v>
      </c>
      <c r="J289" s="26" t="str">
        <f>'Raw data'!K284</f>
        <v>무관</v>
      </c>
      <c r="K289" s="26" t="str">
        <f>'Raw data'!L284</f>
        <v>무교</v>
      </c>
      <c r="L289" s="26" t="str">
        <f>'Raw data'!M284</f>
        <v>무관</v>
      </c>
      <c r="M289" s="26" t="str">
        <f>'Raw data'!P284</f>
        <v>기술직, 공무원, 연구직, 회사원</v>
      </c>
      <c r="N289" s="26" t="str">
        <f>'Raw data'!N284</f>
        <v>배려있고 웃음이 많은 사람</v>
      </c>
      <c r="O289" s="26" t="str">
        <f>'Raw data'!O284</f>
        <v>유머러스한 사람</v>
      </c>
      <c r="P289" s="26">
        <f>'Raw data'!Q284</f>
        <v>0</v>
      </c>
    </row>
    <row r="290" spans="1:16">
      <c r="A290" s="46">
        <v>288</v>
      </c>
      <c r="B290" s="26" t="str">
        <f>'Raw data'!B285</f>
        <v>남</v>
      </c>
      <c r="C290" s="26" t="str">
        <f>'Raw data'!C285</f>
        <v>방성훈</v>
      </c>
      <c r="D290" s="26">
        <f>'Raw data'!F285</f>
        <v>32</v>
      </c>
      <c r="E290" s="26">
        <f>'Raw data'!H285</f>
        <v>185</v>
      </c>
      <c r="F290" s="26" t="str">
        <f>'Raw data'!E285</f>
        <v>음식물처리기 회사</v>
      </c>
      <c r="G290" s="26" t="str">
        <f>'Raw data'!G285</f>
        <v>24~34</v>
      </c>
      <c r="H290" s="26" t="str">
        <f>'Raw data'!I285</f>
        <v>160~175</v>
      </c>
      <c r="I290" s="26" t="str">
        <f>'Raw data'!J285</f>
        <v>ISTP</v>
      </c>
      <c r="J290" s="26" t="str">
        <f>'Raw data'!K285</f>
        <v>무관</v>
      </c>
      <c r="K290" s="26" t="str">
        <f>'Raw data'!L285</f>
        <v>천주교</v>
      </c>
      <c r="L290" s="26" t="str">
        <f>'Raw data'!M285</f>
        <v>무관</v>
      </c>
      <c r="M290" s="26" t="str">
        <f>'Raw data'!P285</f>
        <v>무관</v>
      </c>
      <c r="N290" s="26" t="str">
        <f>'Raw data'!N285</f>
        <v>강아지</v>
      </c>
      <c r="O290" s="26" t="str">
        <f>'Raw data'!O285</f>
        <v>신세경 이하늬</v>
      </c>
      <c r="P290" s="26">
        <f>'Raw data'!Q285</f>
        <v>0</v>
      </c>
    </row>
    <row r="291" spans="1:16">
      <c r="A291" s="46">
        <v>289</v>
      </c>
      <c r="B291" s="26" t="str">
        <f>'Raw data'!B286</f>
        <v>남</v>
      </c>
      <c r="C291" s="26" t="str">
        <f>'Raw data'!C286</f>
        <v>윤한솔</v>
      </c>
      <c r="D291" s="26">
        <f>'Raw data'!F286</f>
        <v>39</v>
      </c>
      <c r="E291" s="26">
        <f>'Raw data'!H286</f>
        <v>165</v>
      </c>
      <c r="F291" s="26" t="str">
        <f>'Raw data'!E286</f>
        <v>필라테스강사</v>
      </c>
      <c r="G291" s="26" t="str">
        <f>'Raw data'!G286</f>
        <v>28~38</v>
      </c>
      <c r="H291" s="26" t="str">
        <f>'Raw data'!I286</f>
        <v>무관</v>
      </c>
      <c r="I291" s="26" t="str">
        <f>'Raw data'!J286</f>
        <v>INFP</v>
      </c>
      <c r="J291" s="26" t="str">
        <f>'Raw data'!K286</f>
        <v>무관</v>
      </c>
      <c r="K291" s="26" t="str">
        <f>'Raw data'!L286</f>
        <v>무교</v>
      </c>
      <c r="L291" s="26" t="str">
        <f>'Raw data'!M286</f>
        <v>무관</v>
      </c>
      <c r="M291" s="26" t="str">
        <f>'Raw data'!P286</f>
        <v>무관</v>
      </c>
      <c r="N291" s="26" t="str">
        <f>'Raw data'!N286</f>
        <v>착하고바른사람</v>
      </c>
      <c r="O291" s="26" t="str">
        <f>'Raw data'!O286</f>
        <v>밝으신분</v>
      </c>
      <c r="P291" s="26">
        <f>'Raw data'!Q286</f>
        <v>0</v>
      </c>
    </row>
    <row r="292" spans="1:16">
      <c r="A292" s="46">
        <v>290</v>
      </c>
      <c r="B292" s="26" t="str">
        <f>'Raw data'!B287</f>
        <v>여</v>
      </c>
      <c r="C292" s="26" t="str">
        <f>'Raw data'!C287</f>
        <v>구소영</v>
      </c>
      <c r="D292" s="26">
        <f>'Raw data'!F287</f>
        <v>31</v>
      </c>
      <c r="E292" s="26">
        <f>'Raw data'!H287</f>
        <v>162</v>
      </c>
      <c r="F292" s="26" t="str">
        <f>'Raw data'!E287</f>
        <v>회사원 ( 사회복지 )</v>
      </c>
      <c r="G292" s="26" t="str">
        <f>'Raw data'!G287</f>
        <v>31~34</v>
      </c>
      <c r="H292" s="26" t="str">
        <f>'Raw data'!I287</f>
        <v>170~</v>
      </c>
      <c r="I292" s="26" t="str">
        <f>'Raw data'!J287</f>
        <v>ISFJ</v>
      </c>
      <c r="J292" s="26" t="str">
        <f>'Raw data'!K287</f>
        <v>무관</v>
      </c>
      <c r="K292" s="26" t="str">
        <f>'Raw data'!L287</f>
        <v>무교</v>
      </c>
      <c r="L292" s="26" t="str">
        <f>'Raw data'!M287</f>
        <v>동일</v>
      </c>
      <c r="M292" s="26" t="str">
        <f>'Raw data'!P287</f>
        <v>자영업, 연구직</v>
      </c>
      <c r="N292" s="26" t="str">
        <f>'Raw data'!N287</f>
        <v>밝고 웃음이 많은 편이라 같이 있으면 편해지는 스타일이에요! 알수록 매력있는 스타일이에요 😊</v>
      </c>
      <c r="O292" s="26" t="str">
        <f>'Raw data'!O287</f>
        <v>성실하고 책임감 있고 저보단 키가 큰 남자가 이상형이에요</v>
      </c>
      <c r="P292" s="26">
        <f>'Raw data'!Q287</f>
        <v>0</v>
      </c>
    </row>
    <row r="293" spans="1:16">
      <c r="A293" s="46">
        <v>291</v>
      </c>
      <c r="B293" s="26" t="str">
        <f>'Raw data'!B288</f>
        <v>여</v>
      </c>
      <c r="C293" s="26" t="str">
        <f>'Raw data'!C288</f>
        <v>이보람</v>
      </c>
      <c r="D293" s="26">
        <f>'Raw data'!F288</f>
        <v>34</v>
      </c>
      <c r="E293" s="26">
        <f>'Raw data'!H288</f>
        <v>164</v>
      </c>
      <c r="F293" s="26" t="str">
        <f>'Raw data'!E288</f>
        <v>자영업</v>
      </c>
      <c r="G293" s="26" t="str">
        <f>'Raw data'!G288</f>
        <v>31~34</v>
      </c>
      <c r="H293" s="26" t="str">
        <f>'Raw data'!I288</f>
        <v>175~</v>
      </c>
      <c r="I293" s="26" t="str">
        <f>'Raw data'!J288</f>
        <v>ISFP</v>
      </c>
      <c r="J293" s="26" t="str">
        <f>'Raw data'!K288</f>
        <v>무관</v>
      </c>
      <c r="K293" s="26" t="str">
        <f>'Raw data'!L288</f>
        <v>무교</v>
      </c>
      <c r="L293" s="26" t="str">
        <f>'Raw data'!M288</f>
        <v>동일</v>
      </c>
      <c r="M293" s="26" t="str">
        <f>'Raw data'!P288</f>
        <v>무관</v>
      </c>
      <c r="N293" s="26" t="str">
        <f>'Raw data'!N288</f>
        <v>열심히 사는 사람</v>
      </c>
      <c r="O293" s="26">
        <f>'Raw data'!O288</f>
        <v>0</v>
      </c>
      <c r="P293" s="26">
        <f>'Raw data'!Q288</f>
        <v>0</v>
      </c>
    </row>
    <row r="294" spans="1:16">
      <c r="A294" s="46">
        <v>292</v>
      </c>
      <c r="B294" s="26" t="str">
        <f>'Raw data'!B289</f>
        <v>남</v>
      </c>
      <c r="C294" s="26" t="str">
        <f>'Raw data'!C289</f>
        <v>한유태</v>
      </c>
      <c r="D294" s="26">
        <f>'Raw data'!F289</f>
        <v>34</v>
      </c>
      <c r="E294" s="26">
        <f>'Raw data'!H289</f>
        <v>177</v>
      </c>
      <c r="F294" s="26" t="str">
        <f>'Raw data'!E289</f>
        <v>개발자</v>
      </c>
      <c r="G294" s="26" t="str">
        <f>'Raw data'!G289</f>
        <v>28~34</v>
      </c>
      <c r="H294" s="26" t="str">
        <f>'Raw data'!I289</f>
        <v>160~170</v>
      </c>
      <c r="I294" s="26" t="str">
        <f>'Raw data'!J289</f>
        <v>ENFJ</v>
      </c>
      <c r="J294" s="26" t="str">
        <f>'Raw data'!K289</f>
        <v>INFP, ISFP, INTP, INFJ, INTJ, ISFJ, ENFP, ESFP, ENFJ, ESFJ, ENTP, ENTJ</v>
      </c>
      <c r="K294" s="26" t="str">
        <f>'Raw data'!L289</f>
        <v>무교</v>
      </c>
      <c r="L294" s="26" t="str">
        <f>'Raw data'!M289</f>
        <v>무관</v>
      </c>
      <c r="M294" s="26" t="str">
        <f>'Raw data'!P289</f>
        <v>무관</v>
      </c>
      <c r="N294" s="26" t="str">
        <f>'Raw data'!N289</f>
        <v>다정하고 자상한 사람</v>
      </c>
      <c r="O294" s="26" t="str">
        <f>'Raw data'!O289</f>
        <v>함께할 때 즐거운 사람, 손만 잡아도 행복한 사람</v>
      </c>
      <c r="P294" s="26">
        <f>'Raw data'!Q289</f>
        <v>0</v>
      </c>
    </row>
    <row r="295" spans="1:16">
      <c r="A295" s="46">
        <v>293</v>
      </c>
      <c r="B295" s="26" t="str">
        <f>'Raw data'!B290</f>
        <v>여</v>
      </c>
      <c r="C295" s="26" t="str">
        <f>'Raw data'!C290</f>
        <v>안소현</v>
      </c>
      <c r="D295" s="26">
        <f>'Raw data'!F290</f>
        <v>34</v>
      </c>
      <c r="E295" s="26">
        <f>'Raw data'!H290</f>
        <v>162</v>
      </c>
      <c r="F295" s="26" t="str">
        <f>'Raw data'!E290</f>
        <v>교육기획 및 운영</v>
      </c>
      <c r="G295" s="26" t="str">
        <f>'Raw data'!G290</f>
        <v>28~~38</v>
      </c>
      <c r="H295" s="26" t="str">
        <f>'Raw data'!I290</f>
        <v>175~</v>
      </c>
      <c r="I295" s="26" t="str">
        <f>'Raw data'!J290</f>
        <v>ESTP</v>
      </c>
      <c r="J295" s="26" t="str">
        <f>'Raw data'!K290</f>
        <v>무관</v>
      </c>
      <c r="K295" s="26" t="str">
        <f>'Raw data'!L290</f>
        <v>무교</v>
      </c>
      <c r="L295" s="26" t="str">
        <f>'Raw data'!M290</f>
        <v>동일</v>
      </c>
      <c r="M295" s="26" t="str">
        <f>'Raw data'!P290</f>
        <v>자영업</v>
      </c>
      <c r="N295" s="26" t="str">
        <f>'Raw data'!N290</f>
        <v>진지하지만 밝고 명랑하고 긍정적인사람</v>
      </c>
      <c r="O295" s="26" t="str">
        <f>'Raw data'!O290</f>
        <v>상대방 배려할줄알고 좋은 언어습관과 건강한 생각을 가진사람</v>
      </c>
      <c r="P295" s="26">
        <f>'Raw data'!Q290</f>
        <v>0</v>
      </c>
    </row>
    <row r="296" spans="1:16">
      <c r="A296" s="46">
        <v>294</v>
      </c>
      <c r="B296" s="26" t="str">
        <f>'Raw data'!B291</f>
        <v>남</v>
      </c>
      <c r="C296" s="26" t="str">
        <f>'Raw data'!C291</f>
        <v>최성효</v>
      </c>
      <c r="D296" s="26">
        <f>'Raw data'!F291</f>
        <v>33</v>
      </c>
      <c r="E296" s="26">
        <f>'Raw data'!H291</f>
        <v>178</v>
      </c>
      <c r="F296" s="26" t="str">
        <f>'Raw data'!E291</f>
        <v>현대자동차, 연구직</v>
      </c>
      <c r="G296" s="26" t="str">
        <f>'Raw data'!G291</f>
        <v>24~31</v>
      </c>
      <c r="H296" s="26" t="str">
        <f>'Raw data'!I291</f>
        <v>~165</v>
      </c>
      <c r="I296" s="26" t="str">
        <f>'Raw data'!J291</f>
        <v>ENTP</v>
      </c>
      <c r="J296" s="26" t="str">
        <f>'Raw data'!K291</f>
        <v>무관</v>
      </c>
      <c r="K296" s="26" t="str">
        <f>'Raw data'!L291</f>
        <v>무교</v>
      </c>
      <c r="L296" s="26" t="str">
        <f>'Raw data'!M291</f>
        <v>무관</v>
      </c>
      <c r="M296" s="26" t="str">
        <f>'Raw data'!P291</f>
        <v>자영업</v>
      </c>
      <c r="N296" s="26" t="str">
        <f>'Raw data'!N291</f>
        <v>운동을 좋아하고 활동적인 사람이고, 다양한 분야에 관심이 많아서 새로운걸 배우는 걸 좋아합니다!</v>
      </c>
      <c r="O296" s="26" t="str">
        <f>'Raw data'!O291</f>
        <v>무던하고 포용력 있는 사람, 이야기가 잘 통하는 사람</v>
      </c>
      <c r="P296" s="26">
        <f>'Raw data'!Q291</f>
        <v>0</v>
      </c>
    </row>
    <row r="297" spans="1:16">
      <c r="A297" s="46">
        <v>295</v>
      </c>
      <c r="B297" s="26" t="str">
        <f>'Raw data'!B292</f>
        <v>남</v>
      </c>
      <c r="C297" s="26" t="str">
        <f>'Raw data'!C292</f>
        <v>봉두현</v>
      </c>
      <c r="D297" s="26">
        <f>'Raw data'!F292</f>
        <v>25</v>
      </c>
      <c r="E297" s="26" t="str">
        <f>'Raw data'!H292</f>
        <v>171cm</v>
      </c>
      <c r="F297" s="26" t="str">
        <f>'Raw data'!E292</f>
        <v>병원 매니저(한강수병원 출장검진팀)</v>
      </c>
      <c r="G297" s="26" t="str">
        <f>'Raw data'!G292</f>
        <v>20~31</v>
      </c>
      <c r="H297" s="26" t="str">
        <f>'Raw data'!I292</f>
        <v>~165</v>
      </c>
      <c r="I297" s="26" t="str">
        <f>'Raw data'!J292</f>
        <v>ISFJ</v>
      </c>
      <c r="J297" s="26" t="str">
        <f>'Raw data'!K292</f>
        <v>무관</v>
      </c>
      <c r="K297" s="26" t="str">
        <f>'Raw data'!L292</f>
        <v>무교</v>
      </c>
      <c r="L297" s="26" t="str">
        <f>'Raw data'!M292</f>
        <v>무관</v>
      </c>
      <c r="M297" s="26" t="str">
        <f>'Raw data'!P292</f>
        <v>병원직군, 자영업, 연구직</v>
      </c>
      <c r="N297" s="26" t="str">
        <f>'Raw data'!N292</f>
        <v>낯을 가리지만 친해지면 누구보다 재밌고 대화 잘 통하는 사람</v>
      </c>
      <c r="O297" s="26" t="str">
        <f>'Raw data'!O292</f>
        <v>동글동글 하고 애교가 많고 자기표현 잘해주는 사람</v>
      </c>
      <c r="P297" s="26">
        <f>'Raw data'!Q292</f>
        <v>0</v>
      </c>
    </row>
    <row r="298" spans="1:16">
      <c r="A298" s="46">
        <v>296</v>
      </c>
      <c r="B298" s="26" t="str">
        <f>'Raw data'!B293</f>
        <v>여</v>
      </c>
      <c r="C298" s="26" t="str">
        <f>'Raw data'!C293</f>
        <v>김정하</v>
      </c>
      <c r="D298" s="26">
        <f>'Raw data'!F293</f>
        <v>38</v>
      </c>
      <c r="E298" s="26">
        <f>'Raw data'!H293</f>
        <v>158</v>
      </c>
      <c r="F298" s="26" t="str">
        <f>'Raw data'!E293</f>
        <v>회사원 운영</v>
      </c>
      <c r="G298" s="26" t="str">
        <f>'Raw data'!G293</f>
        <v>35~41</v>
      </c>
      <c r="H298" s="26" t="str">
        <f>'Raw data'!I293</f>
        <v>170~175</v>
      </c>
      <c r="I298" s="26" t="str">
        <f>'Raw data'!J293</f>
        <v>ESTJ</v>
      </c>
      <c r="J298" s="26" t="str">
        <f>'Raw data'!K293</f>
        <v>무관, INFJ</v>
      </c>
      <c r="K298" s="26" t="str">
        <f>'Raw data'!L293</f>
        <v>무교, 천주교, 불교</v>
      </c>
      <c r="L298" s="26" t="str">
        <f>'Raw data'!M293</f>
        <v>동일</v>
      </c>
      <c r="M298" s="26" t="str">
        <f>'Raw data'!P293</f>
        <v>병원직군, 기술직, 연구직, 회사원</v>
      </c>
      <c r="N298" s="26" t="str">
        <f>'Raw data'!N293</f>
        <v>즐거운 시간 보내는 것 좋아해요. 친절하고 다정하고 싶어요. (헤헤 아직 부족)</v>
      </c>
      <c r="O298" s="26" t="str">
        <f>'Raw data'!O293</f>
        <v>다정한 사람</v>
      </c>
      <c r="P298" s="26">
        <f>'Raw data'!Q293</f>
        <v>0</v>
      </c>
    </row>
    <row r="299" spans="1:16">
      <c r="A299" s="46">
        <v>297</v>
      </c>
      <c r="B299" s="26" t="str">
        <f>'Raw data'!B294</f>
        <v>남</v>
      </c>
      <c r="C299" s="26" t="str">
        <f>'Raw data'!C294</f>
        <v>최봄</v>
      </c>
      <c r="D299" s="26">
        <f>'Raw data'!F294</f>
        <v>29</v>
      </c>
      <c r="E299" s="26">
        <f>'Raw data'!H294</f>
        <v>174</v>
      </c>
      <c r="F299" s="26" t="str">
        <f>'Raw data'!E294</f>
        <v>영상의학과 방사선사</v>
      </c>
      <c r="G299" s="26" t="str">
        <f>'Raw data'!G294</f>
        <v>20~31</v>
      </c>
      <c r="H299" s="26" t="str">
        <f>'Raw data'!I294</f>
        <v>무관</v>
      </c>
      <c r="I299" s="26" t="str">
        <f>'Raw data'!J294</f>
        <v>INFJ</v>
      </c>
      <c r="J299" s="26" t="str">
        <f>'Raw data'!K294</f>
        <v>무관</v>
      </c>
      <c r="K299" s="26" t="str">
        <f>'Raw data'!L294</f>
        <v>무교</v>
      </c>
      <c r="L299" s="26" t="str">
        <f>'Raw data'!M294</f>
        <v>무관</v>
      </c>
      <c r="M299" s="26" t="str">
        <f>'Raw data'!P294</f>
        <v>병원직군</v>
      </c>
      <c r="N299" s="26" t="str">
        <f>'Raw data'!N294</f>
        <v>섬세하고 대화를 좋아하는 사람</v>
      </c>
      <c r="O299" s="26" t="str">
        <f>'Raw data'!O294</f>
        <v>티키타카가 잘 되는 사람</v>
      </c>
      <c r="P299" s="26" t="str">
        <f>'Raw data'!Q294</f>
        <v>나이가 비슷했으면 좋겠습니다.</v>
      </c>
    </row>
    <row r="300" spans="1:16">
      <c r="A300" s="46">
        <v>298</v>
      </c>
      <c r="B300" s="26" t="str">
        <f>'Raw data'!B295</f>
        <v>여</v>
      </c>
      <c r="C300" s="26" t="str">
        <f>'Raw data'!C295</f>
        <v>전민정</v>
      </c>
      <c r="D300" s="26">
        <v>31</v>
      </c>
      <c r="E300" s="26">
        <f>'Raw data'!H295</f>
        <v>160</v>
      </c>
      <c r="F300" s="26" t="str">
        <f>'Raw data'!E295</f>
        <v>교육청 7급주무관</v>
      </c>
      <c r="G300" s="26" t="str">
        <f>'Raw data'!G295</f>
        <v>31~38</v>
      </c>
      <c r="H300" s="26" t="str">
        <f>'Raw data'!I295</f>
        <v>175~</v>
      </c>
      <c r="I300" s="26" t="str">
        <f>'Raw data'!J295</f>
        <v>INFP</v>
      </c>
      <c r="J300" s="26" t="str">
        <f>'Raw data'!K295</f>
        <v>무관</v>
      </c>
      <c r="K300" s="26" t="str">
        <f>'Raw data'!L295</f>
        <v>무교</v>
      </c>
      <c r="L300" s="26" t="str">
        <f>'Raw data'!M295</f>
        <v>무관</v>
      </c>
      <c r="M300" s="26" t="str">
        <f>'Raw data'!P295</f>
        <v>무관</v>
      </c>
      <c r="N300" s="26" t="str">
        <f>'Raw data'!N295</f>
        <v>착하다?</v>
      </c>
      <c r="O300" s="26" t="str">
        <f>'Raw data'!O295</f>
        <v>피부좋고 남자다운분</v>
      </c>
      <c r="P300" s="26">
        <f>'Raw data'!Q295</f>
        <v>0</v>
      </c>
    </row>
    <row r="301" spans="1:16">
      <c r="A301" s="46">
        <v>299</v>
      </c>
      <c r="B301" s="26" t="str">
        <f>'Raw data'!B296</f>
        <v>여</v>
      </c>
      <c r="C301" s="26" t="str">
        <f>'Raw data'!C296</f>
        <v>신혜주</v>
      </c>
      <c r="D301" s="26">
        <v>35</v>
      </c>
      <c r="E301" s="26">
        <f>'Raw data'!H296</f>
        <v>160</v>
      </c>
      <c r="F301" s="26" t="str">
        <f>'Raw data'!E296</f>
        <v>서울아산병원 간호사</v>
      </c>
      <c r="G301" s="26" t="str">
        <f>'Raw data'!G296</f>
        <v>31~38</v>
      </c>
      <c r="H301" s="26" t="str">
        <f>'Raw data'!I296</f>
        <v>175~</v>
      </c>
      <c r="I301" s="26" t="str">
        <f>'Raw data'!J296</f>
        <v>ESTJ</v>
      </c>
      <c r="J301" s="26" t="str">
        <f>'Raw data'!K296</f>
        <v>무관</v>
      </c>
      <c r="K301" s="26" t="str">
        <f>'Raw data'!L296</f>
        <v>무교</v>
      </c>
      <c r="L301" s="26" t="str">
        <f>'Raw data'!M296</f>
        <v>무관</v>
      </c>
      <c r="M301" s="26" t="str">
        <f>'Raw data'!P296</f>
        <v>무관</v>
      </c>
      <c r="N301" s="26" t="str">
        <f>'Raw data'!N296</f>
        <v>신중함</v>
      </c>
      <c r="O301" s="26">
        <f>'Raw data'!O296</f>
        <v>0</v>
      </c>
      <c r="P301" s="26">
        <f>'Raw data'!Q296</f>
        <v>0</v>
      </c>
    </row>
    <row r="302" spans="1:16">
      <c r="A302" s="46">
        <v>300</v>
      </c>
      <c r="B302" s="26" t="str">
        <f>'Raw data'!B297</f>
        <v>여</v>
      </c>
      <c r="C302" s="26" t="str">
        <f>'Raw data'!C297</f>
        <v>손혜민</v>
      </c>
      <c r="D302" s="26">
        <f>'Raw data'!F297</f>
        <v>41</v>
      </c>
      <c r="E302" s="26">
        <f>'Raw data'!H297</f>
        <v>172</v>
      </c>
      <c r="F302" s="26" t="str">
        <f>'Raw data'!E297</f>
        <v>무역회사 해외영업</v>
      </c>
      <c r="G302" s="26" t="str">
        <f>'Raw data'!G297</f>
        <v>38~45</v>
      </c>
      <c r="H302" s="26" t="str">
        <f>'Raw data'!I297</f>
        <v>180~</v>
      </c>
      <c r="I302" s="26" t="str">
        <f>'Raw data'!J297</f>
        <v>ESFP</v>
      </c>
      <c r="J302" s="26" t="str">
        <f>'Raw data'!K297</f>
        <v>무관</v>
      </c>
      <c r="K302" s="26" t="str">
        <f>'Raw data'!L297</f>
        <v>무교</v>
      </c>
      <c r="L302" s="26" t="str">
        <f>'Raw data'!M297</f>
        <v>무관</v>
      </c>
      <c r="M302" s="26" t="str">
        <f>'Raw data'!P297</f>
        <v>무관</v>
      </c>
      <c r="N302" s="26" t="str">
        <f>'Raw data'!N297</f>
        <v>밝고 따뜻한 성격</v>
      </c>
      <c r="O302" s="26" t="str">
        <f>'Raw data'!O297</f>
        <v>다정하고 유머있는 남자다운 사람</v>
      </c>
      <c r="P302" s="26" t="str">
        <f>'Raw data'!Q297</f>
        <v>키 중요하게 생각합니닷</v>
      </c>
    </row>
    <row r="303" spans="1:16">
      <c r="A303" s="46">
        <v>301</v>
      </c>
      <c r="B303" s="26" t="str">
        <f>'Raw data'!B298</f>
        <v>여</v>
      </c>
      <c r="C303" s="26" t="str">
        <f>'Raw data'!C298</f>
        <v>김길원</v>
      </c>
      <c r="D303" s="26">
        <v>29</v>
      </c>
      <c r="E303" s="26">
        <f>'Raw data'!H298</f>
        <v>161</v>
      </c>
      <c r="F303" s="26" t="str">
        <f>'Raw data'!E298</f>
        <v>삼성서울병원 중환자실</v>
      </c>
      <c r="G303" s="26" t="str">
        <f>'Raw data'!G298</f>
        <v>28~34</v>
      </c>
      <c r="H303" s="26" t="str">
        <f>'Raw data'!I298</f>
        <v>170~</v>
      </c>
      <c r="I303" s="26" t="str">
        <f>'Raw data'!J298</f>
        <v>ENFP</v>
      </c>
      <c r="J303" s="26" t="str">
        <f>'Raw data'!K298</f>
        <v>INTJ, ENTJ</v>
      </c>
      <c r="K303" s="26" t="str">
        <f>'Raw data'!L298</f>
        <v>무교</v>
      </c>
      <c r="L303" s="26" t="str">
        <f>'Raw data'!M298</f>
        <v>무관</v>
      </c>
      <c r="M303" s="26" t="str">
        <f>'Raw data'!P298</f>
        <v>무관</v>
      </c>
      <c r="N303" s="26" t="str">
        <f>'Raw data'!N298</f>
        <v>제 가장 큰 장점은 유연함입니다. 또 세상에 호기심이 많고 긍정적인 편입니다. 그래서 주변과 잘 어울립니다. 
저는 글보다 직접 보는게 더 나은 사람이라고 생각해요. 잘 부탁드립니다 ㅎㅎ</v>
      </c>
      <c r="O303" s="26" t="str">
        <f>'Raw data'!O298</f>
        <v>어느정도 자기관리 되어 있는 똑 부러지는 사람. 책임감있는 사람. Entj Intj 극극선호합니다.</v>
      </c>
      <c r="P303" s="26" t="str">
        <f>'Raw data'!Q298</f>
        <v>잘 부탁드립니다. 저번에 참여하지 못했는데 이번에는 기회주시면 책임감 가지고 꼭 참여하겠습니다.</v>
      </c>
    </row>
    <row r="304" spans="1:16">
      <c r="A304" s="46">
        <v>302</v>
      </c>
      <c r="B304" s="26" t="str">
        <f>'Raw data'!B299</f>
        <v>여</v>
      </c>
      <c r="C304" s="26" t="str">
        <f>'Raw data'!C299</f>
        <v>김민경</v>
      </c>
      <c r="D304" s="26">
        <f>'Raw data'!F299</f>
        <v>32</v>
      </c>
      <c r="E304" s="26">
        <f>'Raw data'!H299</f>
        <v>171</v>
      </c>
      <c r="F304" s="26" t="str">
        <f>'Raw data'!E299</f>
        <v>대기업계열사, IT직군</v>
      </c>
      <c r="G304" s="26" t="str">
        <f>'Raw data'!G299</f>
        <v>31~34</v>
      </c>
      <c r="H304" s="26" t="str">
        <f>'Raw data'!I299</f>
        <v>175~180</v>
      </c>
      <c r="I304" s="26" t="str">
        <f>'Raw data'!J299</f>
        <v>E/INFP</v>
      </c>
      <c r="J304" s="26" t="str">
        <f>'Raw data'!K299</f>
        <v>무관</v>
      </c>
      <c r="K304" s="26" t="str">
        <f>'Raw data'!L299</f>
        <v>무교, 불교</v>
      </c>
      <c r="L304" s="26" t="str">
        <f>'Raw data'!M299</f>
        <v>동일, 무관</v>
      </c>
      <c r="M304" s="26" t="str">
        <f>'Raw data'!P299</f>
        <v>자영업</v>
      </c>
      <c r="N304" s="26" t="str">
        <f>'Raw data'!N299</f>
        <v>리액션이 좋다는 소리를 많이 듣는 편이구 상대방에게 최대한 맞춰주는 편입니다.</v>
      </c>
      <c r="O304" s="26" t="str">
        <f>'Raw data'!O299</f>
        <v>자상하고 말을 이쁘게 하는 사람</v>
      </c>
      <c r="P304" s="26">
        <f>'Raw data'!Q299</f>
        <v>0</v>
      </c>
    </row>
    <row r="305" spans="1:16">
      <c r="A305" s="46">
        <v>303</v>
      </c>
      <c r="B305" s="26" t="str">
        <f>'Raw data'!B300</f>
        <v>여</v>
      </c>
      <c r="C305" s="26" t="str">
        <f>'Raw data'!C300</f>
        <v>김한나</v>
      </c>
      <c r="D305" s="26">
        <f>'Raw data'!F300</f>
        <v>35</v>
      </c>
      <c r="E305" s="26">
        <f>'Raw data'!H300</f>
        <v>170</v>
      </c>
      <c r="F305" s="26" t="str">
        <f>'Raw data'!E300</f>
        <v>삼성서울병원 간호사</v>
      </c>
      <c r="G305" s="26" t="str">
        <f>'Raw data'!G300</f>
        <v>31~38</v>
      </c>
      <c r="H305" s="26" t="str">
        <f>'Raw data'!I300</f>
        <v>175~</v>
      </c>
      <c r="I305" s="26" t="str">
        <f>'Raw data'!J300</f>
        <v>ISFP</v>
      </c>
      <c r="J305" s="26" t="str">
        <f>'Raw data'!K300</f>
        <v>무관</v>
      </c>
      <c r="K305" s="26" t="str">
        <f>'Raw data'!L300</f>
        <v>무교</v>
      </c>
      <c r="L305" s="26" t="str">
        <f>'Raw data'!M300</f>
        <v>동일</v>
      </c>
      <c r="M305" s="26" t="str">
        <f>'Raw data'!P300</f>
        <v>무관</v>
      </c>
      <c r="N305" s="26" t="str">
        <f>'Raw data'!N300</f>
        <v>낯을 가리지만 친해지면 재밌음</v>
      </c>
      <c r="O305" s="26" t="str">
        <f>'Raw data'!O300</f>
        <v>다정하고 재밌는 사람</v>
      </c>
      <c r="P305" s="26">
        <f>'Raw data'!Q300</f>
        <v>0</v>
      </c>
    </row>
    <row r="306" spans="1:16">
      <c r="A306" s="46">
        <v>304</v>
      </c>
      <c r="B306" s="26" t="str">
        <f>'Raw data'!B301</f>
        <v>여</v>
      </c>
      <c r="C306" s="26" t="str">
        <f>'Raw data'!C301</f>
        <v>조의리</v>
      </c>
      <c r="D306" s="26">
        <f>'Raw data'!F301</f>
        <v>37</v>
      </c>
      <c r="E306" s="26">
        <f>'Raw data'!H301</f>
        <v>168</v>
      </c>
      <c r="F306" s="26" t="str">
        <f>'Raw data'!E301</f>
        <v>의료사회복지사(가톨릭대학교 서울성모병원, 사회사업팀)</v>
      </c>
      <c r="G306" s="26" t="str">
        <f>'Raw data'!G301</f>
        <v>31~41</v>
      </c>
      <c r="H306" s="26" t="str">
        <f>'Raw data'!I301</f>
        <v>175~</v>
      </c>
      <c r="I306" s="26" t="str">
        <f>'Raw data'!J301</f>
        <v>INTJ</v>
      </c>
      <c r="J306" s="26" t="str">
        <f>'Raw data'!K301</f>
        <v>무관</v>
      </c>
      <c r="K306" s="26" t="str">
        <f>'Raw data'!L301</f>
        <v>무교</v>
      </c>
      <c r="L306" s="26" t="str">
        <f>'Raw data'!M301</f>
        <v>무관</v>
      </c>
      <c r="M306" s="26" t="str">
        <f>'Raw data'!P301</f>
        <v>무관</v>
      </c>
      <c r="N306" s="26" t="str">
        <f>'Raw data'!N301</f>
        <v>첫인상으로 판단 할 수 없는 사람(겉바속촉)</v>
      </c>
      <c r="O306" s="26" t="str">
        <f>'Raw data'!O301</f>
        <v>내 솔직한 모습을 꺼내 보일 수 있는 사람</v>
      </c>
      <c r="P306" s="26">
        <f>'Raw data'!Q301</f>
        <v>0</v>
      </c>
    </row>
    <row r="307" spans="1:16">
      <c r="A307" s="46">
        <v>305</v>
      </c>
      <c r="B307" s="26" t="str">
        <f>'Raw data'!B302</f>
        <v>여</v>
      </c>
      <c r="C307" s="26" t="str">
        <f>'Raw data'!C302</f>
        <v>박세란</v>
      </c>
      <c r="D307" s="26">
        <f>'Raw data'!F302</f>
        <v>26</v>
      </c>
      <c r="E307" s="26">
        <f>'Raw data'!H302</f>
        <v>164</v>
      </c>
      <c r="F307" s="26" t="str">
        <f>'Raw data'!E302</f>
        <v>삼성서울병원 건강의학본부 임상병리사</v>
      </c>
      <c r="G307" s="26" t="str">
        <f>'Raw data'!G302</f>
        <v>24~31</v>
      </c>
      <c r="H307" s="26" t="str">
        <f>'Raw data'!I302</f>
        <v>170~</v>
      </c>
      <c r="I307" s="26" t="str">
        <f>'Raw data'!J302</f>
        <v>ISFJ</v>
      </c>
      <c r="J307" s="26" t="str">
        <f>'Raw data'!K302</f>
        <v>무관</v>
      </c>
      <c r="K307" s="26" t="str">
        <f>'Raw data'!L302</f>
        <v>무교</v>
      </c>
      <c r="L307" s="26" t="str">
        <f>'Raw data'!M302</f>
        <v>동일, 무관</v>
      </c>
      <c r="M307" s="26" t="str">
        <f>'Raw data'!P302</f>
        <v>자영업</v>
      </c>
      <c r="N307" s="26" t="str">
        <f>'Raw data'!N302</f>
        <v>배려, 차분, 리액션 퀸</v>
      </c>
      <c r="O307" s="26" t="str">
        <f>'Raw data'!O302</f>
        <v>따뜻, 섬세, 안정형</v>
      </c>
      <c r="P307" s="26">
        <f>'Raw data'!Q302</f>
        <v>0</v>
      </c>
    </row>
    <row r="308" spans="1:16">
      <c r="A308" s="46">
        <v>306</v>
      </c>
      <c r="B308" s="26" t="str">
        <f>'Raw data'!B303</f>
        <v>여</v>
      </c>
      <c r="C308" s="26" t="str">
        <f>'Raw data'!C303</f>
        <v>조수열</v>
      </c>
      <c r="D308" s="26">
        <f>'Raw data'!F303</f>
        <v>35</v>
      </c>
      <c r="E308" s="26">
        <f>'Raw data'!H303</f>
        <v>167</v>
      </c>
      <c r="F308" s="26" t="str">
        <f>'Raw data'!E303</f>
        <v>삼성서울병원 원무과</v>
      </c>
      <c r="G308" s="26" t="str">
        <f>'Raw data'!G303</f>
        <v>31~34</v>
      </c>
      <c r="H308" s="26" t="str">
        <f>'Raw data'!I303</f>
        <v>170~180</v>
      </c>
      <c r="I308" s="26" t="str">
        <f>'Raw data'!J303</f>
        <v>ISFP/ESTP</v>
      </c>
      <c r="J308" s="26" t="str">
        <f>'Raw data'!K303</f>
        <v>INFJ, ISTJ, ISFJ, ENFJ, ESFJ, ESTP</v>
      </c>
      <c r="K308" s="26" t="str">
        <f>'Raw data'!L303</f>
        <v>무교</v>
      </c>
      <c r="L308" s="26" t="str">
        <f>'Raw data'!M303</f>
        <v>무관</v>
      </c>
      <c r="M308" s="26" t="str">
        <f>'Raw data'!P303</f>
        <v>자영업, 공무원</v>
      </c>
      <c r="N308" s="26" t="str">
        <f>'Raw data'!N303</f>
        <v>신중하고 편하고 배려심 있고 유머러스한 사람</v>
      </c>
      <c r="O308" s="26" t="str">
        <f>'Raw data'!O303</f>
        <v>자기관리 잘하는 깔끔한 사람.배려 존중 잘하고 예의 바른 사람. 개그 코드 잘 맞으면 좋아요</v>
      </c>
      <c r="P308" s="26" t="str">
        <f>'Raw data'!Q303</f>
        <v>상대방 나이는 동갑이나 1,2살 위&amp;아래 까지만을 선호합니다. 설레는 봄 맞이하고 싶어요ㅠㅠ~~~</v>
      </c>
    </row>
    <row r="309" spans="1:16">
      <c r="A309" s="46">
        <v>307</v>
      </c>
      <c r="B309" s="26" t="str">
        <f>'Raw data'!B304</f>
        <v>여</v>
      </c>
      <c r="C309" s="26" t="str">
        <f>'Raw data'!C304</f>
        <v>박서영</v>
      </c>
      <c r="D309" s="26">
        <f>'Raw data'!F304</f>
        <v>26</v>
      </c>
      <c r="E309" s="26">
        <f>'Raw data'!H304</f>
        <v>168</v>
      </c>
      <c r="F309" s="26" t="str">
        <f>'Raw data'!E304</f>
        <v>삼성서울병원 별관동 수술실</v>
      </c>
      <c r="G309" s="26" t="str">
        <f>'Raw data'!G304</f>
        <v>24~31</v>
      </c>
      <c r="H309" s="26" t="str">
        <f>'Raw data'!I304</f>
        <v>175~</v>
      </c>
      <c r="I309" s="26" t="str">
        <f>'Raw data'!J304</f>
        <v>ISFJ</v>
      </c>
      <c r="J309" s="26" t="str">
        <f>'Raw data'!K304</f>
        <v>무관</v>
      </c>
      <c r="K309" s="26" t="str">
        <f>'Raw data'!L304</f>
        <v>무교</v>
      </c>
      <c r="L309" s="26" t="str">
        <f>'Raw data'!M304</f>
        <v>동일</v>
      </c>
      <c r="M309" s="26" t="str">
        <f>'Raw data'!P304</f>
        <v>병원직군</v>
      </c>
      <c r="N309" s="26" t="str">
        <f>'Raw data'!N304</f>
        <v>밝고 웃음이 많은 사람입니다 ◡̈</v>
      </c>
      <c r="O309" s="26" t="str">
        <f>'Raw data'!O304</f>
        <v>키 크고 얘기가 잘 통하며 예의바르고 다정다감한 사람</v>
      </c>
      <c r="P309" s="26">
        <f>'Raw data'!Q304</f>
        <v>0</v>
      </c>
    </row>
    <row r="310" spans="1:16">
      <c r="A310" s="46">
        <v>308</v>
      </c>
      <c r="B310" s="26" t="str">
        <f>'Raw data'!B305</f>
        <v>남</v>
      </c>
      <c r="C310" s="26" t="str">
        <f>'Raw data'!C305</f>
        <v>박찬우</v>
      </c>
      <c r="D310" s="26">
        <f>'Raw data'!F305</f>
        <v>33</v>
      </c>
      <c r="E310" s="26">
        <f>'Raw data'!H305</f>
        <v>168</v>
      </c>
      <c r="F310" s="26" t="str">
        <f>'Raw data'!E305</f>
        <v>한국원자력의학원 / 연구원</v>
      </c>
      <c r="G310" s="26" t="str">
        <f>'Raw data'!G305</f>
        <v>20~34</v>
      </c>
      <c r="H310" s="26" t="str">
        <f>'Raw data'!I305</f>
        <v>~170</v>
      </c>
      <c r="I310" s="26" t="str">
        <f>'Raw data'!J305</f>
        <v>ISTJ</v>
      </c>
      <c r="J310" s="26" t="str">
        <f>'Raw data'!K305</f>
        <v>무관</v>
      </c>
      <c r="K310" s="26" t="str">
        <f>'Raw data'!L305</f>
        <v>무교</v>
      </c>
      <c r="L310" s="26" t="str">
        <f>'Raw data'!M305</f>
        <v>무관</v>
      </c>
      <c r="M310" s="26" t="str">
        <f>'Raw data'!P305</f>
        <v>무관</v>
      </c>
      <c r="N310" s="26" t="str">
        <f>'Raw data'!N305</f>
        <v>#성실함 #신중함 #안정감 #호기심 많은</v>
      </c>
      <c r="O310" s="26" t="str">
        <f>'Raw data'!O305</f>
        <v>#다정함 #긍정적 #정돈됨 #주관있는</v>
      </c>
      <c r="P310" s="26">
        <f>'Raw data'!Q305</f>
        <v>0</v>
      </c>
    </row>
    <row r="311" spans="1:16">
      <c r="A311" s="46">
        <v>309</v>
      </c>
      <c r="B311" s="26" t="str">
        <f>'Raw data'!B306</f>
        <v>여</v>
      </c>
      <c r="C311" s="26" t="str">
        <f>'Raw data'!C306</f>
        <v>최정아</v>
      </c>
      <c r="D311" s="26">
        <f>'Raw data'!F306</f>
        <v>35</v>
      </c>
      <c r="E311" s="26">
        <f>'Raw data'!H306</f>
        <v>160</v>
      </c>
      <c r="F311" s="26" t="str">
        <f>'Raw data'!E306</f>
        <v>삼성디스플레이 연구원</v>
      </c>
      <c r="G311" s="26" t="str">
        <f>'Raw data'!G306</f>
        <v>31~38</v>
      </c>
      <c r="H311" s="26" t="str">
        <f>'Raw data'!I306</f>
        <v>170~</v>
      </c>
      <c r="I311" s="26" t="str">
        <f>'Raw data'!J306</f>
        <v>ESFP</v>
      </c>
      <c r="J311" s="26" t="str">
        <f>'Raw data'!K306</f>
        <v>무관</v>
      </c>
      <c r="K311" s="26" t="str">
        <f>'Raw data'!L306</f>
        <v>무교</v>
      </c>
      <c r="L311" s="26" t="str">
        <f>'Raw data'!M306</f>
        <v>동일</v>
      </c>
      <c r="M311" s="26" t="str">
        <f>'Raw data'!P306</f>
        <v>자영업, 무관</v>
      </c>
      <c r="N311" s="26" t="str">
        <f>'Raw data'!N306</f>
        <v>밝고 긍정적</v>
      </c>
      <c r="O311" s="26" t="str">
        <f>'Raw data'!O306</f>
        <v>다정하신분</v>
      </c>
      <c r="P311" s="26">
        <f>'Raw data'!Q306</f>
        <v>0</v>
      </c>
    </row>
    <row r="312" spans="1:16">
      <c r="A312" s="46">
        <v>310</v>
      </c>
      <c r="B312" s="26" t="str">
        <f>'Raw data'!B307</f>
        <v>여</v>
      </c>
      <c r="C312" s="26" t="str">
        <f>'Raw data'!C307</f>
        <v>윤서온</v>
      </c>
      <c r="D312" s="26">
        <f>'Raw data'!F307</f>
        <v>35</v>
      </c>
      <c r="E312" s="26">
        <f>'Raw data'!H307</f>
        <v>153</v>
      </c>
      <c r="F312" s="26" t="str">
        <f>'Raw data'!E307</f>
        <v>간호조무사</v>
      </c>
      <c r="G312" s="26" t="str">
        <f>'Raw data'!G307</f>
        <v>31~41</v>
      </c>
      <c r="H312" s="26" t="str">
        <f>'Raw data'!I307</f>
        <v>175~</v>
      </c>
      <c r="I312" s="26" t="str">
        <f>'Raw data'!J307</f>
        <v>ENTP</v>
      </c>
      <c r="J312" s="26" t="str">
        <f>'Raw data'!K307</f>
        <v>무관</v>
      </c>
      <c r="K312" s="26" t="str">
        <f>'Raw data'!L307</f>
        <v>무교</v>
      </c>
      <c r="L312" s="26" t="str">
        <f>'Raw data'!M307</f>
        <v>동일</v>
      </c>
      <c r="M312" s="26" t="str">
        <f>'Raw data'!P307</f>
        <v>무관</v>
      </c>
      <c r="N312" s="26" t="str">
        <f>'Raw data'!N307</f>
        <v>긍정적인 마인드 밝지만 그안에 진중함이 있는사람</v>
      </c>
      <c r="O312" s="26" t="str">
        <f>'Raw data'!O307</f>
        <v>단단한내면 긍정적이고 유연한 마인드 운동등 자기관리를 잘하고 패션센스도 어느정도 있는사람</v>
      </c>
      <c r="P312" s="26">
        <f>'Raw data'!Q307</f>
        <v>0</v>
      </c>
    </row>
    <row r="313" spans="1:16">
      <c r="A313" s="46">
        <v>311</v>
      </c>
      <c r="B313" s="26" t="str">
        <f>'Raw data'!B308</f>
        <v>여</v>
      </c>
      <c r="C313" s="26" t="str">
        <f>'Raw data'!C308</f>
        <v>원민영</v>
      </c>
      <c r="D313" s="26">
        <f>'Raw data'!F308</f>
        <v>30</v>
      </c>
      <c r="E313" s="26">
        <f>'Raw data'!H308</f>
        <v>170</v>
      </c>
      <c r="F313" s="26" t="str">
        <f>'Raw data'!E308</f>
        <v>공무원</v>
      </c>
      <c r="G313" s="26" t="str">
        <f>'Raw data'!G308</f>
        <v>28~34</v>
      </c>
      <c r="H313" s="26" t="str">
        <f>'Raw data'!I308</f>
        <v>175~</v>
      </c>
      <c r="I313" s="26" t="str">
        <f>'Raw data'!J308</f>
        <v>INTP</v>
      </c>
      <c r="J313" s="26" t="str">
        <f>'Raw data'!K308</f>
        <v>무관</v>
      </c>
      <c r="K313" s="26" t="str">
        <f>'Raw data'!L308</f>
        <v>무교</v>
      </c>
      <c r="L313" s="26" t="str">
        <f>'Raw data'!M308</f>
        <v>동일</v>
      </c>
      <c r="M313" s="26" t="str">
        <f>'Raw data'!P308</f>
        <v>무관</v>
      </c>
      <c r="N313" s="26" t="str">
        <f>'Raw data'!N308</f>
        <v>잔잔한 사람</v>
      </c>
      <c r="O313" s="26" t="str">
        <f>'Raw data'!O308</f>
        <v>남을 배려하는 사람</v>
      </c>
      <c r="P313" s="26">
        <f>'Raw data'!Q308</f>
        <v>0</v>
      </c>
    </row>
    <row r="314" spans="1:16">
      <c r="A314" s="46">
        <v>312</v>
      </c>
      <c r="B314" s="26" t="str">
        <f>'Raw data'!B309</f>
        <v>남</v>
      </c>
      <c r="C314" s="26" t="str">
        <f>'Raw data'!C309</f>
        <v>남대우</v>
      </c>
      <c r="D314" s="26">
        <f>'Raw data'!F309</f>
        <v>35</v>
      </c>
      <c r="E314" s="26">
        <f>'Raw data'!H309</f>
        <v>175</v>
      </c>
      <c r="F314" s="26" t="str">
        <f>'Raw data'!E309</f>
        <v>사업</v>
      </c>
      <c r="G314" s="26" t="str">
        <f>'Raw data'!G309</f>
        <v>28~34</v>
      </c>
      <c r="H314" s="26" t="str">
        <f>'Raw data'!I309</f>
        <v>160~165</v>
      </c>
      <c r="I314" s="26" t="str">
        <f>'Raw data'!J309</f>
        <v>ISFJ</v>
      </c>
      <c r="J314" s="26" t="str">
        <f>'Raw data'!K309</f>
        <v>ISFP, ISFJ</v>
      </c>
      <c r="K314" s="26" t="str">
        <f>'Raw data'!L309</f>
        <v>불교</v>
      </c>
      <c r="L314" s="26" t="str">
        <f>'Raw data'!M309</f>
        <v>동일, 무관</v>
      </c>
      <c r="M314" s="26" t="str">
        <f>'Raw data'!P309</f>
        <v>자영업</v>
      </c>
      <c r="N314" s="26" t="str">
        <f>'Raw data'!N309</f>
        <v>솔직한사람</v>
      </c>
      <c r="O314" s="26" t="str">
        <f>'Raw data'!O309</f>
        <v>솔직한사람 표현잘하는사람</v>
      </c>
      <c r="P314" s="26" t="str">
        <f>'Raw data'!Q309</f>
        <v>상대방 나이대 잘 참고해서 매칭부탁드립니다..</v>
      </c>
    </row>
    <row r="315" spans="1:16">
      <c r="A315" s="46">
        <v>313</v>
      </c>
      <c r="B315" s="26" t="str">
        <f>'Raw data'!B310</f>
        <v>남</v>
      </c>
      <c r="C315" s="26" t="str">
        <f>'Raw data'!C310</f>
        <v>이현규</v>
      </c>
      <c r="D315" s="26">
        <f>'Raw data'!F310</f>
        <v>35</v>
      </c>
      <c r="E315" s="26">
        <f>'Raw data'!H310</f>
        <v>176</v>
      </c>
      <c r="F315" s="26" t="str">
        <f>'Raw data'!E310</f>
        <v>제약회사 설비기사</v>
      </c>
      <c r="G315" s="26" t="str">
        <f>'Raw data'!G310</f>
        <v>28~34</v>
      </c>
      <c r="H315" s="26" t="str">
        <f>'Raw data'!I310</f>
        <v>160~1170</v>
      </c>
      <c r="I315" s="26" t="str">
        <f>'Raw data'!J310</f>
        <v>ISTP</v>
      </c>
      <c r="J315" s="26" t="str">
        <f>'Raw data'!K310</f>
        <v>무관</v>
      </c>
      <c r="K315" s="26" t="str">
        <f>'Raw data'!L310</f>
        <v>천주교</v>
      </c>
      <c r="L315" s="26" t="str">
        <f>'Raw data'!M310</f>
        <v>무관</v>
      </c>
      <c r="M315" s="26" t="str">
        <f>'Raw data'!P310</f>
        <v>무관</v>
      </c>
      <c r="N315" s="26" t="str">
        <f>'Raw data'!N310</f>
        <v>여행을 좋아하고 운동을 좋아하는 사람</v>
      </c>
      <c r="O315" s="26" t="str">
        <f>'Raw data'!O310</f>
        <v>밝고 재미난 사람</v>
      </c>
      <c r="P315" s="26">
        <f>'Raw data'!Q310</f>
        <v>0</v>
      </c>
    </row>
    <row r="316" spans="1:16">
      <c r="A316" s="46">
        <v>314</v>
      </c>
      <c r="B316" s="26" t="str">
        <f>'Raw data'!B311</f>
        <v>남</v>
      </c>
      <c r="C316" s="26" t="str">
        <f>'Raw data'!C311</f>
        <v>백승협</v>
      </c>
      <c r="D316" s="26">
        <f>'Raw data'!F311</f>
        <v>34</v>
      </c>
      <c r="E316" s="26">
        <f>'Raw data'!H311</f>
        <v>172</v>
      </c>
      <c r="F316" s="26" t="str">
        <f>'Raw data'!E311</f>
        <v>복합화력발전소 (직급 - 대리)</v>
      </c>
      <c r="G316" s="26" t="str">
        <f>'Raw data'!G311</f>
        <v>28~38</v>
      </c>
      <c r="H316" s="26" t="str">
        <f>'Raw data'!I311</f>
        <v>무관</v>
      </c>
      <c r="I316" s="26" t="str">
        <f>'Raw data'!J311</f>
        <v>ISTP</v>
      </c>
      <c r="J316" s="26" t="str">
        <f>'Raw data'!K311</f>
        <v>무관</v>
      </c>
      <c r="K316" s="26" t="str">
        <f>'Raw data'!L311</f>
        <v>무교</v>
      </c>
      <c r="L316" s="26" t="str">
        <f>'Raw data'!M311</f>
        <v>무관</v>
      </c>
      <c r="M316" s="26" t="str">
        <f>'Raw data'!P311</f>
        <v>무관</v>
      </c>
      <c r="N316" s="26" t="str">
        <f>'Raw data'!N311</f>
        <v>솔직하고 깔끔한 사람</v>
      </c>
      <c r="O316" s="26" t="str">
        <f>'Raw data'!O311</f>
        <v>예쁜사람</v>
      </c>
      <c r="P316" s="26">
        <f>'Raw data'!Q311</f>
        <v>0</v>
      </c>
    </row>
    <row r="317" spans="1:16">
      <c r="A317" s="46">
        <v>315</v>
      </c>
      <c r="B317" s="26" t="str">
        <f>'Raw data'!B312</f>
        <v>남</v>
      </c>
      <c r="C317" s="26" t="str">
        <f>'Raw data'!C312</f>
        <v>이겨레</v>
      </c>
      <c r="D317" s="26">
        <f>'Raw data'!F312</f>
        <v>34</v>
      </c>
      <c r="E317" s="26">
        <f>'Raw data'!H312</f>
        <v>170</v>
      </c>
      <c r="F317" s="26" t="str">
        <f>'Raw data'!E312</f>
        <v>간호사</v>
      </c>
      <c r="G317" s="26" t="str">
        <f>'Raw data'!G312</f>
        <v>28~38</v>
      </c>
      <c r="H317" s="26" t="str">
        <f>'Raw data'!I312</f>
        <v>~170</v>
      </c>
      <c r="I317" s="26" t="str">
        <f>'Raw data'!J312</f>
        <v>INFP</v>
      </c>
      <c r="J317" s="26" t="str">
        <f>'Raw data'!K312</f>
        <v>무관</v>
      </c>
      <c r="K317" s="26" t="str">
        <f>'Raw data'!L312</f>
        <v>무교</v>
      </c>
      <c r="L317" s="26" t="str">
        <f>'Raw data'!M312</f>
        <v>무관</v>
      </c>
      <c r="M317" s="26" t="str">
        <f>'Raw data'!P312</f>
        <v>무관</v>
      </c>
      <c r="N317" s="26" t="str">
        <f>'Raw data'!N312</f>
        <v>집돌이이지만
언제나 약속은 신나게 잡고
놀때는 누구보다 재밌어하는
INFP</v>
      </c>
      <c r="O317" s="26" t="str">
        <f>'Raw data'!O312</f>
        <v>자기관리 열심히 하며 놀때는 재밌게 놀고 쉴때는 또 늘어지게 쉬는 삶을 사는 사람</v>
      </c>
      <c r="P317" s="26" t="str">
        <f>'Raw data'!Q312</f>
        <v>날짜는 정해진게 아닌가요?</v>
      </c>
    </row>
    <row r="318" spans="1:16">
      <c r="A318" s="46">
        <v>316</v>
      </c>
      <c r="B318" s="26" t="str">
        <f>'Raw data'!B313</f>
        <v>남</v>
      </c>
      <c r="C318" s="26" t="str">
        <f>'Raw data'!C313</f>
        <v>강희문</v>
      </c>
      <c r="D318" s="26">
        <f>'Raw data'!F313</f>
        <v>29</v>
      </c>
      <c r="E318" s="26">
        <f>'Raw data'!H313</f>
        <v>177</v>
      </c>
      <c r="F318" s="26" t="str">
        <f>'Raw data'!E313</f>
        <v>차량손해사정사</v>
      </c>
      <c r="G318" s="26" t="str">
        <f>'Raw data'!G313</f>
        <v>24~31</v>
      </c>
      <c r="H318" s="26" t="str">
        <f>'Raw data'!I313</f>
        <v>160~165</v>
      </c>
      <c r="I318" s="26" t="str">
        <f>'Raw data'!J313</f>
        <v>ISTP</v>
      </c>
      <c r="J318" s="26" t="str">
        <f>'Raw data'!K313</f>
        <v>무관</v>
      </c>
      <c r="K318" s="26" t="str">
        <f>'Raw data'!L313</f>
        <v>무교</v>
      </c>
      <c r="L318" s="26" t="str">
        <f>'Raw data'!M313</f>
        <v>무관</v>
      </c>
      <c r="M318" s="26" t="str">
        <f>'Raw data'!P313</f>
        <v>무관</v>
      </c>
      <c r="N318" s="26" t="str">
        <f>'Raw data'!N313</f>
        <v>감정 변화가 크지 않고 내 사람한테 다정함</v>
      </c>
      <c r="O318" s="26" t="str">
        <f>'Raw data'!O313</f>
        <v>단발</v>
      </c>
      <c r="P318" s="26">
        <f>'Raw data'!Q313</f>
        <v>0</v>
      </c>
    </row>
    <row r="319" spans="1:16">
      <c r="A319" s="46">
        <v>317</v>
      </c>
      <c r="B319" s="26" t="str">
        <f>'Raw data'!B314</f>
        <v>남</v>
      </c>
      <c r="C319" s="26" t="str">
        <f>'Raw data'!C314</f>
        <v>손기범</v>
      </c>
      <c r="D319" s="26">
        <f>'Raw data'!F314</f>
        <v>28</v>
      </c>
      <c r="E319" s="26">
        <f>'Raw data'!H314</f>
        <v>168</v>
      </c>
      <c r="F319" s="26" t="str">
        <f>'Raw data'!E314</f>
        <v>인스파이어 카지노딜러</v>
      </c>
      <c r="G319" s="26" t="str">
        <f>'Raw data'!G314</f>
        <v>20~30</v>
      </c>
      <c r="H319" s="26" t="str">
        <f>'Raw data'!I314</f>
        <v>165~170</v>
      </c>
      <c r="I319" s="26" t="str">
        <f>'Raw data'!J314</f>
        <v>ENFP</v>
      </c>
      <c r="J319" s="26" t="str">
        <f>'Raw data'!K314</f>
        <v>무관</v>
      </c>
      <c r="K319" s="26" t="str">
        <f>'Raw data'!L314</f>
        <v>무교</v>
      </c>
      <c r="L319" s="26" t="str">
        <f>'Raw data'!M314</f>
        <v>무관</v>
      </c>
      <c r="M319" s="26" t="str">
        <f>'Raw data'!P314</f>
        <v>무관</v>
      </c>
      <c r="N319" s="26" t="str">
        <f>'Raw data'!N314</f>
        <v>카지노딜러하고있는 27살 손기범입니다</v>
      </c>
      <c r="O319" s="26" t="str">
        <f>'Raw data'!O314</f>
        <v>작고 아담하신분, 지혜로운</v>
      </c>
      <c r="P319" s="26">
        <f>'Raw data'!Q314</f>
        <v>0</v>
      </c>
    </row>
    <row r="320" spans="1:16">
      <c r="A320" s="46">
        <v>318</v>
      </c>
      <c r="B320" s="26" t="str">
        <f>'Raw data'!B315</f>
        <v>여</v>
      </c>
      <c r="C320" s="26" t="str">
        <f>'Raw data'!C315</f>
        <v>조예진</v>
      </c>
      <c r="D320" s="26">
        <f>'Raw data'!F315</f>
        <v>34</v>
      </c>
      <c r="E320" s="26">
        <f>'Raw data'!H315</f>
        <v>170</v>
      </c>
      <c r="F320" s="26" t="str">
        <f>'Raw data'!E315</f>
        <v>공공기관(복지기관) / 사회복지분야</v>
      </c>
      <c r="G320" s="26" t="str">
        <f>'Raw data'!G315</f>
        <v>28~38</v>
      </c>
      <c r="H320" s="26" t="str">
        <f>'Raw data'!I315</f>
        <v>175~</v>
      </c>
      <c r="I320" s="26" t="str">
        <f>'Raw data'!J315</f>
        <v>ESTJ</v>
      </c>
      <c r="J320" s="26" t="str">
        <f>'Raw data'!K315</f>
        <v>무관</v>
      </c>
      <c r="K320" s="26" t="str">
        <f>'Raw data'!L315</f>
        <v>무교</v>
      </c>
      <c r="L320" s="26" t="str">
        <f>'Raw data'!M315</f>
        <v>무관</v>
      </c>
      <c r="M320" s="26" t="str">
        <f>'Raw data'!P315</f>
        <v>자영업</v>
      </c>
      <c r="N320" s="26" t="str">
        <f>'Raw data'!N315</f>
        <v>밝고 편안한 분위기를 주는 사람이고, 소소한 일상 속에서 행복을 잘 찾는 편이에요. 여행이나 카페처럼 작은 즐거움을 좋아하고, 꾸준히 운동하면서 자기관리를 챙기는 편이에요. 사진이나 기록으로 추억을 남기는 걸 좋아해서 함께하는 시간을 더 의미 있게 만들려고 해요. 처음 만나는 사람에게도 부담 없이 다가가는 편이고, 서로 배려하면서 자연스럽게 가까워지는 관계를 중요하게 생각해요.</v>
      </c>
      <c r="O320" s="26" t="str">
        <f>'Raw data'!O315</f>
        <v>외적으로는 보통에서 마른 체형에 키는 178cm 이상이고, 전체적으로 깔끔한 스타일이면 좋겠어요. 성격은 남자다운 느낌보다는 섬세하고 다정한 편이 더 잘 맞는 것 같고, 무엇보다 서로 티키타카가 잘 통해서 편하게 대화가 이어지는 사람이면 좋겠어요.</v>
      </c>
      <c r="P320" s="26" t="str">
        <f>'Raw data'!Q315</f>
        <v>같은 업종 참가자랑 마주치지 않았으면 합니다 부탁드려요ㅠㅠ</v>
      </c>
    </row>
    <row r="321" spans="1:16">
      <c r="A321" s="46">
        <v>319</v>
      </c>
      <c r="B321" s="26" t="str">
        <f>'Raw data'!B316</f>
        <v>남</v>
      </c>
      <c r="C321" s="26" t="str">
        <f>'Raw data'!C316</f>
        <v>장성훈</v>
      </c>
      <c r="D321" s="26">
        <f>'Raw data'!F316</f>
        <v>31</v>
      </c>
      <c r="E321" s="26">
        <f>'Raw data'!H316</f>
        <v>161</v>
      </c>
      <c r="F321" s="26" t="str">
        <f>'Raw data'!E316</f>
        <v>삼성서울병원 간호사</v>
      </c>
      <c r="G321" s="26" t="str">
        <f>'Raw data'!G316</f>
        <v>24~34</v>
      </c>
      <c r="H321" s="26" t="str">
        <f>'Raw data'!I316</f>
        <v>~160</v>
      </c>
      <c r="I321" s="26" t="str">
        <f>'Raw data'!J316</f>
        <v>ESFP</v>
      </c>
      <c r="J321" s="26" t="str">
        <f>'Raw data'!K316</f>
        <v>무관</v>
      </c>
      <c r="K321" s="26" t="str">
        <f>'Raw data'!L316</f>
        <v>무교</v>
      </c>
      <c r="L321" s="26" t="str">
        <f>'Raw data'!M316</f>
        <v>무관</v>
      </c>
      <c r="M321" s="26" t="str">
        <f>'Raw data'!P316</f>
        <v>무관</v>
      </c>
      <c r="N321" s="26" t="str">
        <f>'Raw data'!N316</f>
        <v>상대를 배려할 줄 알고 다정합니다. 내 사람이라고 생각되면 모든 것을 아끼지 않는 사람입니다.</v>
      </c>
      <c r="O321" s="26" t="str">
        <f>'Raw data'!O316</f>
        <v>외적으로는 하얗고 웃는게 예쁜사람, 내적으로는 말을 예쁘게 하는 사람</v>
      </c>
      <c r="P321" s="26">
        <f>'Raw data'!Q316</f>
        <v>0</v>
      </c>
    </row>
    <row r="322" spans="1:16">
      <c r="A322" s="46">
        <v>320</v>
      </c>
      <c r="B322" s="26" t="str">
        <f>'Raw data'!B317</f>
        <v>여</v>
      </c>
      <c r="C322" s="26" t="str">
        <f>'Raw data'!C317</f>
        <v>박혜민</v>
      </c>
      <c r="D322" s="26">
        <f>'Raw data'!F317</f>
        <v>28</v>
      </c>
      <c r="E322" s="26">
        <f>'Raw data'!H317</f>
        <v>169</v>
      </c>
      <c r="F322" s="26" t="str">
        <f>'Raw data'!E317</f>
        <v>한국인삼공사/전략기획팀</v>
      </c>
      <c r="G322" s="26" t="str">
        <f>'Raw data'!G317</f>
        <v>28~34</v>
      </c>
      <c r="H322" s="26" t="str">
        <f>'Raw data'!I317</f>
        <v>175~</v>
      </c>
      <c r="I322" s="26" t="str">
        <f>'Raw data'!J317</f>
        <v>ENTJ</v>
      </c>
      <c r="J322" s="26" t="str">
        <f>'Raw data'!K317</f>
        <v>INFP, INTP, INFJ, ISTJ, INTJ, ENFJ, ENTP, ENTJ, ESTJ</v>
      </c>
      <c r="K322" s="26" t="str">
        <f>'Raw data'!L317</f>
        <v>무교</v>
      </c>
      <c r="L322" s="26" t="str">
        <f>'Raw data'!M317</f>
        <v>무관</v>
      </c>
      <c r="M322" s="26" t="str">
        <f>'Raw data'!P317</f>
        <v>무관</v>
      </c>
      <c r="N322" s="26" t="str">
        <f>'Raw data'!N317</f>
        <v>깔끔한 두부상에 자기관리 열심히 하려고 노력하고 웃는게 이쁨. 미래지향적으로 자격증이나 공부, 독서를 꾸준히 하고 운동도 즐겨하는 편 ! (헬스, 플라테스, 러닝, 등산 등)</v>
      </c>
      <c r="O322" s="26" t="str">
        <f>'Raw data'!O317</f>
        <v>깔끔한 인상에 자기관리 잘하고 웃는게 이쁜 사람. 운동 꾸준히 하고 피부를 잘 가꾸는 사람.</v>
      </c>
      <c r="P322" s="26">
        <f>'Raw data'!Q317</f>
        <v>0</v>
      </c>
    </row>
    <row r="323" spans="1:16">
      <c r="A323" s="46">
        <v>321</v>
      </c>
      <c r="B323" s="26" t="str">
        <f>'Raw data'!B318</f>
        <v>여</v>
      </c>
      <c r="C323" s="26" t="str">
        <f>'Raw data'!C318</f>
        <v>전혜린</v>
      </c>
      <c r="D323" s="26">
        <f>'Raw data'!F318</f>
        <v>40</v>
      </c>
      <c r="E323" s="26">
        <f>'Raw data'!H318</f>
        <v>165</v>
      </c>
      <c r="F323" s="26" t="str">
        <f>'Raw data'!E318</f>
        <v>경찰병원 간호간병통합서비스 병동</v>
      </c>
      <c r="G323" s="26" t="str">
        <f>'Raw data'!G318</f>
        <v>38~</v>
      </c>
      <c r="H323" s="26" t="str">
        <f>'Raw data'!I318</f>
        <v>165~</v>
      </c>
      <c r="I323" s="26" t="str">
        <f>'Raw data'!J318</f>
        <v>ESFJ</v>
      </c>
      <c r="J323" s="26" t="str">
        <f>'Raw data'!K318</f>
        <v>무관</v>
      </c>
      <c r="K323" s="26" t="str">
        <f>'Raw data'!L318</f>
        <v>불교</v>
      </c>
      <c r="L323" s="26" t="str">
        <f>'Raw data'!M318</f>
        <v>무관</v>
      </c>
      <c r="M323" s="26" t="str">
        <f>'Raw data'!P318</f>
        <v>무관</v>
      </c>
      <c r="N323" s="26" t="str">
        <f>'Raw data'!N318</f>
        <v>함께 있으면 비타민을 먹은 듯 에너지가 솟아나는, 긍정의 아이콘입니다. 막힘없이 시원시원한 성격으로 주변에 즐거움을 전하는 것을 좋아하는 사람입니다!</v>
      </c>
      <c r="O323" s="26" t="str">
        <f>'Raw data'!O318</f>
        <v>평소에는 똑부러지지만 가끔 보여주는 허당기나, 작은 일에도 아이처럼 환하게 웃으며 기뻐하는 순수한 모습의 사람</v>
      </c>
      <c r="P323" s="26">
        <f>'Raw data'!Q318</f>
        <v>0</v>
      </c>
    </row>
    <row r="324" spans="1:16">
      <c r="A324" s="46">
        <v>322</v>
      </c>
      <c r="B324" s="26" t="str">
        <f>'Raw data'!B319</f>
        <v>여</v>
      </c>
      <c r="C324" s="26" t="str">
        <f>'Raw data'!C319</f>
        <v>정은이</v>
      </c>
      <c r="D324" s="26">
        <f>'Raw data'!F319</f>
        <v>38</v>
      </c>
      <c r="E324" s="26">
        <f>'Raw data'!H319</f>
        <v>172</v>
      </c>
      <c r="F324" s="26" t="str">
        <f>'Raw data'!E319</f>
        <v>공인중개사</v>
      </c>
      <c r="G324" s="26" t="str">
        <f>'Raw data'!G319</f>
        <v>31~38</v>
      </c>
      <c r="H324" s="26" t="str">
        <f>'Raw data'!I319</f>
        <v>180~</v>
      </c>
      <c r="I324" s="26" t="str">
        <f>'Raw data'!J319</f>
        <v>ENFJ</v>
      </c>
      <c r="J324" s="26" t="str">
        <f>'Raw data'!K319</f>
        <v>무관</v>
      </c>
      <c r="K324" s="26" t="str">
        <f>'Raw data'!L319</f>
        <v>기독교</v>
      </c>
      <c r="L324" s="26" t="str">
        <f>'Raw data'!M319</f>
        <v>무관</v>
      </c>
      <c r="M324" s="26" t="str">
        <f>'Raw data'!P319</f>
        <v>무관</v>
      </c>
      <c r="N324" s="26" t="str">
        <f>'Raw data'!N319</f>
        <v>재미있는사람</v>
      </c>
      <c r="O324" s="26" t="str">
        <f>'Raw data'!O319</f>
        <v>키크고 진중한사람</v>
      </c>
      <c r="P324" s="26">
        <f>'Raw data'!Q319</f>
        <v>0</v>
      </c>
    </row>
    <row r="325" spans="1:16">
      <c r="A325" s="46">
        <v>323</v>
      </c>
      <c r="B325" s="26" t="str">
        <f>'Raw data'!B320</f>
        <v>남</v>
      </c>
      <c r="C325" s="26" t="str">
        <f>'Raw data'!C320</f>
        <v>박근준</v>
      </c>
      <c r="D325" s="26">
        <f>'Raw data'!F320</f>
        <v>33</v>
      </c>
      <c r="E325" s="26">
        <f>'Raw data'!H320</f>
        <v>171</v>
      </c>
      <c r="F325" s="26" t="str">
        <f>'Raw data'!E320</f>
        <v>삼성전자 foundry p기술팀</v>
      </c>
      <c r="G325" s="26" t="str">
        <f>'Raw data'!G320</f>
        <v>24~31</v>
      </c>
      <c r="H325" s="26" t="str">
        <f>'Raw data'!I320</f>
        <v>~165</v>
      </c>
      <c r="I325" s="26" t="str">
        <f>'Raw data'!J320</f>
        <v>ISFP</v>
      </c>
      <c r="J325" s="26" t="str">
        <f>'Raw data'!K320</f>
        <v>무관</v>
      </c>
      <c r="K325" s="26" t="str">
        <f>'Raw data'!L320</f>
        <v>무교</v>
      </c>
      <c r="L325" s="26" t="str">
        <f>'Raw data'!M320</f>
        <v>동일</v>
      </c>
      <c r="M325" s="26" t="str">
        <f>'Raw data'!P320</f>
        <v>무관</v>
      </c>
      <c r="N325" s="26" t="str">
        <f>'Raw data'!N320</f>
        <v>친해지면 장난기 많은 사람</v>
      </c>
      <c r="O325" s="26" t="str">
        <f>'Raw data'!O320</f>
        <v>밝은 사람</v>
      </c>
      <c r="P325" s="26">
        <f>'Raw data'!Q320</f>
        <v>0</v>
      </c>
    </row>
    <row r="326" spans="1:16">
      <c r="A326" s="46">
        <v>324</v>
      </c>
      <c r="B326" s="26" t="str">
        <f>'Raw data'!B321</f>
        <v>여</v>
      </c>
      <c r="C326" s="26" t="str">
        <f>'Raw data'!C321</f>
        <v>오지영</v>
      </c>
      <c r="D326" s="26">
        <f>'Raw data'!F321</f>
        <v>32</v>
      </c>
      <c r="E326" s="26">
        <f>'Raw data'!H321</f>
        <v>168</v>
      </c>
      <c r="F326" s="26" t="str">
        <f>'Raw data'!E321</f>
        <v>경희의료원 병리과</v>
      </c>
      <c r="G326" s="26" t="str">
        <f>'Raw data'!G321</f>
        <v>31~41</v>
      </c>
      <c r="H326" s="26" t="str">
        <f>'Raw data'!I321</f>
        <v>175~</v>
      </c>
      <c r="I326" s="26" t="str">
        <f>'Raw data'!J321</f>
        <v>ISTJ</v>
      </c>
      <c r="J326" s="26" t="str">
        <f>'Raw data'!K321</f>
        <v>무관</v>
      </c>
      <c r="K326" s="26" t="str">
        <f>'Raw data'!L321</f>
        <v>무교</v>
      </c>
      <c r="L326" s="26" t="str">
        <f>'Raw data'!M321</f>
        <v>동일</v>
      </c>
      <c r="M326" s="26" t="str">
        <f>'Raw data'!P321</f>
        <v>공무원</v>
      </c>
      <c r="N326" s="26" t="str">
        <f>'Raw data'!N321</f>
        <v>밝은사람</v>
      </c>
      <c r="O326" s="26" t="str">
        <f>'Raw data'!O321</f>
        <v>개그코드가 잘맞는 사람</v>
      </c>
      <c r="P326" s="26">
        <f>'Raw data'!Q321</f>
        <v>0</v>
      </c>
    </row>
    <row r="327" spans="1:16">
      <c r="A327" s="46">
        <v>325</v>
      </c>
      <c r="B327" s="26" t="str">
        <f>'Raw data'!B322</f>
        <v>남</v>
      </c>
      <c r="C327" s="26" t="str">
        <f>'Raw data'!C322</f>
        <v>김지원</v>
      </c>
      <c r="D327" s="26">
        <f>'Raw data'!F322</f>
        <v>32</v>
      </c>
      <c r="E327" s="26">
        <f>'Raw data'!H322</f>
        <v>173</v>
      </c>
      <c r="F327" s="26" t="str">
        <f>'Raw data'!E322</f>
        <v>삼성전자 엔지니어</v>
      </c>
      <c r="G327" s="26" t="str">
        <f>'Raw data'!G322</f>
        <v>28~34</v>
      </c>
      <c r="H327" s="26" t="str">
        <f>'Raw data'!I322</f>
        <v>160~165</v>
      </c>
      <c r="I327" s="26" t="str">
        <f>'Raw data'!J322</f>
        <v>ESTJ</v>
      </c>
      <c r="J327" s="26" t="str">
        <f>'Raw data'!K322</f>
        <v>무관</v>
      </c>
      <c r="K327" s="26" t="str">
        <f>'Raw data'!L322</f>
        <v>무교</v>
      </c>
      <c r="L327" s="26" t="str">
        <f>'Raw data'!M322</f>
        <v>동일</v>
      </c>
      <c r="M327" s="26" t="str">
        <f>'Raw data'!P322</f>
        <v>무관</v>
      </c>
      <c r="N327" s="26" t="str">
        <f>'Raw data'!N322</f>
        <v>적당한 텐션의 굿 리스너</v>
      </c>
      <c r="O327" s="26" t="str">
        <f>'Raw data'!O322</f>
        <v>긍정적이고 선한 사람</v>
      </c>
      <c r="P327" s="26">
        <f>'Raw data'!Q322</f>
        <v>0</v>
      </c>
    </row>
    <row r="328" spans="1:16">
      <c r="A328" s="46">
        <v>326</v>
      </c>
      <c r="B328" s="26" t="str">
        <f>'Raw data'!B323</f>
        <v>남</v>
      </c>
      <c r="C328" s="26" t="str">
        <f>'Raw data'!C323</f>
        <v>유만영</v>
      </c>
      <c r="D328" s="26">
        <f>'Raw data'!F323</f>
        <v>31</v>
      </c>
      <c r="E328" s="26">
        <f>'Raw data'!H323</f>
        <v>175</v>
      </c>
      <c r="F328" s="26" t="str">
        <f>'Raw data'!E323</f>
        <v>요리사</v>
      </c>
      <c r="G328" s="26" t="str">
        <f>'Raw data'!G323</f>
        <v>28~31</v>
      </c>
      <c r="H328" s="26" t="str">
        <f>'Raw data'!I323</f>
        <v>160~170</v>
      </c>
      <c r="I328" s="26" t="str">
        <f>'Raw data'!J323</f>
        <v>ISFJ</v>
      </c>
      <c r="J328" s="26" t="str">
        <f>'Raw data'!K323</f>
        <v>무관</v>
      </c>
      <c r="K328" s="26" t="str">
        <f>'Raw data'!L323</f>
        <v>무교</v>
      </c>
      <c r="L328" s="26" t="str">
        <f>'Raw data'!M323</f>
        <v>무관</v>
      </c>
      <c r="M328" s="26" t="str">
        <f>'Raw data'!P323</f>
        <v>무관</v>
      </c>
      <c r="N328" s="26" t="str">
        <f>'Raw data'!N323</f>
        <v>알면알수록좋은사람</v>
      </c>
      <c r="O328" s="26" t="str">
        <f>'Raw data'!O323</f>
        <v>밝고 긍정적인 사람</v>
      </c>
      <c r="P328" s="26">
        <f>'Raw data'!Q323</f>
        <v>0</v>
      </c>
    </row>
    <row r="329" spans="1:16">
      <c r="A329" s="46">
        <v>327</v>
      </c>
      <c r="B329" s="26" t="str">
        <f>'Raw data'!B324</f>
        <v>남</v>
      </c>
      <c r="C329" s="26" t="str">
        <f>'Raw data'!C324</f>
        <v>정현우</v>
      </c>
      <c r="D329" s="26">
        <f>'Raw data'!F324</f>
        <v>28</v>
      </c>
      <c r="E329" s="26">
        <f>'Raw data'!H324</f>
        <v>171</v>
      </c>
      <c r="F329" s="26" t="str">
        <f>'Raw data'!E324</f>
        <v>바리스타</v>
      </c>
      <c r="G329" s="26" t="str">
        <f>'Raw data'!G324</f>
        <v>28~31</v>
      </c>
      <c r="H329" s="26" t="str">
        <f>'Raw data'!I324</f>
        <v>160~170</v>
      </c>
      <c r="I329" s="26" t="str">
        <f>'Raw data'!J324</f>
        <v>ISTPT</v>
      </c>
      <c r="J329" s="26" t="str">
        <f>'Raw data'!K324</f>
        <v>무관</v>
      </c>
      <c r="K329" s="26" t="str">
        <f>'Raw data'!L324</f>
        <v>무교</v>
      </c>
      <c r="L329" s="26" t="str">
        <f>'Raw data'!M324</f>
        <v>무관</v>
      </c>
      <c r="M329" s="26" t="str">
        <f>'Raw data'!P324</f>
        <v>무관</v>
      </c>
      <c r="N329" s="26" t="str">
        <f>'Raw data'!N324</f>
        <v>친해지면 말많고 장난 많은 사람이지만 진지할땐 진지하고 의지할수 있는 사람</v>
      </c>
      <c r="O329" s="26">
        <f>'Raw data'!O324</f>
        <v>0</v>
      </c>
      <c r="P329" s="26">
        <f>'Raw data'!Q324</f>
        <v>0</v>
      </c>
    </row>
    <row r="330" spans="1:16">
      <c r="A330" s="46">
        <v>328</v>
      </c>
      <c r="B330" s="26" t="str">
        <f>'Raw data'!B325</f>
        <v>남</v>
      </c>
      <c r="C330" s="26" t="str">
        <f>'Raw data'!C325</f>
        <v>고명준</v>
      </c>
      <c r="D330" s="26">
        <f>'Raw data'!F325</f>
        <v>32</v>
      </c>
      <c r="E330" s="26">
        <f>'Raw data'!H325</f>
        <v>165</v>
      </c>
      <c r="F330" s="26" t="str">
        <f>'Raw data'!E325</f>
        <v>스태츠 칩팩코리아 반도체 엔지니어</v>
      </c>
      <c r="G330" s="26" t="str">
        <f>'Raw data'!G325</f>
        <v>24~34</v>
      </c>
      <c r="H330" s="26" t="str">
        <f>'Raw data'!I325</f>
        <v>~165</v>
      </c>
      <c r="I330" s="26" t="str">
        <f>'Raw data'!J325</f>
        <v>ENFP</v>
      </c>
      <c r="J330" s="26" t="str">
        <f>'Raw data'!K325</f>
        <v>무관</v>
      </c>
      <c r="K330" s="26" t="str">
        <f>'Raw data'!L325</f>
        <v>무교</v>
      </c>
      <c r="L330" s="26" t="str">
        <f>'Raw data'!M325</f>
        <v>무관</v>
      </c>
      <c r="M330" s="26" t="str">
        <f>'Raw data'!P325</f>
        <v>무관</v>
      </c>
      <c r="N330" s="26" t="str">
        <f>'Raw data'!N325</f>
        <v>밝고 상대방에게 집중할수 있는사람</v>
      </c>
      <c r="O330" s="26" t="str">
        <f>'Raw data'!O325</f>
        <v>밝고 귀여운사람</v>
      </c>
      <c r="P330" s="26">
        <f>'Raw data'!Q325</f>
        <v>0</v>
      </c>
    </row>
    <row r="331" spans="1:16">
      <c r="A331" s="46">
        <v>329</v>
      </c>
      <c r="B331" s="26" t="str">
        <f>'Raw data'!B326</f>
        <v>남</v>
      </c>
      <c r="C331" s="26" t="str">
        <f>'Raw data'!C326</f>
        <v>김연준</v>
      </c>
      <c r="D331" s="26">
        <f>'Raw data'!F326</f>
        <v>35</v>
      </c>
      <c r="E331" s="26">
        <f>'Raw data'!H326</f>
        <v>173</v>
      </c>
      <c r="F331" s="26" t="str">
        <f>'Raw data'!E326</f>
        <v>BGF리테일 가맹관리</v>
      </c>
      <c r="G331" s="26" t="str">
        <f>'Raw data'!G326</f>
        <v>24~34</v>
      </c>
      <c r="H331" s="26" t="str">
        <f>'Raw data'!I326</f>
        <v>~170</v>
      </c>
      <c r="I331" s="26" t="str">
        <f>'Raw data'!J326</f>
        <v>ISFJ</v>
      </c>
      <c r="J331" s="26" t="str">
        <f>'Raw data'!K326</f>
        <v>INFP, ISFP, INFJ, ISFJ, ENFP, ESFP, ENFJ, ESFJ, ESTP, ENTJ, ESTJ</v>
      </c>
      <c r="K331" s="26" t="str">
        <f>'Raw data'!L326</f>
        <v>무교</v>
      </c>
      <c r="L331" s="26" t="str">
        <f>'Raw data'!M326</f>
        <v>동일</v>
      </c>
      <c r="M331" s="26" t="str">
        <f>'Raw data'!P326</f>
        <v>무관</v>
      </c>
      <c r="N331" s="26" t="str">
        <f>'Raw data'!N326</f>
        <v>차분하고 침착하며 다정하고 챙겨주길 좋아하는 사람, 맡은 일 책임감과 발전하고자 하는 계발적인 사람</v>
      </c>
      <c r="O331" s="26" t="str">
        <f>'Raw data'!O326</f>
        <v>자기 감정에 솔직하고 표현 잘하는 사람, 잘 웃고 밝은 사람, 다정한 사람</v>
      </c>
      <c r="P331" s="26">
        <f>'Raw data'!Q326</f>
        <v>0</v>
      </c>
    </row>
    <row r="332" spans="1:16">
      <c r="A332" s="46">
        <v>330</v>
      </c>
      <c r="B332" s="26" t="str">
        <f>'Raw data'!B327</f>
        <v>남</v>
      </c>
      <c r="C332" s="26" t="str">
        <f>'Raw data'!C327</f>
        <v>권경준</v>
      </c>
      <c r="D332" s="26">
        <f>'Raw data'!F327</f>
        <v>30</v>
      </c>
      <c r="E332" s="26">
        <f>'Raw data'!H327</f>
        <v>171</v>
      </c>
      <c r="F332" s="26" t="str">
        <f>'Raw data'!E327</f>
        <v>회사원</v>
      </c>
      <c r="G332" s="26" t="str">
        <f>'Raw data'!G327</f>
        <v>24~31</v>
      </c>
      <c r="H332" s="26" t="str">
        <f>'Raw data'!I327</f>
        <v>~165</v>
      </c>
      <c r="I332" s="26" t="str">
        <f>'Raw data'!J327</f>
        <v>ENTP</v>
      </c>
      <c r="J332" s="26" t="str">
        <f>'Raw data'!K327</f>
        <v>무관</v>
      </c>
      <c r="K332" s="26" t="str">
        <f>'Raw data'!L327</f>
        <v>무교</v>
      </c>
      <c r="L332" s="26" t="str">
        <f>'Raw data'!M327</f>
        <v>무관</v>
      </c>
      <c r="M332" s="26" t="str">
        <f>'Raw data'!P327</f>
        <v>병원직군</v>
      </c>
      <c r="N332" s="26" t="str">
        <f>'Raw data'!N327</f>
        <v>적당히 맞춰줄 수 있는 사람</v>
      </c>
      <c r="O332" s="26" t="str">
        <f>'Raw data'!O327</f>
        <v>귀여우면 됩니다</v>
      </c>
      <c r="P332" s="26" t="str">
        <f>'Raw data'!Q327</f>
        <v>잘부탁드려요</v>
      </c>
    </row>
    <row r="333" spans="1:16">
      <c r="A333" s="46">
        <v>331</v>
      </c>
      <c r="B333" s="26" t="str">
        <f>'Raw data'!B328</f>
        <v>여</v>
      </c>
      <c r="C333" s="26" t="str">
        <f>'Raw data'!C328</f>
        <v>이지현</v>
      </c>
      <c r="D333" s="26">
        <f>'Raw data'!F328</f>
        <v>27</v>
      </c>
      <c r="E333" s="26">
        <f>'Raw data'!H328</f>
        <v>164</v>
      </c>
      <c r="F333" s="26" t="str">
        <f>'Raw data'!E328</f>
        <v>보건직</v>
      </c>
      <c r="G333" s="26" t="str">
        <f>'Raw data'!G328</f>
        <v>28~34</v>
      </c>
      <c r="H333" s="26" t="str">
        <f>'Raw data'!I328</f>
        <v>175~</v>
      </c>
      <c r="I333" s="26" t="str">
        <f>'Raw data'!J328</f>
        <v>ESFJ</v>
      </c>
      <c r="J333" s="26" t="str">
        <f>'Raw data'!K328</f>
        <v>ENTJ제외</v>
      </c>
      <c r="K333" s="26" t="str">
        <f>'Raw data'!L328</f>
        <v>무교</v>
      </c>
      <c r="L333" s="26" t="str">
        <f>'Raw data'!M328</f>
        <v>동일</v>
      </c>
      <c r="M333" s="26" t="str">
        <f>'Raw data'!P328</f>
        <v>다정다감, 성숙한, 회피형 싫고, 예의바른, </v>
      </c>
      <c r="N333" s="26" t="str">
        <f>'Raw data'!N328</f>
        <v>병원직군, 자영업</v>
      </c>
      <c r="O333" s="26" t="str">
        <f>'Raw data'!O328</f>
        <v>상대에게 잘 맞춰줄 수 있고, 활발하고 다양한 경험을 하는걸 좋아합니다. 스키, 수영, 등산</v>
      </c>
      <c r="P333" s="26">
        <f>'Raw data'!Q328</f>
        <v>0</v>
      </c>
    </row>
    <row r="334" spans="1:16">
      <c r="A334" s="46">
        <v>332</v>
      </c>
      <c r="B334" s="26" t="str">
        <f>'Raw data'!B329</f>
        <v>여</v>
      </c>
      <c r="C334" s="26" t="str">
        <f>'Raw data'!C329</f>
        <v>최하영</v>
      </c>
      <c r="D334" s="26">
        <f>'Raw data'!F329</f>
        <v>31</v>
      </c>
      <c r="E334" s="26">
        <f>'Raw data'!H329</f>
        <v>161</v>
      </c>
      <c r="F334" s="26" t="str">
        <f>'Raw data'!E329</f>
        <v>삼성서울병원 병동 간호사</v>
      </c>
      <c r="G334" s="26" t="str">
        <f>'Raw data'!G329</f>
        <v>28~34</v>
      </c>
      <c r="H334" s="26" t="str">
        <f>'Raw data'!I329</f>
        <v>170~</v>
      </c>
      <c r="I334" s="26" t="str">
        <f>'Raw data'!J329</f>
        <v>INFP</v>
      </c>
      <c r="J334" s="26" t="str">
        <f>'Raw data'!K329</f>
        <v>무관</v>
      </c>
      <c r="K334" s="26" t="str">
        <f>'Raw data'!L329</f>
        <v>기독교</v>
      </c>
      <c r="L334" s="26" t="str">
        <f>'Raw data'!M329</f>
        <v>동일</v>
      </c>
      <c r="M334" s="26" t="str">
        <f>'Raw data'!P329</f>
        <v>무관</v>
      </c>
      <c r="N334" s="26" t="str">
        <f>'Raw data'!N329</f>
        <v>밝고 착함</v>
      </c>
      <c r="O334" s="26" t="str">
        <f>'Raw data'!O329</f>
        <v>다정한 사람</v>
      </c>
      <c r="P334" s="26">
        <f>'Raw data'!Q329</f>
        <v>0</v>
      </c>
    </row>
    <row r="335" spans="1:16">
      <c r="A335" s="46">
        <v>333</v>
      </c>
      <c r="B335" s="26" t="str">
        <f>'Raw data'!B330</f>
        <v>여</v>
      </c>
      <c r="C335" s="26" t="str">
        <f>'Raw data'!C330</f>
        <v>김예성</v>
      </c>
      <c r="D335" s="26">
        <f>'Raw data'!F330</f>
        <v>29</v>
      </c>
      <c r="E335" s="26">
        <f>'Raw data'!H330</f>
        <v>157</v>
      </c>
      <c r="F335" s="26" t="str">
        <f>'Raw data'!E330</f>
        <v>외국계 / 영업관리팀</v>
      </c>
      <c r="G335" s="26" t="str">
        <f>'Raw data'!G330</f>
        <v>28~34</v>
      </c>
      <c r="H335" s="26" t="str">
        <f>'Raw data'!I330</f>
        <v>170~</v>
      </c>
      <c r="I335" s="26" t="str">
        <f>'Raw data'!J330</f>
        <v>ENFP</v>
      </c>
      <c r="J335" s="26" t="str">
        <f>'Raw data'!K330</f>
        <v>INFP, INTP, INFJ, ISFJ, ENFP, ESFP, ENFJ, ESFJ, ENTP, ENTJ</v>
      </c>
      <c r="K335" s="26" t="str">
        <f>'Raw data'!L330</f>
        <v>불교</v>
      </c>
      <c r="L335" s="26" t="str">
        <f>'Raw data'!M330</f>
        <v>무관</v>
      </c>
      <c r="M335" s="26" t="str">
        <f>'Raw data'!P330</f>
        <v>무관</v>
      </c>
      <c r="N335" s="26" t="str">
        <f>'Raw data'!N330</f>
        <v>발랄하다는 얘길 많이 듣습니다 . 도전적이고 궁금증도 많아서 새로운 걸 시도/체험하는 걸 좋아해요.</v>
      </c>
      <c r="O335" s="26" t="str">
        <f>'Raw data'!O330</f>
        <v>스타일 좋은 사람 센스 있는 사람</v>
      </c>
      <c r="P335" s="26" t="str">
        <f>'Raw data'!Q330</f>
        <v>초대 감사합니다 ☺️</v>
      </c>
    </row>
    <row r="336" spans="1:16">
      <c r="A336" s="46">
        <v>334</v>
      </c>
      <c r="B336" s="26" t="str">
        <f>'Raw data'!B331</f>
        <v>남</v>
      </c>
      <c r="C336" s="26" t="str">
        <f>'Raw data'!C331</f>
        <v>이재형</v>
      </c>
      <c r="D336" s="26">
        <f>'Raw data'!F331</f>
        <v>30</v>
      </c>
      <c r="E336" s="26">
        <f>'Raw data'!H331</f>
        <v>170</v>
      </c>
      <c r="F336" s="26" t="str">
        <f>'Raw data'!E331</f>
        <v>에스원, FM파트</v>
      </c>
      <c r="G336" s="26" t="str">
        <f>'Raw data'!G331</f>
        <v>24~31</v>
      </c>
      <c r="H336" s="26" t="str">
        <f>'Raw data'!I331</f>
        <v>무관</v>
      </c>
      <c r="I336" s="26" t="str">
        <f>'Raw data'!J331</f>
        <v>ENFP</v>
      </c>
      <c r="J336" s="26" t="str">
        <f>'Raw data'!K331</f>
        <v>무관</v>
      </c>
      <c r="K336" s="26" t="str">
        <f>'Raw data'!L331</f>
        <v>무교</v>
      </c>
      <c r="L336" s="26" t="str">
        <f>'Raw data'!M331</f>
        <v>무관</v>
      </c>
      <c r="M336" s="26" t="str">
        <f>'Raw data'!P331</f>
        <v>무관</v>
      </c>
      <c r="N336" s="26" t="str">
        <f>'Raw data'!N331</f>
        <v>도전적인 사람</v>
      </c>
      <c r="O336" s="26">
        <f>'Raw data'!O331</f>
        <v>0</v>
      </c>
      <c r="P336" s="26">
        <f>'Raw data'!Q331</f>
        <v>0</v>
      </c>
    </row>
    <row r="337" spans="1:16">
      <c r="A337" s="46">
        <v>335</v>
      </c>
      <c r="B337" s="26" t="str">
        <f>'Raw data'!B332</f>
        <v>남</v>
      </c>
      <c r="C337" s="26" t="str">
        <f>'Raw data'!C332</f>
        <v>이준호</v>
      </c>
      <c r="D337" s="26">
        <f>'Raw data'!F332</f>
        <v>30</v>
      </c>
      <c r="E337" s="26">
        <f>'Raw data'!H332</f>
        <v>184</v>
      </c>
      <c r="F337" s="26" t="str">
        <f>'Raw data'!E332</f>
        <v>연구소, 연구원</v>
      </c>
      <c r="G337" s="26" t="str">
        <f>'Raw data'!G332</f>
        <v>24~31</v>
      </c>
      <c r="H337" s="26" t="str">
        <f>'Raw data'!I332</f>
        <v>160~180</v>
      </c>
      <c r="I337" s="26" t="str">
        <f>'Raw data'!J332</f>
        <v>ENFJ</v>
      </c>
      <c r="J337" s="26" t="str">
        <f>'Raw data'!K332</f>
        <v>무관, INFP, ISFP</v>
      </c>
      <c r="K337" s="26" t="str">
        <f>'Raw data'!L332</f>
        <v>천주교</v>
      </c>
      <c r="L337" s="26" t="str">
        <f>'Raw data'!M332</f>
        <v>무관</v>
      </c>
      <c r="M337" s="26" t="str">
        <f>'Raw data'!P332</f>
        <v>무관</v>
      </c>
      <c r="N337" s="26" t="str">
        <f>'Raw data'!N332</f>
        <v>낭만적인것 좋아고 배우는 활동에 진심인 사람</v>
      </c>
      <c r="O337" s="26" t="str">
        <f>'Raw data'!O332</f>
        <v>회피하지 않고 해결하고자하는 자세가 먼저 인 사람, 여유러운 일상생활을 즐길 수 있는 분</v>
      </c>
      <c r="P337" s="26">
        <f>'Raw data'!Q332</f>
        <v>0</v>
      </c>
    </row>
    <row r="338" spans="1:16">
      <c r="A338" s="46">
        <v>336</v>
      </c>
      <c r="B338" s="26" t="str">
        <f>'Raw data'!B333</f>
        <v>남</v>
      </c>
      <c r="C338" s="26" t="str">
        <f>'Raw data'!C333</f>
        <v>김논형</v>
      </c>
      <c r="D338" s="26">
        <f>'Raw data'!F333</f>
        <v>35</v>
      </c>
      <c r="E338" s="26">
        <f>'Raw data'!H333</f>
        <v>177</v>
      </c>
      <c r="F338" s="26" t="str">
        <f>'Raw data'!E333</f>
        <v>서울교통공사 사무</v>
      </c>
      <c r="G338" s="26" t="str">
        <f>'Raw data'!G333</f>
        <v>28~34</v>
      </c>
      <c r="H338" s="26" t="str">
        <f>'Raw data'!I333</f>
        <v>~170</v>
      </c>
      <c r="I338" s="26" t="str">
        <f>'Raw data'!J333</f>
        <v>ENTJ</v>
      </c>
      <c r="J338" s="26" t="str">
        <f>'Raw data'!K333</f>
        <v>INTJ, ENTP</v>
      </c>
      <c r="K338" s="26" t="str">
        <f>'Raw data'!L333</f>
        <v>천주교</v>
      </c>
      <c r="L338" s="26" t="str">
        <f>'Raw data'!M333</f>
        <v>무관</v>
      </c>
      <c r="M338" s="26" t="str">
        <f>'Raw data'!P333</f>
        <v>무관</v>
      </c>
      <c r="N338" s="26" t="str">
        <f>'Raw data'!N333</f>
        <v>운동과 공부가 취미인 자기계발을 좋아하는 사람</v>
      </c>
      <c r="O338" s="26" t="str">
        <f>'Raw data'!O333</f>
        <v>존중할 수 있는 사람</v>
      </c>
      <c r="P338" s="26">
        <f>'Raw data'!Q333</f>
        <v>0</v>
      </c>
    </row>
    <row r="339" spans="1:16">
      <c r="A339" s="46">
        <v>337</v>
      </c>
      <c r="B339" s="26" t="str">
        <f>'Raw data'!B334</f>
        <v>여</v>
      </c>
      <c r="C339" s="26" t="str">
        <f>'Raw data'!C334</f>
        <v>박수아</v>
      </c>
      <c r="D339" s="26">
        <f>'Raw data'!F334</f>
        <v>38</v>
      </c>
      <c r="E339" s="26">
        <f>'Raw data'!H334</f>
        <v>157</v>
      </c>
      <c r="F339" s="26" t="str">
        <f>'Raw data'!E334</f>
        <v>크로스보더플랫폼 / 인사</v>
      </c>
      <c r="G339" s="26" t="str">
        <f>'Raw data'!G334</f>
        <v>35~38</v>
      </c>
      <c r="H339" s="26" t="str">
        <f>'Raw data'!I334</f>
        <v>170~180</v>
      </c>
      <c r="I339" s="26" t="str">
        <f>'Raw data'!J334</f>
        <v>ENFJ</v>
      </c>
      <c r="J339" s="26" t="str">
        <f>'Raw data'!K334</f>
        <v>무관</v>
      </c>
      <c r="K339" s="26" t="str">
        <f>'Raw data'!L334</f>
        <v>무교</v>
      </c>
      <c r="L339" s="26" t="str">
        <f>'Raw data'!M334</f>
        <v>동일</v>
      </c>
      <c r="M339" s="26" t="str">
        <f>'Raw data'!P334</f>
        <v>무관</v>
      </c>
      <c r="N339" s="26" t="str">
        <f>'Raw data'!N334</f>
        <v>밝음</v>
      </c>
      <c r="O339" s="26" t="str">
        <f>'Raw data'!O334</f>
        <v>옳고 그름을 아는 바른 사람</v>
      </c>
      <c r="P339" s="26">
        <f>'Raw data'!Q334</f>
        <v>0</v>
      </c>
    </row>
    <row r="340" spans="1:16">
      <c r="A340" s="46">
        <v>338</v>
      </c>
      <c r="B340" s="26" t="str">
        <f>'Raw data'!B335</f>
        <v>남</v>
      </c>
      <c r="C340" s="26" t="str">
        <f>'Raw data'!C335</f>
        <v>김민형</v>
      </c>
      <c r="D340" s="26">
        <f>'Raw data'!F335</f>
        <v>32</v>
      </c>
      <c r="E340" s="26">
        <f>'Raw data'!H335</f>
        <v>171</v>
      </c>
      <c r="F340" s="26" t="str">
        <f>'Raw data'!E335</f>
        <v>제약회사 QC</v>
      </c>
      <c r="G340" s="26" t="str">
        <f>'Raw data'!G335</f>
        <v>24~34</v>
      </c>
      <c r="H340" s="26" t="str">
        <f>'Raw data'!I335</f>
        <v>~170</v>
      </c>
      <c r="I340" s="26" t="str">
        <f>'Raw data'!J335</f>
        <v>INFJ</v>
      </c>
      <c r="J340" s="26" t="str">
        <f>'Raw data'!K335</f>
        <v>무관</v>
      </c>
      <c r="K340" s="26" t="str">
        <f>'Raw data'!L335</f>
        <v>기독교</v>
      </c>
      <c r="L340" s="26" t="str">
        <f>'Raw data'!M335</f>
        <v>무관</v>
      </c>
      <c r="M340" s="26" t="str">
        <f>'Raw data'!P335</f>
        <v>무관</v>
      </c>
      <c r="N340" s="26" t="str">
        <f>'Raw data'!N335</f>
        <v>예의바른사람</v>
      </c>
      <c r="O340" s="26" t="str">
        <f>'Raw data'!O335</f>
        <v>말이쁘게 하는 사람</v>
      </c>
      <c r="P340" s="26" t="str">
        <f>'Raw data'!Q335</f>
        <v>없습니다</v>
      </c>
    </row>
    <row r="341" spans="1:16">
      <c r="A341" s="46">
        <v>339</v>
      </c>
      <c r="B341" s="26" t="str">
        <f>'Raw data'!B336</f>
        <v>여</v>
      </c>
      <c r="C341" s="26" t="str">
        <f>'Raw data'!C336</f>
        <v>서예슬</v>
      </c>
      <c r="D341" s="26">
        <f>'Raw data'!F336</f>
        <v>34</v>
      </c>
      <c r="E341" s="26">
        <f>'Raw data'!H336</f>
        <v>163</v>
      </c>
      <c r="F341" s="26" t="str">
        <f>'Raw data'!E336</f>
        <v>삼성서울병원 간호</v>
      </c>
      <c r="G341" s="26" t="str">
        <f>'Raw data'!G336</f>
        <v>31~41</v>
      </c>
      <c r="H341" s="26" t="str">
        <f>'Raw data'!I336</f>
        <v>170~</v>
      </c>
      <c r="I341" s="26" t="str">
        <f>'Raw data'!J336</f>
        <v>ISFP</v>
      </c>
      <c r="J341" s="26" t="str">
        <f>'Raw data'!K336</f>
        <v>INTP, ISTP, ISTJ, INTJ, ENFP, ESFP, ENFJ, ESFJ, ENTP, ESTP, ENTJ</v>
      </c>
      <c r="K341" s="26" t="str">
        <f>'Raw data'!L336</f>
        <v>기독교</v>
      </c>
      <c r="L341" s="26" t="str">
        <f>'Raw data'!M336</f>
        <v>무관</v>
      </c>
      <c r="M341" s="26" t="str">
        <f>'Raw data'!P336</f>
        <v>병원직군, 기술직, 연구직, 회사원</v>
      </c>
      <c r="N341" s="26" t="str">
        <f>'Raw data'!N336</f>
        <v>운동좋아하고 맛집탐방을 좋아해요</v>
      </c>
      <c r="O341" s="26" t="str">
        <f>'Raw data'!O336</f>
        <v>다정하고 성실한사람</v>
      </c>
      <c r="P341" s="26" t="str">
        <f>'Raw data'!Q336</f>
        <v>나이대 맞는 그룹이면 좋겠고 이전에 같이 참여했던분들과는 안겹치면 좋겠어요!</v>
      </c>
    </row>
    <row r="342" spans="1:16">
      <c r="A342" s="46">
        <v>340</v>
      </c>
      <c r="B342" s="26" t="str">
        <f>'Raw data'!B337</f>
        <v>남</v>
      </c>
      <c r="C342" s="26" t="str">
        <f>'Raw data'!C337</f>
        <v>이정현</v>
      </c>
      <c r="D342" s="26">
        <f>'Raw data'!F337</f>
        <v>27</v>
      </c>
      <c r="E342" s="26">
        <f>'Raw data'!H337</f>
        <v>183</v>
      </c>
      <c r="F342" s="26" t="str">
        <f>'Raw data'!E337</f>
        <v>삼성서울병원/ 보안팀</v>
      </c>
      <c r="G342" s="26" t="str">
        <f>'Raw data'!G337</f>
        <v>20~31</v>
      </c>
      <c r="H342" s="26" t="str">
        <f>'Raw data'!I337</f>
        <v>~175</v>
      </c>
      <c r="I342" s="26" t="str">
        <f>'Raw data'!J337</f>
        <v>ISTJ</v>
      </c>
      <c r="J342" s="26" t="str">
        <f>'Raw data'!K337</f>
        <v>무관</v>
      </c>
      <c r="K342" s="26" t="str">
        <f>'Raw data'!L337</f>
        <v>기독교</v>
      </c>
      <c r="L342" s="26" t="str">
        <f>'Raw data'!M337</f>
        <v>무관</v>
      </c>
      <c r="M342" s="26" t="str">
        <f>'Raw data'!P337</f>
        <v>외적으로는 반묶음 잘 어울리시는 귀여운 사람. 내적으로는 대화 잘 통하고 예의있는 사람!</v>
      </c>
      <c r="N342" s="26">
        <f>'Raw data'!N337</f>
        <v>0</v>
      </c>
      <c r="O342" s="26" t="str">
        <f>'Raw data'!O337</f>
        <v>평소엔 조용하지만 편해지면 생각보다 수다스럽고 장난기도 많아요. 꾸준히 운동하면서 스스로를 관리하려고 노력 중입니다. 사람 사이에서는 예의와 배려를 가장 중요하게 생각합니다.</v>
      </c>
      <c r="P342" s="26" t="str">
        <f>'Raw data'!Q337</f>
        <v>이번달이 어려우면 다음달도 한 번 참여해보고싶습니다.</v>
      </c>
    </row>
    <row r="343" spans="1:16">
      <c r="A343" s="46">
        <v>341</v>
      </c>
      <c r="B343" s="26" t="str">
        <f>'Raw data'!B338</f>
        <v>여</v>
      </c>
      <c r="C343" s="26" t="str">
        <f>'Raw data'!C338</f>
        <v>추수진</v>
      </c>
      <c r="D343" s="26">
        <f>'Raw data'!F338</f>
        <v>27</v>
      </c>
      <c r="E343" s="26">
        <f>'Raw data'!H338</f>
        <v>167</v>
      </c>
      <c r="F343" s="26" t="str">
        <f>'Raw data'!E338</f>
        <v>중학교 교사</v>
      </c>
      <c r="G343" s="26" t="str">
        <f>'Raw data'!G338</f>
        <v>28~31</v>
      </c>
      <c r="H343" s="26" t="str">
        <f>'Raw data'!I338</f>
        <v>175~180</v>
      </c>
      <c r="I343" s="26" t="str">
        <f>'Raw data'!J338</f>
        <v>ISFP</v>
      </c>
      <c r="J343" s="26" t="str">
        <f>'Raw data'!K338</f>
        <v>무관, ESFP, ESTP</v>
      </c>
      <c r="K343" s="26" t="str">
        <f>'Raw data'!L338</f>
        <v>무교</v>
      </c>
      <c r="L343" s="26" t="str">
        <f>'Raw data'!M338</f>
        <v>동일, 무관</v>
      </c>
      <c r="M343" s="26" t="str">
        <f>'Raw data'!P338</f>
        <v>공무원, 연구직, 회사원</v>
      </c>
      <c r="N343" s="26" t="str">
        <f>'Raw data'!N338</f>
        <v>밝은 에너지가 있는 건강한 사람</v>
      </c>
      <c r="O343" s="26" t="str">
        <f>'Raw data'!O338</f>
        <v>175이상 밝은 긍정적인 사람</v>
      </c>
      <c r="P343" s="26">
        <f>'Raw data'!Q338</f>
        <v>0</v>
      </c>
    </row>
    <row r="344" spans="1:16">
      <c r="A344" s="46">
        <v>342</v>
      </c>
      <c r="B344" s="26" t="str">
        <f>'Raw data'!B339</f>
        <v>여</v>
      </c>
      <c r="C344" s="26" t="str">
        <f>'Raw data'!C339</f>
        <v>소재연</v>
      </c>
      <c r="D344" s="26">
        <f>'Raw data'!F339</f>
        <v>41</v>
      </c>
      <c r="E344" s="26">
        <f>'Raw data'!H339</f>
        <v>162</v>
      </c>
      <c r="F344" s="26" t="str">
        <f>'Raw data'!E339</f>
        <v>재무팀에서 근무중입니다</v>
      </c>
      <c r="G344" s="26" t="str">
        <f>'Raw data'!G339</f>
        <v>38~</v>
      </c>
      <c r="H344" s="26" t="str">
        <f>'Raw data'!I339</f>
        <v>170~180</v>
      </c>
      <c r="I344" s="26" t="str">
        <f>'Raw data'!J339</f>
        <v>ENFP</v>
      </c>
      <c r="J344" s="26" t="str">
        <f>'Raw data'!K339</f>
        <v>무관</v>
      </c>
      <c r="K344" s="26" t="str">
        <f>'Raw data'!L339</f>
        <v>불교</v>
      </c>
      <c r="L344" s="26" t="str">
        <f>'Raw data'!M339</f>
        <v>동일</v>
      </c>
      <c r="M344" s="26" t="str">
        <f>'Raw data'!P339</f>
        <v>무관</v>
      </c>
      <c r="N344" s="26" t="str">
        <f>'Raw data'!N339</f>
        <v>밝고 활동적인 사람</v>
      </c>
      <c r="O344" s="26" t="str">
        <f>'Raw data'!O339</f>
        <v>키는 173이상이면 좋겠고 집돌이 보다는 같이 활동할 수 있는 사람이면 좋을 거 같아요</v>
      </c>
      <c r="P344" s="26" t="str">
        <f>'Raw data'!Q339</f>
        <v>비슷한 나이대면 좋을 거 같구..종교는 다수선택이 안되어서 그런데 독실한 기독교만 아니면 괜찮을 거 같아요(일요일은 무조건 교회)</v>
      </c>
    </row>
    <row r="345" spans="1:16">
      <c r="A345" s="46">
        <v>343</v>
      </c>
      <c r="B345" s="26" t="str">
        <f>'Raw data'!B340</f>
        <v>남</v>
      </c>
      <c r="C345" s="26" t="str">
        <f>'Raw data'!C340</f>
        <v>황성준</v>
      </c>
      <c r="D345" s="26">
        <f>'Raw data'!F340</f>
        <v>39</v>
      </c>
      <c r="E345" s="26">
        <f>'Raw data'!H340</f>
        <v>176</v>
      </c>
      <c r="F345" s="26" t="str">
        <f>'Raw data'!E340</f>
        <v>회사원(IT보안)</v>
      </c>
      <c r="G345" s="26" t="str">
        <f>'Raw data'!G340</f>
        <v>31~38</v>
      </c>
      <c r="H345" s="26" t="str">
        <f>'Raw data'!I340</f>
        <v>160~170</v>
      </c>
      <c r="I345" s="26" t="str">
        <f>'Raw data'!J340</f>
        <v>ISFJ</v>
      </c>
      <c r="J345" s="26" t="str">
        <f>'Raw data'!K340</f>
        <v>무관</v>
      </c>
      <c r="K345" s="26" t="str">
        <f>'Raw data'!L340</f>
        <v>무교</v>
      </c>
      <c r="L345" s="26" t="str">
        <f>'Raw data'!M340</f>
        <v>무관</v>
      </c>
      <c r="M345" s="26" t="str">
        <f>'Raw data'!P340</f>
        <v>무관</v>
      </c>
      <c r="N345" s="26" t="str">
        <f>'Raw data'!N340</f>
        <v>차분하지만 다양성이 많은 사람</v>
      </c>
      <c r="O345" s="26" t="str">
        <f>'Raw data'!O340</f>
        <v>귀여운 사람/대화 코드가 맞는 사람</v>
      </c>
      <c r="P345" s="26">
        <f>'Raw data'!Q340</f>
        <v>0</v>
      </c>
    </row>
    <row r="346" spans="1:16">
      <c r="A346" s="46">
        <v>344</v>
      </c>
      <c r="B346" s="26" t="str">
        <f>'Raw data'!B341</f>
        <v>여</v>
      </c>
      <c r="C346" s="26" t="str">
        <f>'Raw data'!C341</f>
        <v>정민희</v>
      </c>
      <c r="D346" s="26">
        <f>'Raw data'!F341</f>
        <v>30</v>
      </c>
      <c r="E346" s="26">
        <f>'Raw data'!H341</f>
        <v>169</v>
      </c>
      <c r="F346" s="26" t="str">
        <f>'Raw data'!E341</f>
        <v>영어 강사</v>
      </c>
      <c r="G346" s="26" t="str">
        <f>'Raw data'!G341</f>
        <v>31~34</v>
      </c>
      <c r="H346" s="26" t="str">
        <f>'Raw data'!I341</f>
        <v>180~</v>
      </c>
      <c r="I346" s="26" t="str">
        <f>'Raw data'!J341</f>
        <v>ENFJ</v>
      </c>
      <c r="J346" s="26" t="str">
        <f>'Raw data'!K341</f>
        <v>무관</v>
      </c>
      <c r="K346" s="26" t="str">
        <f>'Raw data'!L341</f>
        <v>무교</v>
      </c>
      <c r="L346" s="26" t="str">
        <f>'Raw data'!M341</f>
        <v>무관</v>
      </c>
      <c r="M346" s="26" t="str">
        <f>'Raw data'!P341</f>
        <v>자영업, 공무원</v>
      </c>
      <c r="N346" s="26" t="str">
        <f>'Raw data'!N341</f>
        <v>밝고 외향적이며 매사에 성실히 임하는 사람입니다 :) 서로를 배려하며 즐거운 대화를 나눌 수 있는 상대방을 찾고 있어요</v>
      </c>
      <c r="O346" s="26" t="str">
        <f>'Raw data'!O341</f>
        <v>키가 크고 선하게 생긴 사람(+학벌이 좋은 사람)</v>
      </c>
      <c r="P346" s="26" t="str">
        <f>'Raw data'!Q341</f>
        <v>우연히 인스타그램에서 보고 다음 기수 모집시 연락 받고 싶어서 지원서 남깁니다! 아쉽게도 이번 4월은 개인 일정상 참여가 어렵지만 5월 기수나 이 다음 행사에 참여하고 싶어요 :) 감사합니다.</v>
      </c>
    </row>
    <row r="347" spans="1:16">
      <c r="A347" s="46">
        <v>345</v>
      </c>
      <c r="B347" s="26" t="str">
        <f>'Raw data'!B342</f>
        <v>남</v>
      </c>
      <c r="C347" s="26" t="str">
        <f>'Raw data'!C342</f>
        <v>정민교</v>
      </c>
      <c r="D347" s="26">
        <f>'Raw data'!F342</f>
        <v>34</v>
      </c>
      <c r="E347" s="26">
        <f>'Raw data'!H342</f>
        <v>171</v>
      </c>
      <c r="F347" s="26" t="str">
        <f>'Raw data'!E342</f>
        <v>경찰공무원 강남경찰서</v>
      </c>
      <c r="G347" s="26" t="str">
        <f>'Raw data'!G342</f>
        <v>28~34</v>
      </c>
      <c r="H347" s="26" t="str">
        <f>'Raw data'!I342</f>
        <v>~170</v>
      </c>
      <c r="I347" s="26" t="str">
        <f>'Raw data'!J342</f>
        <v>ESTP</v>
      </c>
      <c r="J347" s="26" t="str">
        <f>'Raw data'!K342</f>
        <v>무관</v>
      </c>
      <c r="K347" s="26" t="str">
        <f>'Raw data'!L342</f>
        <v>무교</v>
      </c>
      <c r="L347" s="26" t="str">
        <f>'Raw data'!M342</f>
        <v>무관</v>
      </c>
      <c r="M347" s="26" t="str">
        <f>'Raw data'!P342</f>
        <v>무관</v>
      </c>
      <c r="N347" s="26" t="str">
        <f>'Raw data'!N342</f>
        <v>처음엔 낯을 조금 가리지만 금방 친해지는 편이라 재밌는 사람이라는 얘길 자주 듣습니다
편한 사람이라고도 자주 듣습니다</v>
      </c>
      <c r="O347" s="26" t="str">
        <f>'Raw data'!O342</f>
        <v>하얀 피부, 선한사람</v>
      </c>
      <c r="P347" s="26">
        <f>'Raw data'!Q342</f>
        <v>0</v>
      </c>
    </row>
    <row r="348" spans="1:16">
      <c r="A348" s="46">
        <v>346</v>
      </c>
      <c r="B348" s="26" t="str">
        <f>'Raw data'!B343</f>
        <v>남</v>
      </c>
      <c r="C348" s="26" t="str">
        <f>'Raw data'!C343</f>
        <v>최준혁</v>
      </c>
      <c r="D348" s="26">
        <f>'Raw data'!F343</f>
        <v>36</v>
      </c>
      <c r="E348" s="26">
        <f>'Raw data'!H343</f>
        <v>174</v>
      </c>
      <c r="F348" s="26" t="str">
        <f>'Raw data'!E343</f>
        <v>백화점 MD</v>
      </c>
      <c r="G348" s="26" t="str">
        <f>'Raw data'!G343</f>
        <v>28~34</v>
      </c>
      <c r="H348" s="26" t="str">
        <f>'Raw data'!I343</f>
        <v>~165</v>
      </c>
      <c r="I348" s="26" t="str">
        <f>'Raw data'!J343</f>
        <v>ISTP</v>
      </c>
      <c r="J348" s="26" t="str">
        <f>'Raw data'!K343</f>
        <v>무관</v>
      </c>
      <c r="K348" s="26" t="str">
        <f>'Raw data'!L343</f>
        <v>무교</v>
      </c>
      <c r="L348" s="26" t="str">
        <f>'Raw data'!M343</f>
        <v>동일</v>
      </c>
      <c r="M348" s="26" t="str">
        <f>'Raw data'!P343</f>
        <v>무관</v>
      </c>
      <c r="N348" s="26" t="str">
        <f>'Raw data'!N343</f>
        <v>책임감 강하고 활동적인 것을 좋아함. 
테토/에겐 반반</v>
      </c>
      <c r="O348" s="26" t="str">
        <f>'Raw data'!O343</f>
        <v>행동이 귀엽고 대화를 잘하는, 웃을 때 예쁘신 분</v>
      </c>
      <c r="P348" s="26">
        <f>'Raw data'!Q343</f>
        <v>0</v>
      </c>
    </row>
    <row r="349" spans="1:16">
      <c r="A349" s="46">
        <v>347</v>
      </c>
      <c r="B349" s="26" t="str">
        <f>'Raw data'!B344</f>
        <v>여</v>
      </c>
      <c r="C349" s="26" t="str">
        <f>'Raw data'!C344</f>
        <v>최유미</v>
      </c>
      <c r="D349" s="26">
        <f>'Raw data'!F344</f>
        <v>31</v>
      </c>
      <c r="E349" s="26">
        <f>'Raw data'!H344</f>
        <v>153</v>
      </c>
      <c r="F349" s="26" t="str">
        <f>'Raw data'!E344</f>
        <v>삼성서울병원 신생아중환자실</v>
      </c>
      <c r="G349" s="26" t="str">
        <f>'Raw data'!G344</f>
        <v>28~38</v>
      </c>
      <c r="H349" s="26" t="str">
        <f>'Raw data'!I344</f>
        <v>170~180</v>
      </c>
      <c r="I349" s="26" t="str">
        <f>'Raw data'!J344</f>
        <v>ESTJ</v>
      </c>
      <c r="J349" s="26" t="str">
        <f>'Raw data'!K344</f>
        <v>무관</v>
      </c>
      <c r="K349" s="26" t="str">
        <f>'Raw data'!L344</f>
        <v>무교</v>
      </c>
      <c r="L349" s="26" t="str">
        <f>'Raw data'!M344</f>
        <v>무관</v>
      </c>
      <c r="M349" s="26" t="str">
        <f>'Raw data'!P344</f>
        <v>병원직군, 자영업, 연구직, 회사원</v>
      </c>
      <c r="N349" s="26" t="str">
        <f>'Raw data'!N344</f>
        <v>항상 밝고 긍정적인 태도를 가지려고 노력하는 사람! 야구를 좋아해서 실제로 직관을 챙겨서 가기도 하고 무언가 만드는 걸 좋아해 공방 원데이 클래스도 참여하며 활동적인 것도 좋아하고 커피를 좋아해서 카페 투어도 다니기도 하며 내가 좋아하는 걸 꾸준히 이어가려고 하는 사람입니다.</v>
      </c>
      <c r="O349" s="26">
        <f>'Raw data'!O344</f>
        <v>0</v>
      </c>
      <c r="P349" s="26">
        <f>'Raw data'!Q344</f>
        <v>0</v>
      </c>
    </row>
    <row r="350" spans="1:16">
      <c r="A350" s="46">
        <v>348</v>
      </c>
      <c r="B350" s="26" t="str">
        <f>'Raw data'!B345</f>
        <v>여</v>
      </c>
      <c r="C350" s="26" t="str">
        <f>'Raw data'!C345</f>
        <v>천현정</v>
      </c>
      <c r="D350" s="26">
        <f>'Raw data'!F345</f>
        <v>28</v>
      </c>
      <c r="E350" s="26">
        <f>'Raw data'!H345</f>
        <v>163</v>
      </c>
      <c r="F350" s="26" t="str">
        <f>'Raw data'!E345</f>
        <v>간호사</v>
      </c>
      <c r="G350" s="26" t="str">
        <f>'Raw data'!G345</f>
        <v>28~31</v>
      </c>
      <c r="H350" s="26" t="str">
        <f>'Raw data'!I345</f>
        <v>175~</v>
      </c>
      <c r="I350" s="26" t="str">
        <f>'Raw data'!J345</f>
        <v>ESFJ</v>
      </c>
      <c r="J350" s="26" t="str">
        <f>'Raw data'!K345</f>
        <v>무관, INFJ, ISFJ, ENFJ, ESFJ</v>
      </c>
      <c r="K350" s="26" t="str">
        <f>'Raw data'!L345</f>
        <v>무교</v>
      </c>
      <c r="L350" s="26" t="str">
        <f>'Raw data'!M345</f>
        <v>동일</v>
      </c>
      <c r="M350" s="26" t="str">
        <f>'Raw data'!P345</f>
        <v>자영업, 공무원</v>
      </c>
      <c r="N350" s="26" t="str">
        <f>'Raw data'!N345</f>
        <v>밝고 사람과 함께하는걸 좋아하는 사람입니다. 자기관리 잘하며 프리패스 며느리상..</v>
      </c>
      <c r="O350" s="26" t="str">
        <f>'Raw data'!O345</f>
        <v>자기관리 하는사람, 성실한 사람, 훈훈한 외모</v>
      </c>
      <c r="P350" s="26" t="str">
        <f>'Raw data'!Q345</f>
        <v>작년부터 병동 선생님들의 추천으로 하고싶었는데 듀티가 나오지 않아 지원하지 못했습니다. 이번 기회에 참여해보고 싶습니다ㅎㅎ</v>
      </c>
    </row>
    <row r="351" spans="1:16">
      <c r="A351" s="46">
        <v>349</v>
      </c>
      <c r="B351" s="26" t="str">
        <f>'Raw data'!B346</f>
        <v>여</v>
      </c>
      <c r="C351" s="26" t="str">
        <f>'Raw data'!C346</f>
        <v>정유진</v>
      </c>
      <c r="D351" s="26">
        <f>'Raw data'!F346</f>
        <v>29</v>
      </c>
      <c r="E351" s="26">
        <f>'Raw data'!H346</f>
        <v>169</v>
      </c>
      <c r="F351" s="26" t="str">
        <f>'Raw data'!E346</f>
        <v>간호사, 병동간호2팀, 18W병동</v>
      </c>
      <c r="G351" s="26" t="str">
        <f>'Raw data'!G346</f>
        <v>28~34</v>
      </c>
      <c r="H351" s="26" t="str">
        <f>'Raw data'!I346</f>
        <v>175~</v>
      </c>
      <c r="I351" s="26" t="str">
        <f>'Raw data'!J346</f>
        <v>ISFJ</v>
      </c>
      <c r="J351" s="26" t="str">
        <f>'Raw data'!K346</f>
        <v>무관</v>
      </c>
      <c r="K351" s="26" t="str">
        <f>'Raw data'!L346</f>
        <v>무교</v>
      </c>
      <c r="L351" s="26" t="str">
        <f>'Raw data'!M346</f>
        <v>동일</v>
      </c>
      <c r="M351" s="26" t="str">
        <f>'Raw data'!P346</f>
        <v>무관</v>
      </c>
      <c r="N351" s="26" t="str">
        <f>'Raw data'!N346</f>
        <v>저는 22년도에 삼성서울병원에 입사해서 지금 5년차가 되어가고있는 18W병동 간호사입니다. 그동안 3년간의 연애를 총 2번 했던 경험이 있고, 간호학과 특성상 아는 남자도 없고 직장에도 없다보니 사람 만날 기회가 적어서 신청하게되었습니다. 제가 약간 집순이라 쉴때 약속이 없다면 보통 집에서 넷플보거나 집청소, 심심하면 베이킹할때도 있고, 그외에는 가끔씩 친구들 만나서 맛있는거 먹고 쇼핑하고 수다떨고 하는걸 좋아합니다. 강아지나 고양이같은 귀여운것들을 좋아하고 노래듣는것도 좋아합니다(jpop- official higedandism, 국내 밴드 - xdinary heros, day6, 하현상, 한로로, 여자 아이돌 노래 등). 저는 재수를 한번 하긴 했지만 그외는 큰 탈 없이 무난하게 자라왔다고 생각하고, 요즘 사회에 참 이상한 사람들이 많지만 그럼에도 좋은 사람은 있다고 생각하는.. 나름 해맑은(?) 사람입니다. 병동에서 일할때도 가끔 저희한테 뭐먹었냐 물어보며 먹을거 챙겨주시거나 하는 귀여운 어르신들보면 괜히 그게 소소하게 좋더라구요. 가끔 쌤들이랑 수다떨거나 하는 그런 재미에 힘들어도 지금껏 다니는것같아요. 친한 친구들이랑도 두쫀쿠, 버터떡 맛있다 이런얘기하고다니는 사람이라ㅋㅋ그냥 별거 아닌 일에 잘 웃고 재밌어해요. 저와 비슷한 결의, 같이 얘기할때 티키타카 잘되는 사람을 만나고 싶어요.</v>
      </c>
      <c r="O351" s="26" t="str">
        <f>'Raw data'!O346</f>
        <v>175cm 이상의 적정 체중으로, 선한 인상과 깔끔한 옷차림의 사람을 좋아합니다. 타인과 약자에게 다정하고, 긍 정적이고 여유로운 태도로 크게 호불호 없는 무탈한사람이 제 이상형입니다. 제가 교대근무를 하다보니 일할때 연락을 솔직히 잘 못하게되는데 그걸 이해해주고, 같이 맞춰나갈 배려심있는 사람이였으면 합니다. 본인의 능력을 과시하기보다 겸손하고, 혼자서도 독립적이지만 함께 했을때 별거 아닌걸로도 웃으면서 소소한 행복을 같이 즐길 수 있는 사람이면 합니다.</v>
      </c>
      <c r="P351" s="26">
        <f>'Raw data'!Q346</f>
        <v>0</v>
      </c>
    </row>
    <row r="352" spans="1:16">
      <c r="A352" s="46">
        <v>350</v>
      </c>
      <c r="B352" s="26" t="str">
        <f>'Raw data'!B347</f>
        <v>여</v>
      </c>
      <c r="C352" s="26" t="str">
        <f>'Raw data'!C347</f>
        <v>서다솜</v>
      </c>
      <c r="D352" s="26">
        <f>'Raw data'!F347</f>
        <v>26</v>
      </c>
      <c r="E352" s="26">
        <f>'Raw data'!H347</f>
        <v>164</v>
      </c>
      <c r="F352" s="26" t="str">
        <f>'Raw data'!E347</f>
        <v>치과위생사</v>
      </c>
      <c r="G352" s="26" t="str">
        <f>'Raw data'!G347</f>
        <v>24~31</v>
      </c>
      <c r="H352" s="26" t="str">
        <f>'Raw data'!I347</f>
        <v>175~</v>
      </c>
      <c r="I352" s="26" t="str">
        <f>'Raw data'!J347</f>
        <v>ESFP</v>
      </c>
      <c r="J352" s="26" t="str">
        <f>'Raw data'!K347</f>
        <v>INFP, ISFP, ISTP, INFJ, ISTJ, INTJ, ISFJ, ENTP</v>
      </c>
      <c r="K352" s="26" t="str">
        <f>'Raw data'!L347</f>
        <v>무교</v>
      </c>
      <c r="L352" s="26" t="str">
        <f>'Raw data'!M347</f>
        <v>동일</v>
      </c>
      <c r="M352" s="26" t="str">
        <f>'Raw data'!P347</f>
        <v>무관</v>
      </c>
      <c r="N352" s="26" t="str">
        <f>'Raw data'!N347</f>
        <v>밝고 도전을 좋아하는 사람</v>
      </c>
      <c r="O352" s="26" t="str">
        <f>'Raw data'!O347</f>
        <v>도전적이고, 자기 할 일에 열정적인 사람 / 나한테만 다정한 사람</v>
      </c>
      <c r="P352" s="26">
        <f>'Raw data'!Q347</f>
        <v>0</v>
      </c>
    </row>
    <row r="353" spans="1:16">
      <c r="A353" s="46">
        <v>351</v>
      </c>
      <c r="B353" s="26" t="str">
        <f>'Raw data'!B348</f>
        <v>여</v>
      </c>
      <c r="C353" s="26" t="str">
        <f>'Raw data'!C348</f>
        <v>성이서</v>
      </c>
      <c r="D353" s="26">
        <f>'Raw data'!F348</f>
        <v>39</v>
      </c>
      <c r="E353" s="26">
        <f>'Raw data'!H348</f>
        <v>169</v>
      </c>
      <c r="F353" s="26" t="str">
        <f>'Raw data'!E348</f>
        <v>공기업비서</v>
      </c>
      <c r="G353" s="26" t="str">
        <f>'Raw data'!G348</f>
        <v>35~45</v>
      </c>
      <c r="H353" s="26" t="str">
        <f>'Raw data'!I348</f>
        <v>175~</v>
      </c>
      <c r="I353" s="26" t="str">
        <f>'Raw data'!J348</f>
        <v>ISTP</v>
      </c>
      <c r="J353" s="26" t="str">
        <f>'Raw data'!K348</f>
        <v>무관</v>
      </c>
      <c r="K353" s="26" t="str">
        <f>'Raw data'!L348</f>
        <v>기독교</v>
      </c>
      <c r="L353" s="26" t="str">
        <f>'Raw data'!M348</f>
        <v>무관</v>
      </c>
      <c r="M353" s="26" t="str">
        <f>'Raw data'!P348</f>
        <v>병원직군, 기술직, 공무원, 연구직, 회사원</v>
      </c>
      <c r="N353" s="26" t="str">
        <f>'Raw data'!N348</f>
        <v>감정에 솔직하고 자기관리 잘 되어있는 좋은 사람</v>
      </c>
      <c r="O353" s="26" t="str">
        <f>'Raw data'!O348</f>
        <v>포용력 있고 몸도 마음도 건강하신 분</v>
      </c>
      <c r="P353" s="26">
        <f>'Raw data'!Q348</f>
        <v>0</v>
      </c>
    </row>
    <row r="354" spans="1:16">
      <c r="A354" s="46">
        <v>352</v>
      </c>
      <c r="B354" s="26" t="str">
        <f>'Raw data'!B349</f>
        <v>남</v>
      </c>
      <c r="C354" s="26" t="str">
        <f>'Raw data'!C349</f>
        <v>김동현</v>
      </c>
      <c r="D354" s="26">
        <f>'Raw data'!F349</f>
        <v>40</v>
      </c>
      <c r="E354" s="26">
        <f>'Raw data'!H349</f>
        <v>175</v>
      </c>
      <c r="F354" s="26" t="str">
        <f>'Raw data'!E349</f>
        <v>포스코 인터내셔널, 경영기획실</v>
      </c>
      <c r="G354" s="26" t="str">
        <f>'Raw data'!G349</f>
        <v>28~38</v>
      </c>
      <c r="H354" s="26" t="str">
        <f>'Raw data'!I349</f>
        <v>160~170</v>
      </c>
      <c r="I354" s="26" t="str">
        <f>'Raw data'!J349</f>
        <v>ENTP</v>
      </c>
      <c r="J354" s="26" t="str">
        <f>'Raw data'!K349</f>
        <v>무관</v>
      </c>
      <c r="K354" s="26" t="str">
        <f>'Raw data'!L349</f>
        <v>무교</v>
      </c>
      <c r="L354" s="26" t="str">
        <f>'Raw data'!M349</f>
        <v>무관</v>
      </c>
      <c r="M354" s="26" t="str">
        <f>'Raw data'!P349</f>
        <v>무관</v>
      </c>
      <c r="N354" s="26" t="str">
        <f>'Raw data'!N349</f>
        <v>평범하면서도 개성있는 사람</v>
      </c>
      <c r="O354" s="26">
        <f>'Raw data'!O349</f>
        <v>0</v>
      </c>
      <c r="P354" s="26">
        <f>'Raw data'!Q349</f>
        <v>0</v>
      </c>
    </row>
    <row r="355" spans="1:16">
      <c r="A355" s="46">
        <v>353</v>
      </c>
      <c r="B355" s="26" t="str">
        <f>'Raw data'!B350</f>
        <v>여</v>
      </c>
      <c r="C355" s="26" t="str">
        <f>'Raw data'!C350</f>
        <v>김연희</v>
      </c>
      <c r="D355" s="26">
        <f>'Raw data'!F350</f>
        <v>36</v>
      </c>
      <c r="E355" s="26">
        <f>'Raw data'!H350</f>
        <v>164</v>
      </c>
      <c r="F355" s="26" t="str">
        <f>'Raw data'!E350</f>
        <v>삼표산업 비서</v>
      </c>
      <c r="G355" s="26" t="str">
        <f>'Raw data'!G350</f>
        <v>35~38</v>
      </c>
      <c r="H355" s="26" t="str">
        <f>'Raw data'!I350</f>
        <v>175~</v>
      </c>
      <c r="I355" s="26" t="str">
        <f>'Raw data'!J350</f>
        <v>ENFJ</v>
      </c>
      <c r="J355" s="26" t="str">
        <f>'Raw data'!K350</f>
        <v>무관</v>
      </c>
      <c r="K355" s="26" t="str">
        <f>'Raw data'!L350</f>
        <v>무교</v>
      </c>
      <c r="L355" s="26" t="str">
        <f>'Raw data'!M350</f>
        <v>동일</v>
      </c>
      <c r="M355" s="26" t="str">
        <f>'Raw data'!P350</f>
        <v>자영업</v>
      </c>
      <c r="N355" s="26" t="str">
        <f>'Raw data'!N350</f>
        <v>쾌활하고 밝고 긍정적인 사람</v>
      </c>
      <c r="O355" s="26" t="str">
        <f>'Raw data'!O350</f>
        <v>눈치 빠르고 센스 있는 사람</v>
      </c>
      <c r="P355" s="26">
        <f>'Raw data'!Q350</f>
        <v>0</v>
      </c>
    </row>
    <row r="356" spans="1:16">
      <c r="A356" s="46">
        <v>354</v>
      </c>
      <c r="B356" s="26" t="str">
        <f>'Raw data'!B351</f>
        <v>여</v>
      </c>
      <c r="C356" s="26" t="str">
        <f>'Raw data'!C351</f>
        <v>테스</v>
      </c>
      <c r="D356" s="26">
        <f>'Raw data'!F351</f>
        <v>21</v>
      </c>
      <c r="E356" s="26">
        <f>'Raw data'!H351</f>
        <v>162</v>
      </c>
      <c r="F356" s="26" t="str">
        <f>'Raw data'!E351</f>
        <v>모델</v>
      </c>
      <c r="G356" s="26" t="str">
        <f>'Raw data'!G351</f>
        <v>20~45</v>
      </c>
      <c r="H356" s="26" t="str">
        <f>'Raw data'!I351</f>
        <v>160~</v>
      </c>
      <c r="I356" s="26" t="str">
        <f>'Raw data'!J351</f>
        <v>INFP</v>
      </c>
      <c r="J356" s="26" t="str">
        <f>'Raw data'!K351</f>
        <v>무관</v>
      </c>
      <c r="K356" s="26" t="str">
        <f>'Raw data'!L351</f>
        <v>무교</v>
      </c>
      <c r="L356" s="26" t="str">
        <f>'Raw data'!M351</f>
        <v>동일</v>
      </c>
      <c r="M356" s="26" t="str">
        <f>'Raw data'!P351</f>
        <v>무관</v>
      </c>
      <c r="N356" s="26" t="str">
        <f>'Raw data'!N351</f>
        <v>프랑스 여자</v>
      </c>
      <c r="O356" s="26">
        <f>'Raw data'!O351</f>
        <v>0</v>
      </c>
      <c r="P356" s="26">
        <f>'Raw data'!Q351</f>
        <v>0</v>
      </c>
    </row>
    <row r="357" spans="1:16">
      <c r="A357" s="46">
        <v>355</v>
      </c>
      <c r="B357" s="26" t="str">
        <f>'Raw data'!B352</f>
        <v>남</v>
      </c>
      <c r="C357" s="26" t="str">
        <f>'Raw data'!C352</f>
        <v>정건호</v>
      </c>
      <c r="D357" s="26">
        <f>'Raw data'!F352</f>
        <v>29</v>
      </c>
      <c r="E357" s="26">
        <f>'Raw data'!H352</f>
        <v>179</v>
      </c>
      <c r="F357" s="26" t="str">
        <f>'Raw data'!E352</f>
        <v>기아 생산직</v>
      </c>
      <c r="G357" s="26" t="str">
        <f>'Raw data'!G352</f>
        <v>24~31</v>
      </c>
      <c r="H357" s="26" t="str">
        <f>'Raw data'!I352</f>
        <v>160~170</v>
      </c>
      <c r="I357" s="26" t="str">
        <f>'Raw data'!J352</f>
        <v>INTJ/INFJ</v>
      </c>
      <c r="J357" s="26" t="str">
        <f>'Raw data'!K352</f>
        <v>INFP, INTP, INFJ, INTJ, ENFP, ENFJ, ENTP, ENFJ, ENTP, ESTP, ENTJ</v>
      </c>
      <c r="K357" s="26" t="str">
        <f>'Raw data'!L352</f>
        <v>무교</v>
      </c>
      <c r="L357" s="26" t="str">
        <f>'Raw data'!M352</f>
        <v>동일</v>
      </c>
      <c r="M357" s="26" t="str">
        <f>'Raw data'!P352</f>
        <v>무관</v>
      </c>
      <c r="N357" s="26" t="str">
        <f>'Raw data'!N352</f>
        <v>차분한 내향적인 꾸준한</v>
      </c>
      <c r="O357" s="26" t="str">
        <f>'Raw data'!O352</f>
        <v>밝고 무던한 에너지 넘치는</v>
      </c>
      <c r="P357" s="26">
        <f>'Raw data'!Q352</f>
        <v>0</v>
      </c>
    </row>
    <row r="358" spans="1:16">
      <c r="A358" s="46">
        <v>356</v>
      </c>
      <c r="B358" s="26" t="str">
        <f>'Raw data'!B353</f>
        <v>남</v>
      </c>
      <c r="C358" s="26" t="str">
        <f>'Raw data'!C353</f>
        <v>정재우</v>
      </c>
      <c r="D358" s="26">
        <f>'Raw data'!F353</f>
        <v>30</v>
      </c>
      <c r="E358" s="26">
        <f>'Raw data'!H353</f>
        <v>182</v>
      </c>
      <c r="F358" s="26" t="str">
        <f>'Raw data'!E353</f>
        <v>건국대학교 교직원</v>
      </c>
      <c r="G358" s="26" t="str">
        <f>'Raw data'!G353</f>
        <v>24~34</v>
      </c>
      <c r="H358" s="26" t="str">
        <f>'Raw data'!I353</f>
        <v>~175</v>
      </c>
      <c r="I358" s="26" t="str">
        <f>'Raw data'!J353</f>
        <v>ENFP</v>
      </c>
      <c r="J358" s="26" t="str">
        <f>'Raw data'!K353</f>
        <v>무관</v>
      </c>
      <c r="K358" s="26" t="str">
        <f>'Raw data'!L353</f>
        <v>천주교</v>
      </c>
      <c r="L358" s="26" t="str">
        <f>'Raw data'!M353</f>
        <v>무관</v>
      </c>
      <c r="M358" s="26" t="str">
        <f>'Raw data'!P353</f>
        <v>이야기를 같이 나누고 친해질수록 더 재미있고 매력을 많이 확인할 수 있습니다.</v>
      </c>
      <c r="N358" s="26" t="str">
        <f>'Raw data'!N353</f>
        <v>무관</v>
      </c>
      <c r="O358" s="26" t="str">
        <f>'Raw data'!O353</f>
        <v>안녕하세요 내향적이지만 내사람한테는 재미있고 유머있는 밝은 성격입니다. 좋은 분과 맛있는 베이킹 하고싶어 나왔습니다. 잘 부탁드립니다.</v>
      </c>
      <c r="P358" s="26">
        <f>'Raw data'!Q353</f>
        <v>0</v>
      </c>
    </row>
    <row r="359" spans="1:16">
      <c r="A359" s="46">
        <v>357</v>
      </c>
      <c r="B359" s="26" t="str">
        <f>'Raw data'!B354</f>
        <v>여</v>
      </c>
      <c r="C359" s="26" t="str">
        <f>'Raw data'!C354</f>
        <v>김어진</v>
      </c>
      <c r="D359" s="26">
        <f>'Raw data'!F354</f>
        <v>29</v>
      </c>
      <c r="E359" s="26">
        <f>'Raw data'!H354</f>
        <v>158</v>
      </c>
      <c r="F359" s="26" t="str">
        <f>'Raw data'!E354</f>
        <v>삼성서울병원 외래간호</v>
      </c>
      <c r="G359" s="26" t="str">
        <f>'Raw data'!G354</f>
        <v>25~40</v>
      </c>
      <c r="H359" s="26" t="str">
        <f>'Raw data'!I354</f>
        <v>170~</v>
      </c>
      <c r="I359" s="26" t="str">
        <f>'Raw data'!J354</f>
        <v>INFP</v>
      </c>
      <c r="J359" s="26" t="str">
        <f>'Raw data'!K354</f>
        <v>무관</v>
      </c>
      <c r="K359" s="26" t="str">
        <f>'Raw data'!L354</f>
        <v>무관</v>
      </c>
      <c r="L359" s="26" t="str">
        <f>'Raw data'!M354</f>
        <v>무교</v>
      </c>
      <c r="M359" s="26">
        <f>'Raw data'!P354</f>
        <v>0</v>
      </c>
      <c r="N359" s="26" t="str">
        <f>'Raw data'!N354</f>
        <v>무관</v>
      </c>
      <c r="O359" s="26" t="str">
        <f>'Raw data'!O354</f>
        <v>안녕하세요 삼성서울병원 외래간호팀에서 근무하는 김어진입니다./ 성격이 좋습니다. 피부가 하얗고 좋아요</v>
      </c>
      <c r="P359" s="26">
        <f>'Raw data'!Q354</f>
        <v>0</v>
      </c>
    </row>
    <row r="360" spans="1:16">
      <c r="A360" s="46">
        <v>358</v>
      </c>
      <c r="B360" s="26" t="str">
        <f>'Raw data'!B355</f>
        <v>남</v>
      </c>
      <c r="C360" s="26" t="str">
        <f>'Raw data'!C355</f>
        <v>박중호</v>
      </c>
      <c r="D360" s="26">
        <f>'Raw data'!F355</f>
        <v>40</v>
      </c>
      <c r="E360" s="26">
        <f>'Raw data'!H355</f>
        <v>175</v>
      </c>
      <c r="F360" s="26" t="str">
        <f>'Raw data'!E355</f>
        <v>제뉴원사이언스 B2B Sales</v>
      </c>
      <c r="G360" s="26" t="str">
        <f>'Raw data'!G355</f>
        <v>31~41</v>
      </c>
      <c r="H360" s="26" t="str">
        <f>'Raw data'!I355</f>
        <v>160~175</v>
      </c>
      <c r="I360" s="26" t="str">
        <f>'Raw data'!J355</f>
        <v>ENFJ</v>
      </c>
      <c r="J360" s="26" t="str">
        <f>'Raw data'!K355</f>
        <v>무관</v>
      </c>
      <c r="K360" s="26" t="str">
        <f>'Raw data'!L355</f>
        <v>무교, 불교</v>
      </c>
      <c r="L360" s="26" t="str">
        <f>'Raw data'!M355</f>
        <v>본인과 동일</v>
      </c>
      <c r="M360" s="26" t="str">
        <f>'Raw data'!P355</f>
        <v>무관</v>
      </c>
      <c r="N360" s="26" t="str">
        <f>'Raw data'!N355</f>
        <v>좋은사람</v>
      </c>
      <c r="O360" s="26" t="str">
        <f>'Raw data'!O355</f>
        <v>첫인상, 대화, 배려</v>
      </c>
      <c r="P360" s="26">
        <f>'Raw data'!Q355</f>
        <v>0</v>
      </c>
    </row>
    <row r="361" spans="1:16">
      <c r="A361" s="46">
        <v>359</v>
      </c>
      <c r="B361" s="26" t="str">
        <f>'Raw data'!B356</f>
        <v>여</v>
      </c>
      <c r="C361" s="26" t="str">
        <f>'Raw data'!C356</f>
        <v>김하신</v>
      </c>
      <c r="D361" s="26">
        <f>'Raw data'!F356</f>
        <v>30</v>
      </c>
      <c r="E361" s="26">
        <f>'Raw data'!H356</f>
        <v>161</v>
      </c>
      <c r="F361" s="26" t="str">
        <f>'Raw data'!E356</f>
        <v>서울시청 임기제 공무원</v>
      </c>
      <c r="G361" s="26" t="str">
        <f>'Raw data'!G356</f>
        <v>28~34</v>
      </c>
      <c r="H361" s="26" t="str">
        <f>'Raw data'!I356</f>
        <v>170~</v>
      </c>
      <c r="I361" s="26" t="str">
        <f>'Raw data'!J356</f>
        <v>ENFJ</v>
      </c>
      <c r="J361" s="26" t="str">
        <f>'Raw data'!K356</f>
        <v>무관</v>
      </c>
      <c r="K361" s="26" t="str">
        <f>'Raw data'!L356</f>
        <v>무교</v>
      </c>
      <c r="L361" s="26" t="str">
        <f>'Raw data'!M356</f>
        <v>무관</v>
      </c>
      <c r="M361" s="26" t="str">
        <f>'Raw data'!P356</f>
        <v>무관</v>
      </c>
      <c r="N361" s="26" t="str">
        <f>'Raw data'!N356</f>
        <v>라이트 외향형에 리액션을 잘하는 편인 사람입니다!</v>
      </c>
      <c r="O361" s="26" t="str">
        <f>'Raw data'!O356</f>
        <v>다정하고 안정적인 사람</v>
      </c>
      <c r="P361" s="26" t="str">
        <f>'Raw data'!Q356</f>
        <v>초청</v>
      </c>
    </row>
    <row r="362" spans="1:16">
      <c r="A362" s="46">
        <v>360</v>
      </c>
      <c r="B362" s="26" t="str">
        <f>'Raw data'!B357</f>
        <v>여</v>
      </c>
      <c r="C362" s="26" t="str">
        <f>'Raw data'!C357</f>
        <v>최아름</v>
      </c>
      <c r="D362" s="26">
        <f>'Raw data'!F357</f>
        <v>35</v>
      </c>
      <c r="E362" s="26">
        <f>'Raw data'!H357</f>
        <v>163</v>
      </c>
      <c r="F362" s="26" t="str">
        <f>'Raw data'!E357</f>
        <v>삼성서울병원 내시경실</v>
      </c>
      <c r="G362" s="26" t="str">
        <f>'Raw data'!G357</f>
        <v>31~41</v>
      </c>
      <c r="H362" s="26" t="str">
        <f>'Raw data'!I357</f>
        <v>170~</v>
      </c>
      <c r="I362" s="26" t="str">
        <f>'Raw data'!J357</f>
        <v>ISTP</v>
      </c>
      <c r="J362" s="26" t="str">
        <f>'Raw data'!K357</f>
        <v>무관</v>
      </c>
      <c r="K362" s="26" t="str">
        <f>'Raw data'!L357</f>
        <v>기독교</v>
      </c>
      <c r="L362" s="26" t="str">
        <f>'Raw data'!M357</f>
        <v>무관</v>
      </c>
      <c r="M362" s="26" t="str">
        <f>'Raw data'!P357</f>
        <v>무관</v>
      </c>
      <c r="N362" s="26" t="str">
        <f>'Raw data'!N357</f>
        <v>내성적이고 낮가림 있음 집순이</v>
      </c>
      <c r="O362" s="26" t="str">
        <f>'Raw data'!O357</f>
        <v>날 적극적으로 이끌어 줄 사람</v>
      </c>
      <c r="P362" s="26">
        <f>'Raw data'!Q357</f>
        <v>0</v>
      </c>
    </row>
    <row r="363" spans="1:16">
      <c r="A363" s="46">
        <v>361</v>
      </c>
      <c r="B363" s="26" t="str">
        <f>'Raw data'!B358</f>
        <v>남</v>
      </c>
      <c r="C363" s="26" t="str">
        <f>'Raw data'!C358</f>
        <v>정재훈</v>
      </c>
      <c r="D363" s="26">
        <f>'Raw data'!F358</f>
        <v>32</v>
      </c>
      <c r="E363" s="26">
        <f>'Raw data'!H358</f>
        <v>170</v>
      </c>
      <c r="F363" s="26" t="str">
        <f>'Raw data'!E358</f>
        <v>건국대학교 교직원(정보운영팀)</v>
      </c>
      <c r="G363" s="26" t="str">
        <f>'Raw data'!G358</f>
        <v>24~31</v>
      </c>
      <c r="H363" s="26" t="str">
        <f>'Raw data'!I358</f>
        <v>무관</v>
      </c>
      <c r="I363" s="26" t="str">
        <f>'Raw data'!J358</f>
        <v>ESFJ</v>
      </c>
      <c r="J363" s="26" t="str">
        <f>'Raw data'!K358</f>
        <v>INFP, ISFP, ISTP, INFJ, ISTJ, INTJ, ISFJ, ENFP, ESFP, ENFJ, ESFJ, ESTP, ENTJ, ESTJ</v>
      </c>
      <c r="K363" s="26" t="str">
        <f>'Raw data'!L358</f>
        <v>천주교</v>
      </c>
      <c r="L363" s="26" t="str">
        <f>'Raw data'!M358</f>
        <v>무관</v>
      </c>
      <c r="M363" s="26" t="str">
        <f>'Raw data'!P358</f>
        <v>무관</v>
      </c>
      <c r="N363" s="26" t="str">
        <f>'Raw data'!N358</f>
        <v>착하고 유한 성격을 가지고 있습니다. 이야기를 잘 들어 주며 세심한 면이 있습니다</v>
      </c>
      <c r="O363" s="26" t="str">
        <f>'Raw data'!O358</f>
        <v>귀엽고 선한 사람</v>
      </c>
      <c r="P363" s="26">
        <f>'Raw data'!Q358</f>
        <v>0</v>
      </c>
    </row>
    <row r="364" spans="1:16">
      <c r="A364" s="46">
        <v>362</v>
      </c>
      <c r="B364" s="26" t="str">
        <f>'Raw data'!B359</f>
        <v>여</v>
      </c>
      <c r="C364" s="26" t="str">
        <f>'Raw data'!C359</f>
        <v>이상희</v>
      </c>
      <c r="D364" s="26">
        <f>'Raw data'!F359</f>
        <v>33</v>
      </c>
      <c r="E364" s="26">
        <f>'Raw data'!H359</f>
        <v>175</v>
      </c>
      <c r="F364" s="26" t="str">
        <f>'Raw data'!E359</f>
        <v>커피프랜차이즈 구매부서</v>
      </c>
      <c r="G364" s="26" t="str">
        <f>'Raw data'!G359</f>
        <v>35~38</v>
      </c>
      <c r="H364" s="26" t="str">
        <f>'Raw data'!I359</f>
        <v>175~</v>
      </c>
      <c r="I364" s="26" t="str">
        <f>'Raw data'!J359</f>
        <v>ISFJ</v>
      </c>
      <c r="J364" s="26" t="str">
        <f>'Raw data'!K359</f>
        <v>무관</v>
      </c>
      <c r="K364" s="26" t="str">
        <f>'Raw data'!L359</f>
        <v>기독교</v>
      </c>
      <c r="L364" s="26" t="str">
        <f>'Raw data'!M359</f>
        <v>무관</v>
      </c>
      <c r="M364" s="26" t="str">
        <f>'Raw data'!P359</f>
        <v>무관</v>
      </c>
      <c r="N364" s="26" t="str">
        <f>'Raw data'!N359</f>
        <v>첫인상은 내향인이지만 시간이 지나면 금방 외향인이 됩니다. 챙겨줌을 잘 하며 호감의 표시가 사소한 챙겨줌으로 나타납니다. 여행, 체험같은 활동적인 시간을 좋아하고 맛집 여행 좋아합니다. 감정 기복이 심하지 않아 잔잔하게 유지하지만 F라서 무심함에는 서운함을 크게 느끼어 다정한사람, 표현을 잘 해주는 사람을 좋아합니다.</v>
      </c>
      <c r="O364" s="26" t="str">
        <f>'Raw data'!O359</f>
        <v>비흡연자</v>
      </c>
      <c r="P364" s="26">
        <f>'Raw data'!Q359</f>
        <v>0</v>
      </c>
    </row>
    <row r="365" spans="1:16">
      <c r="A365" s="46">
        <v>363</v>
      </c>
      <c r="B365" s="26" t="str">
        <f>'Raw data'!B360</f>
        <v>남</v>
      </c>
      <c r="C365" s="26" t="str">
        <f>'Raw data'!C360</f>
        <v>진수환</v>
      </c>
      <c r="D365" s="26">
        <f>'Raw data'!F360</f>
        <v>29</v>
      </c>
      <c r="E365" s="26">
        <f>'Raw data'!H360</f>
        <v>173</v>
      </c>
      <c r="F365" s="26" t="str">
        <f>'Raw data'!E360</f>
        <v>서비스 기획자(위드시스템, 기획팀)</v>
      </c>
      <c r="G365" s="26" t="str">
        <f>'Raw data'!G360</f>
        <v>24~31</v>
      </c>
      <c r="H365" s="26" t="str">
        <f>'Raw data'!I360</f>
        <v>~170</v>
      </c>
      <c r="I365" s="26" t="str">
        <f>'Raw data'!J360</f>
        <v>ENFJ</v>
      </c>
      <c r="J365" s="26" t="str">
        <f>'Raw data'!K360</f>
        <v>무관</v>
      </c>
      <c r="K365" s="26" t="str">
        <f>'Raw data'!L360</f>
        <v>무교</v>
      </c>
      <c r="L365" s="26" t="str">
        <f>'Raw data'!M360</f>
        <v>본인과 동일</v>
      </c>
      <c r="M365" s="26" t="str">
        <f>'Raw data'!P360</f>
        <v>무관</v>
      </c>
      <c r="N365" s="26" t="str">
        <f>'Raw data'!N360</f>
        <v>활동적이고 긍정적인 사람, 감정기복이 적고 공감을 잘 하여 편안하고 듬직하다는 말을 많이 듣습니다.</v>
      </c>
      <c r="O365" s="26" t="str">
        <f>'Raw data'!O360</f>
        <v>비흡연자, 피부 하얗고 귀여운 스타일, 뚱뚱하지 않은 체형, 예의바르고 표현 잘 하는 사람</v>
      </c>
      <c r="P365" s="26" t="str">
        <f>'Raw data'!Q360</f>
        <v>이번주 4/18일 일정 제외하고는 가능할 것 같습니다.</v>
      </c>
    </row>
    <row r="366" spans="1:16">
      <c r="A366" s="46">
        <v>364</v>
      </c>
      <c r="B366" s="26" t="str">
        <f>'Raw data'!B361</f>
        <v>여</v>
      </c>
      <c r="C366" s="26" t="str">
        <f>'Raw data'!C361</f>
        <v>김시현</v>
      </c>
      <c r="D366" s="26">
        <f>'Raw data'!F361</f>
        <v>33</v>
      </c>
      <c r="E366" s="26">
        <f>'Raw data'!H361</f>
        <v>160</v>
      </c>
      <c r="F366" s="26" t="str">
        <f>'Raw data'!E361</f>
        <v>간호사</v>
      </c>
      <c r="G366" s="26" t="str">
        <f>'Raw data'!G361</f>
        <v>31~41</v>
      </c>
      <c r="H366" s="26" t="str">
        <f>'Raw data'!I361</f>
        <v>175~</v>
      </c>
      <c r="I366" s="26" t="str">
        <f>'Raw data'!J361</f>
        <v>Infp</v>
      </c>
      <c r="J366" s="26" t="str">
        <f>'Raw data'!K361</f>
        <v>ENFP, ENFJ, ESFJ, ENTJ</v>
      </c>
      <c r="K366" s="26" t="str">
        <f>'Raw data'!L361</f>
        <v>무교</v>
      </c>
      <c r="L366" s="26" t="str">
        <f>'Raw data'!M361</f>
        <v>본인과 동일</v>
      </c>
      <c r="M366" s="26" t="str">
        <f>'Raw data'!P361</f>
        <v>병원직군, 자영업</v>
      </c>
      <c r="N366" s="26" t="str">
        <f>'Raw data'!N361</f>
        <v>웃음이 많고 상대방을 편하게 해줘요
여행과 활동하는걸 좋아해요.</v>
      </c>
      <c r="O366" s="26" t="str">
        <f>'Raw data'!O361</f>
        <v>웃는게 예쁘신 호감형이셨으면 좋겠고 말을 재치있게 하시고 먼저 이끌어주셨으면 좋겠어요</v>
      </c>
      <c r="P366" s="26">
        <f>'Raw data'!Q361</f>
        <v>0</v>
      </c>
    </row>
    <row r="367" spans="1:16">
      <c r="A367" s="46">
        <v>365</v>
      </c>
      <c r="B367" s="26" t="str">
        <f>'Raw data'!B362</f>
        <v>여</v>
      </c>
      <c r="C367" s="26" t="str">
        <f>'Raw data'!C362</f>
        <v>신유진</v>
      </c>
      <c r="D367" s="26">
        <f>'Raw data'!F362</f>
        <v>30</v>
      </c>
      <c r="E367" s="26">
        <f>'Raw data'!H362</f>
        <v>160</v>
      </c>
      <c r="F367" s="26" t="str">
        <f>'Raw data'!E362</f>
        <v>대기업 제약회사 마케터</v>
      </c>
      <c r="G367" s="26" t="str">
        <f>'Raw data'!G362</f>
        <v>28~34</v>
      </c>
      <c r="H367" s="26" t="str">
        <f>'Raw data'!I362</f>
        <v>170~180</v>
      </c>
      <c r="I367" s="26" t="str">
        <f>'Raw data'!J362</f>
        <v>ENTJ, ENFJ</v>
      </c>
      <c r="J367" s="26" t="str">
        <f>'Raw data'!K362</f>
        <v>무관</v>
      </c>
      <c r="K367" s="26" t="str">
        <f>'Raw data'!L362</f>
        <v>무교</v>
      </c>
      <c r="L367" s="26" t="str">
        <f>'Raw data'!M362</f>
        <v>무관</v>
      </c>
      <c r="M367" s="26" t="str">
        <f>'Raw data'!P362</f>
        <v>공무원</v>
      </c>
      <c r="N367" s="26" t="str">
        <f>'Raw data'!N362</f>
        <v>일에 자부심이 있고 잘 웃는 긍정적인 사람</v>
      </c>
      <c r="O367" s="26" t="str">
        <f>'Raw data'!O362</f>
        <v>본인 일 열심히하고, 웃는 모습이 예쁘고 운동으로 자기관리를 하는 사람</v>
      </c>
      <c r="P367" s="26">
        <f>'Raw data'!Q362</f>
        <v>0</v>
      </c>
    </row>
    <row r="368" spans="1:16">
      <c r="A368" s="46">
        <v>366</v>
      </c>
      <c r="B368" s="26" t="str">
        <f>'Raw data'!B363</f>
        <v>여</v>
      </c>
      <c r="C368" s="26" t="str">
        <f>'Raw data'!C363</f>
        <v>임세현</v>
      </c>
      <c r="D368" s="26">
        <f>'Raw data'!F363</f>
        <v>27</v>
      </c>
      <c r="E368" s="26">
        <f>'Raw data'!H363</f>
        <v>162</v>
      </c>
      <c r="F368" s="26" t="str">
        <f>'Raw data'!E363</f>
        <v>골든듀에이엠씨 상품관리</v>
      </c>
      <c r="G368" s="26" t="str">
        <f>'Raw data'!G363</f>
        <v>28~31</v>
      </c>
      <c r="H368" s="26" t="str">
        <f>'Raw data'!I363</f>
        <v>175~</v>
      </c>
      <c r="I368" s="26" t="str">
        <f>'Raw data'!J363</f>
        <v>ISTP</v>
      </c>
      <c r="J368" s="26" t="str">
        <f>'Raw data'!K363</f>
        <v>무관</v>
      </c>
      <c r="K368" s="26" t="str">
        <f>'Raw data'!L363</f>
        <v>무교</v>
      </c>
      <c r="L368" s="26" t="str">
        <f>'Raw data'!M363</f>
        <v>무관</v>
      </c>
      <c r="M368" s="26" t="str">
        <f>'Raw data'!P363</f>
        <v>무관</v>
      </c>
      <c r="N368" s="26" t="str">
        <f>'Raw data'!N363</f>
        <v>첫인상은 조금 조용하다고 느낄수 있으나 친해지면 말도 많고 장난도 많은 편입니다
보통 주말엔 카페가서 여유로운 하루를 보내거나 집에서 OTT 보면서 시간을 보내는 편이예요
사람 만나는 것도 좋아해서 종종 친구들 만나서 수다떨고 놀기도 해요</v>
      </c>
      <c r="O368" s="26" t="str">
        <f>'Raw data'!O363</f>
        <v>대화하는 걸 좋아해서 티키타카가 잘되는 사람에게 호감을 느끼는 편인 것 같아요 성격은 차분하고 따뜻한 감성적인 성격을 가진 분이 좋아요</v>
      </c>
      <c r="P368" s="26">
        <f>'Raw data'!Q363</f>
        <v>0</v>
      </c>
    </row>
    <row r="369" spans="1:16">
      <c r="A369" s="46">
        <v>367</v>
      </c>
      <c r="B369" s="26" t="str">
        <f>'Raw data'!B364</f>
        <v>여</v>
      </c>
      <c r="C369" s="26" t="str">
        <f>'Raw data'!C364</f>
        <v>박지효</v>
      </c>
      <c r="D369" s="26">
        <f>'Raw data'!F364</f>
        <v>37</v>
      </c>
      <c r="E369" s="26">
        <f>'Raw data'!H364</f>
        <v>166</v>
      </c>
      <c r="F369" s="26" t="str">
        <f>'Raw data'!E364</f>
        <v>IT유통회사 Sales Operation팀</v>
      </c>
      <c r="G369" s="26" t="str">
        <f>'Raw data'!G364</f>
        <v>35~38</v>
      </c>
      <c r="H369" s="26" t="str">
        <f>'Raw data'!I364</f>
        <v>170~</v>
      </c>
      <c r="I369" s="26" t="str">
        <f>'Raw data'!J364</f>
        <v>INTP</v>
      </c>
      <c r="J369" s="26" t="str">
        <f>'Raw data'!K364</f>
        <v>ISFP, ENFP</v>
      </c>
      <c r="K369" s="26" t="str">
        <f>'Raw data'!L364</f>
        <v>무교</v>
      </c>
      <c r="L369" s="26" t="str">
        <f>'Raw data'!M364</f>
        <v>본인과 동일</v>
      </c>
      <c r="M369" s="26" t="str">
        <f>'Raw data'!P364</f>
        <v>기술직, 공무원, 연구직, 회사원</v>
      </c>
      <c r="N369" s="26" t="str">
        <f>'Raw data'!N364</f>
        <v>솔직하고 활발함</v>
      </c>
      <c r="O369" s="26" t="str">
        <f>'Raw data'!O364</f>
        <v>재치있고 술을 많이 좋아하지 않는 사람</v>
      </c>
      <c r="P369" s="26" t="str">
        <f>'Raw data'!Q364</f>
        <v>남성 참여 나이대를 알고싶어요</v>
      </c>
    </row>
    <row r="370" spans="1:16">
      <c r="A370" s="46">
        <v>368</v>
      </c>
      <c r="B370" s="26" t="str">
        <f>'Raw data'!B365</f>
        <v>여</v>
      </c>
      <c r="C370" s="26" t="str">
        <f>'Raw data'!C365</f>
        <v>정다예</v>
      </c>
      <c r="D370" s="26">
        <f>'Raw data'!F365</f>
        <v>37</v>
      </c>
      <c r="E370" s="26">
        <f>'Raw data'!H365</f>
        <v>164</v>
      </c>
      <c r="F370" s="26" t="str">
        <f>'Raw data'!E365</f>
        <v>감염관리실 간호사</v>
      </c>
      <c r="G370" s="26" t="str">
        <f>'Raw data'!G365</f>
        <v>31~41</v>
      </c>
      <c r="H370" s="26" t="str">
        <f>'Raw data'!I365</f>
        <v>170~</v>
      </c>
      <c r="I370" s="26" t="str">
        <f>'Raw data'!J365</f>
        <v>ISFP</v>
      </c>
      <c r="J370" s="26" t="str">
        <f>'Raw data'!K365</f>
        <v>무관</v>
      </c>
      <c r="K370" s="26" t="str">
        <f>'Raw data'!L365</f>
        <v>무교</v>
      </c>
      <c r="L370" s="26" t="str">
        <f>'Raw data'!M365</f>
        <v>본인과 동일</v>
      </c>
      <c r="M370" s="26" t="str">
        <f>'Raw data'!P365</f>
        <v>무관</v>
      </c>
      <c r="N370" s="26" t="str">
        <f>'Raw data'!N365</f>
        <v>이야기를 잘 들어주고 잘 웃는사람</v>
      </c>
      <c r="O370" s="26" t="str">
        <f>'Raw data'!O365</f>
        <v>책임감있고 다정한 사람 감정표현 잘하는 사람</v>
      </c>
      <c r="P370" s="26">
        <f>'Raw data'!Q365</f>
        <v>0</v>
      </c>
    </row>
    <row r="371" spans="1:16">
      <c r="A371" s="46">
        <v>369</v>
      </c>
      <c r="B371" s="26" t="str">
        <f>'Raw data'!B366</f>
        <v>여</v>
      </c>
      <c r="C371" s="26" t="str">
        <f>'Raw data'!C366</f>
        <v>조소영</v>
      </c>
      <c r="D371" s="26">
        <f>'Raw data'!F366</f>
        <v>29</v>
      </c>
      <c r="E371" s="26">
        <f>'Raw data'!H366</f>
        <v>154</v>
      </c>
      <c r="F371" s="26" t="str">
        <f>'Raw data'!E366</f>
        <v>간호사(삼성서울병원)</v>
      </c>
      <c r="G371" s="26" t="str">
        <f>'Raw data'!G366</f>
        <v>24~31</v>
      </c>
      <c r="H371" s="26" t="str">
        <f>'Raw data'!I366</f>
        <v>170~</v>
      </c>
      <c r="I371" s="26" t="str">
        <f>'Raw data'!J366</f>
        <v>esfp</v>
      </c>
      <c r="J371" s="26" t="str">
        <f>'Raw data'!K366</f>
        <v>무관</v>
      </c>
      <c r="K371" s="26" t="str">
        <f>'Raw data'!L366</f>
        <v>무교</v>
      </c>
      <c r="L371" s="26" t="str">
        <f>'Raw data'!M366</f>
        <v>무관</v>
      </c>
      <c r="M371" s="26" t="str">
        <f>'Raw data'!P366</f>
        <v>무관</v>
      </c>
      <c r="N371" s="26" t="str">
        <f>'Raw data'!N366</f>
        <v>밝고 긍정적인 편이다</v>
      </c>
      <c r="O371" s="26" t="str">
        <f>'Raw data'!O366</f>
        <v>다정한사람</v>
      </c>
      <c r="P371" s="26">
        <f>'Raw data'!Q366</f>
        <v>0</v>
      </c>
    </row>
    <row r="372" spans="1:16">
      <c r="A372" s="46">
        <v>370</v>
      </c>
      <c r="B372" s="26" t="str">
        <f>'Raw data'!B367</f>
        <v>남</v>
      </c>
      <c r="C372" s="26" t="str">
        <f>'Raw data'!C367</f>
        <v>유택현</v>
      </c>
      <c r="D372" s="26">
        <f>'Raw data'!F367</f>
        <v>31</v>
      </c>
      <c r="E372" s="26">
        <f>'Raw data'!H367</f>
        <v>183</v>
      </c>
      <c r="F372" s="26" t="str">
        <f>'Raw data'!E367</f>
        <v>인터컨티넨탈호텔 조리팀</v>
      </c>
      <c r="G372" s="26" t="str">
        <f>'Raw data'!G367</f>
        <v>24~34</v>
      </c>
      <c r="H372" s="26" t="str">
        <f>'Raw data'!I367</f>
        <v>~170</v>
      </c>
      <c r="I372" s="26" t="str">
        <f>'Raw data'!J367</f>
        <v>Esfj</v>
      </c>
      <c r="J372" s="26" t="str">
        <f>'Raw data'!K367</f>
        <v>무관, ISTP</v>
      </c>
      <c r="K372" s="26" t="str">
        <f>'Raw data'!L367</f>
        <v>무교</v>
      </c>
      <c r="L372" s="26" t="str">
        <f>'Raw data'!M367</f>
        <v>무관</v>
      </c>
      <c r="M372" s="26" t="str">
        <f>'Raw data'!P367</f>
        <v>무관</v>
      </c>
      <c r="N372" s="26" t="str">
        <f>'Raw data'!N367</f>
        <v>다정하고 재밌는사람인거같습니다</v>
      </c>
      <c r="O372" s="26" t="str">
        <f>'Raw data'!O367</f>
        <v>외적인건 하얀사람을 좋아하고 같이있을때 편하고 재밌는사람이 좋습니다.</v>
      </c>
      <c r="P372" s="26">
        <f>'Raw data'!Q367</f>
        <v>0</v>
      </c>
    </row>
    <row r="373" spans="1:16">
      <c r="A373" s="46">
        <v>371</v>
      </c>
      <c r="B373" s="26" t="str">
        <f>'Raw data'!B368</f>
        <v>여</v>
      </c>
      <c r="C373" s="26" t="str">
        <f>'Raw data'!C368</f>
        <v>김수민</v>
      </c>
      <c r="D373" s="26">
        <f>'Raw data'!F368</f>
        <v>35</v>
      </c>
      <c r="E373" s="26">
        <f>'Raw data'!H368</f>
        <v>160.30000000000001</v>
      </c>
      <c r="F373" s="26" t="str">
        <f>'Raw data'!E368</f>
        <v>공무원</v>
      </c>
      <c r="G373" s="26" t="str">
        <f>'Raw data'!G368</f>
        <v>35~41</v>
      </c>
      <c r="H373" s="26" t="str">
        <f>'Raw data'!I368</f>
        <v>170~</v>
      </c>
      <c r="I373" s="26" t="str">
        <f>'Raw data'!J368</f>
        <v>ESFP</v>
      </c>
      <c r="J373" s="26" t="str">
        <f>'Raw data'!K368</f>
        <v>무관</v>
      </c>
      <c r="K373" s="26" t="str">
        <f>'Raw data'!L368</f>
        <v>무교</v>
      </c>
      <c r="L373" s="26" t="str">
        <f>'Raw data'!M368</f>
        <v>무관</v>
      </c>
      <c r="M373" s="26" t="str">
        <f>'Raw data'!P368</f>
        <v>무관</v>
      </c>
      <c r="N373" s="26" t="str">
        <f>'Raw data'!N368</f>
        <v>밝고 긍정적</v>
      </c>
      <c r="O373" s="26" t="str">
        <f>'Raw data'!O368</f>
        <v>웃는모습이예쁜남자</v>
      </c>
      <c r="P373" s="26">
        <f>'Raw data'!Q368</f>
        <v>0</v>
      </c>
    </row>
    <row r="374" spans="1:16">
      <c r="A374" s="46">
        <v>372</v>
      </c>
      <c r="B374" s="26" t="str">
        <f>'Raw data'!B369</f>
        <v>여</v>
      </c>
      <c r="C374" s="26" t="str">
        <f>'Raw data'!C369</f>
        <v>케리스/하은</v>
      </c>
      <c r="D374" s="26">
        <f>'Raw data'!F369</f>
        <v>28</v>
      </c>
      <c r="E374" s="26">
        <f>'Raw data'!H369</f>
        <v>174</v>
      </c>
      <c r="F374" s="26" t="str">
        <f>'Raw data'!E369</f>
        <v>영어 강사</v>
      </c>
      <c r="G374" s="26" t="str">
        <f>'Raw data'!G369</f>
        <v>28~38</v>
      </c>
      <c r="H374" s="26" t="str">
        <f>'Raw data'!I369</f>
        <v>175~</v>
      </c>
      <c r="I374" s="26" t="str">
        <f>'Raw data'!J369</f>
        <v>INFJ</v>
      </c>
      <c r="J374" s="26" t="str">
        <f>'Raw data'!K369</f>
        <v>무관</v>
      </c>
      <c r="K374" s="26" t="str">
        <f>'Raw data'!L369</f>
        <v>무교</v>
      </c>
      <c r="L374" s="26" t="str">
        <f>'Raw data'!M369</f>
        <v>무관</v>
      </c>
      <c r="M374" s="26" t="str">
        <f>'Raw data'!P369</f>
        <v>무관</v>
      </c>
      <c r="N374" s="26" t="str">
        <f>'Raw data'!N369</f>
        <v>저는 친절하고 솔직한 사람이에요. 요리하고 베이킹하는 걸 좋아해요. 다른 사람들을 행복하게 해주는 걸 좋아하고, 제가 사랑하는 사람들을 위해서라면 뭐든지 다 해요.</v>
      </c>
      <c r="O374" s="26" t="str">
        <f>'Raw data'!O369</f>
        <v>새로운 걸 시도하는 걸 좋아하는 사람이 좋아요. 운동하고 여행하는 것도 좋아했으면 좋겠어요. 배려심 있고 친절하고, 매너가 좋은 사람이면 더 좋아요.</v>
      </c>
      <c r="P374" s="26" t="str">
        <f>'Raw data'!Q369</f>
        <v>초청 (5월 10일 15시)</v>
      </c>
    </row>
    <row r="375" spans="1:16">
      <c r="A375" s="46">
        <v>373</v>
      </c>
      <c r="B375" s="26" t="str">
        <f>'Raw data'!B370</f>
        <v>남</v>
      </c>
      <c r="C375" s="26" t="str">
        <f>'Raw data'!C370</f>
        <v>남윤모</v>
      </c>
      <c r="D375" s="26">
        <f>'Raw data'!F370</f>
        <v>26</v>
      </c>
      <c r="E375" s="26">
        <f>'Raw data'!H370</f>
        <v>174</v>
      </c>
      <c r="F375" s="26" t="str">
        <f>'Raw data'!E370</f>
        <v>외국계회사 공무부 안전관리자</v>
      </c>
      <c r="G375" s="26" t="str">
        <f>'Raw data'!G370</f>
        <v>24~31</v>
      </c>
      <c r="H375" s="26" t="str">
        <f>'Raw data'!I370</f>
        <v>~170</v>
      </c>
      <c r="I375" s="26" t="str">
        <f>'Raw data'!J370</f>
        <v>istj</v>
      </c>
      <c r="J375" s="26" t="str">
        <f>'Raw data'!K370</f>
        <v>무관</v>
      </c>
      <c r="K375" s="26" t="str">
        <f>'Raw data'!L370</f>
        <v>기독교</v>
      </c>
      <c r="L375" s="26" t="str">
        <f>'Raw data'!M370</f>
        <v>무관</v>
      </c>
      <c r="M375" s="26" t="str">
        <f>'Raw data'!P370</f>
        <v>무관</v>
      </c>
      <c r="N375" s="26" t="str">
        <f>'Raw data'!N370</f>
        <v>신중하고 유쾌한사람</v>
      </c>
      <c r="O375" s="26" t="str">
        <f>'Raw data'!O370</f>
        <v>활발한사람</v>
      </c>
      <c r="P375" s="26" t="str">
        <f>'Raw data'!Q370</f>
        <v>감사합니다. !</v>
      </c>
    </row>
    <row r="376" spans="1:16">
      <c r="A376" s="46">
        <v>374</v>
      </c>
      <c r="B376" s="26" t="str">
        <f>'Raw data'!B371</f>
        <v>남</v>
      </c>
      <c r="C376" s="26" t="str">
        <f>'Raw data'!C371</f>
        <v>이성균</v>
      </c>
      <c r="D376" s="26">
        <f>'Raw data'!F371</f>
        <v>35</v>
      </c>
      <c r="E376" s="26">
        <f>'Raw data'!H371</f>
        <v>167</v>
      </c>
      <c r="F376" s="26" t="str">
        <f>'Raw data'!E371</f>
        <v>바이브 마케터 / 기획팀</v>
      </c>
      <c r="G376" s="26" t="str">
        <f>'Raw data'!G371</f>
        <v>28~38</v>
      </c>
      <c r="H376" s="26" t="str">
        <f>'Raw data'!I371</f>
        <v>~170</v>
      </c>
      <c r="I376" s="26" t="str">
        <f>'Raw data'!J371</f>
        <v>estp</v>
      </c>
      <c r="J376" s="26" t="str">
        <f>'Raw data'!K371</f>
        <v>무관</v>
      </c>
      <c r="K376" s="26" t="str">
        <f>'Raw data'!L371</f>
        <v>무교</v>
      </c>
      <c r="L376" s="26" t="str">
        <f>'Raw data'!M371</f>
        <v>무관</v>
      </c>
      <c r="M376" s="26" t="str">
        <f>'Raw data'!P371</f>
        <v>병원직군, 기술직, 공무원, 회사원</v>
      </c>
      <c r="N376" s="26" t="str">
        <f>'Raw data'!N371</f>
        <v>겉차속따!</v>
      </c>
      <c r="O376" s="26" t="str">
        <f>'Raw data'!O371</f>
        <v>할말 잘하는 사람 / 고양이상</v>
      </c>
      <c r="P376" s="26">
        <f>'Raw data'!Q371</f>
        <v>0</v>
      </c>
    </row>
    <row r="377" spans="1:16">
      <c r="A377" s="46">
        <v>375</v>
      </c>
      <c r="B377" s="26" t="str">
        <f>'Raw data'!B372</f>
        <v>여</v>
      </c>
      <c r="C377" s="26" t="str">
        <f>'Raw data'!C372</f>
        <v>정다혜</v>
      </c>
      <c r="D377" s="26">
        <f>'Raw data'!F372</f>
        <v>35</v>
      </c>
      <c r="E377" s="26">
        <f>'Raw data'!H372</f>
        <v>168</v>
      </c>
      <c r="F377" s="26" t="str">
        <f>'Raw data'!E372</f>
        <v>오스비스 생산팀</v>
      </c>
      <c r="G377" s="26" t="str">
        <f>'Raw data'!G372</f>
        <v>31~41</v>
      </c>
      <c r="H377" s="26" t="str">
        <f>'Raw data'!I372</f>
        <v>170~</v>
      </c>
      <c r="I377" s="26" t="str">
        <f>'Raw data'!J372</f>
        <v>INFP</v>
      </c>
      <c r="J377" s="26" t="str">
        <f>'Raw data'!K372</f>
        <v>무관</v>
      </c>
      <c r="K377" s="26" t="str">
        <f>'Raw data'!L372</f>
        <v>무교</v>
      </c>
      <c r="L377" s="26" t="str">
        <f>'Raw data'!M372</f>
        <v>본인과 동일</v>
      </c>
      <c r="M377" s="26" t="str">
        <f>'Raw data'!P372</f>
        <v>무관</v>
      </c>
      <c r="N377" s="26" t="str">
        <f>'Raw data'!N372</f>
        <v>가만히 있는 걸 못 참고 이것저것 도전하고 재미 찾는 거 좋아하는 사람이에요</v>
      </c>
      <c r="O377" s="26" t="str">
        <f>'Raw data'!O372</f>
        <v>긍정적이고 외향적인 사람</v>
      </c>
      <c r="P377" s="26">
        <f>'Raw data'!Q372</f>
        <v>0</v>
      </c>
    </row>
    <row r="378" spans="1:16">
      <c r="A378" s="46">
        <v>376</v>
      </c>
      <c r="B378" s="26" t="str">
        <f>'Raw data'!B373</f>
        <v>남</v>
      </c>
      <c r="C378" s="26" t="str">
        <f>'Raw data'!C373</f>
        <v>오상현</v>
      </c>
      <c r="D378" s="26">
        <f>'Raw data'!F373</f>
        <v>33</v>
      </c>
      <c r="E378" s="26">
        <f>'Raw data'!H373</f>
        <v>176</v>
      </c>
      <c r="F378" s="26" t="str">
        <f>'Raw data'!E373</f>
        <v>현대백화점 이커머스</v>
      </c>
      <c r="G378" s="26" t="str">
        <f>'Raw data'!G373</f>
        <v>28~34</v>
      </c>
      <c r="H378" s="26" t="str">
        <f>'Raw data'!I373</f>
        <v>160~165</v>
      </c>
      <c r="I378" s="26" t="str">
        <f>'Raw data'!J373</f>
        <v>estj</v>
      </c>
      <c r="J378" s="26" t="str">
        <f>'Raw data'!K373</f>
        <v>ESFP, ENFJ, ENTP, ESTP, ENTJ</v>
      </c>
      <c r="K378" s="26" t="str">
        <f>'Raw data'!L373</f>
        <v>무교</v>
      </c>
      <c r="L378" s="26" t="str">
        <f>'Raw data'!M373</f>
        <v>본인과 동일</v>
      </c>
      <c r="M378" s="26" t="str">
        <f>'Raw data'!P373</f>
        <v>공무원</v>
      </c>
      <c r="N378" s="26" t="str">
        <f>'Raw data'!N373</f>
        <v>성실하고 책임감 있고 자기관리하는 사람입니다.</v>
      </c>
      <c r="O378" s="26" t="str">
        <f>'Raw data'!O373</f>
        <v>발전적이고 자기일 열심히 하고 관리하는 사람. 밝고 긍정적인 성격의 소유자 선호.</v>
      </c>
      <c r="P378" s="26" t="str">
        <f>'Raw data'!Q373</f>
        <v>초청</v>
      </c>
    </row>
    <row r="379" spans="1:16">
      <c r="A379" s="46">
        <v>377</v>
      </c>
      <c r="B379" s="26" t="str">
        <f>'Raw data'!B374</f>
        <v>여</v>
      </c>
      <c r="C379" s="26" t="str">
        <f>'Raw data'!C374</f>
        <v>강지안</v>
      </c>
      <c r="D379" s="26">
        <f>'Raw data'!F374</f>
        <v>31</v>
      </c>
      <c r="E379" s="26">
        <f>'Raw data'!H374</f>
        <v>168</v>
      </c>
      <c r="F379" s="26" t="str">
        <f>'Raw data'!E374</f>
        <v>패션회사 해외영업</v>
      </c>
      <c r="G379" s="26" t="str">
        <f>'Raw data'!G374</f>
        <v>31~34</v>
      </c>
      <c r="H379" s="26" t="str">
        <f>'Raw data'!I374</f>
        <v>175~</v>
      </c>
      <c r="I379" s="26" t="str">
        <f>'Raw data'!J374</f>
        <v>ESFJ</v>
      </c>
      <c r="J379" s="26" t="str">
        <f>'Raw data'!K374</f>
        <v>INTP, ISTP, ISTJ, ISFJ</v>
      </c>
      <c r="K379" s="26" t="str">
        <f>'Raw data'!L374</f>
        <v>무교</v>
      </c>
      <c r="L379" s="26" t="str">
        <f>'Raw data'!M374</f>
        <v>본인과 동일</v>
      </c>
      <c r="M379" s="26" t="str">
        <f>'Raw data'!P374</f>
        <v>자영업</v>
      </c>
      <c r="N379" s="26" t="str">
        <f>'Raw data'!N374</f>
        <v>밝고 긍정적이고 에너지가 넘치는사람</v>
      </c>
      <c r="O379" s="26" t="str">
        <f>'Raw data'!O374</f>
        <v>외적으로 내적으로 자기관리 잘하고 이해심이 있는 사람</v>
      </c>
      <c r="P379" s="26" t="str">
        <f>'Raw data'!Q374</f>
        <v>초청</v>
      </c>
    </row>
    <row r="380" spans="1:16">
      <c r="A380" s="46">
        <v>378</v>
      </c>
      <c r="B380" s="26" t="str">
        <f>'Raw data'!B375</f>
        <v>여</v>
      </c>
      <c r="C380" s="26" t="str">
        <f>'Raw data'!C375</f>
        <v>전지은</v>
      </c>
      <c r="D380" s="26">
        <f>'Raw data'!F375</f>
        <v>32</v>
      </c>
      <c r="E380" s="26">
        <f>'Raw data'!H375</f>
        <v>165</v>
      </c>
      <c r="F380" s="26" t="str">
        <f>'Raw data'!E375</f>
        <v>간호사(서울대병원소아응급실)</v>
      </c>
      <c r="G380" s="26" t="str">
        <f>'Raw data'!G375</f>
        <v>31~38</v>
      </c>
      <c r="H380" s="26" t="str">
        <f>'Raw data'!I375</f>
        <v>175~</v>
      </c>
      <c r="I380" s="26" t="str">
        <f>'Raw data'!J375</f>
        <v>ESFJ</v>
      </c>
      <c r="J380" s="26" t="str">
        <f>'Raw data'!K375</f>
        <v>무관</v>
      </c>
      <c r="K380" s="26" t="str">
        <f>'Raw data'!L375</f>
        <v>무교</v>
      </c>
      <c r="L380" s="26" t="str">
        <f>'Raw data'!M375</f>
        <v>본인과 동일</v>
      </c>
      <c r="M380" s="26" t="str">
        <f>'Raw data'!P375</f>
        <v>병원직군, 기술직, 연구직, 회사원</v>
      </c>
      <c r="N380" s="26" t="str">
        <f>'Raw data'!N375</f>
        <v>밝고 열심히 살고 나름 다정한 사람</v>
      </c>
      <c r="O380" s="26" t="str">
        <f>'Raw data'!O375</f>
        <v>다정하고 나에게 안정감을 주는 사람</v>
      </c>
      <c r="P380" s="26">
        <f>'Raw data'!Q375</f>
        <v>0</v>
      </c>
    </row>
    <row r="381" spans="1:16">
      <c r="A381" s="46">
        <v>379</v>
      </c>
      <c r="B381" s="26" t="str">
        <f>'Raw data'!B376</f>
        <v>남</v>
      </c>
      <c r="C381" s="26" t="str">
        <f>'Raw data'!C376</f>
        <v>김광선</v>
      </c>
      <c r="D381" s="26">
        <f>'Raw data'!F376</f>
        <v>37</v>
      </c>
      <c r="E381" s="26">
        <f>'Raw data'!H376</f>
        <v>170</v>
      </c>
      <c r="F381" s="26" t="str">
        <f>'Raw data'!E376</f>
        <v>헬스장/트레이너</v>
      </c>
      <c r="G381" s="26" t="str">
        <f>'Raw data'!G376</f>
        <v>28~38</v>
      </c>
      <c r="H381" s="26" t="str">
        <f>'Raw data'!I376</f>
        <v>~170</v>
      </c>
      <c r="I381" s="26" t="str">
        <f>'Raw data'!J376</f>
        <v>ESTP</v>
      </c>
      <c r="J381" s="26" t="str">
        <f>'Raw data'!K376</f>
        <v>무관</v>
      </c>
      <c r="K381" s="26" t="str">
        <f>'Raw data'!L376</f>
        <v>기독교</v>
      </c>
      <c r="L381" s="26" t="str">
        <f>'Raw data'!M376</f>
        <v>무관</v>
      </c>
      <c r="M381" s="26" t="str">
        <f>'Raw data'!P376</f>
        <v>무관</v>
      </c>
      <c r="N381" s="26" t="str">
        <f>'Raw data'!N376</f>
        <v>착하고 약간의 내성적인 모습이 있습니다.</v>
      </c>
      <c r="O381" s="26" t="str">
        <f>'Raw data'!O376</f>
        <v>착하고 기분에 따라 행동하지 않는 사람.</v>
      </c>
      <c r="P381" s="26">
        <f>'Raw data'!Q376</f>
        <v>0</v>
      </c>
    </row>
    <row r="382" spans="1:16">
      <c r="A382" s="46">
        <v>380</v>
      </c>
      <c r="B382" s="26" t="str">
        <f>'Raw data'!B377</f>
        <v>남</v>
      </c>
      <c r="C382" s="26" t="str">
        <f>'Raw data'!C377</f>
        <v>신희건</v>
      </c>
      <c r="D382" s="26">
        <f>'Raw data'!F377</f>
        <v>33</v>
      </c>
      <c r="E382" s="26">
        <f>'Raw data'!H377</f>
        <v>174</v>
      </c>
      <c r="F382" s="26" t="str">
        <f>'Raw data'!E377</f>
        <v>공무원/소방공무원</v>
      </c>
      <c r="G382" s="26" t="str">
        <f>'Raw data'!G377</f>
        <v>28~34</v>
      </c>
      <c r="H382" s="26" t="str">
        <f>'Raw data'!I377</f>
        <v>~165</v>
      </c>
      <c r="I382" s="26" t="str">
        <f>'Raw data'!J377</f>
        <v>ISTJ</v>
      </c>
      <c r="J382" s="26" t="str">
        <f>'Raw data'!K377</f>
        <v>INFP, ISFP, INFJ, ISTJ, ISFJ, ENFP, ESFP, ENFJ, ESFJ, ENTP, ESTP, ENTJ, ESTJ</v>
      </c>
      <c r="K382" s="26" t="str">
        <f>'Raw data'!L377</f>
        <v>무교</v>
      </c>
      <c r="L382" s="26" t="str">
        <f>'Raw data'!M377</f>
        <v>본인과 동일</v>
      </c>
      <c r="M382" s="26" t="str">
        <f>'Raw data'!P377</f>
        <v>병원직군, 공무원, 연구직, 회사원</v>
      </c>
      <c r="N382" s="26" t="str">
        <f>'Raw data'!N377</f>
        <v>해보고 싶은 것이 생기면 도전해보는 사람</v>
      </c>
      <c r="O382" s="26" t="str">
        <f>'Raw data'!O377</f>
        <v>웃음이 많고 성격이 밝은 사람</v>
      </c>
      <c r="P382" s="26">
        <f>'Raw data'!Q377</f>
        <v>0</v>
      </c>
    </row>
    <row r="383" spans="1:16">
      <c r="A383" s="46">
        <v>381</v>
      </c>
      <c r="B383" s="26" t="str">
        <f>'Raw data'!B378</f>
        <v>여</v>
      </c>
      <c r="C383" s="26" t="str">
        <f>'Raw data'!C378</f>
        <v>김지연</v>
      </c>
      <c r="D383" s="26">
        <f>'Raw data'!F378</f>
        <v>20</v>
      </c>
      <c r="E383" s="26">
        <f>'Raw data'!H378</f>
        <v>155</v>
      </c>
      <c r="F383" s="26" t="str">
        <f>'Raw data'!E378</f>
        <v>대학생</v>
      </c>
      <c r="G383" s="26" t="str">
        <f>'Raw data'!G378</f>
        <v>20~27</v>
      </c>
      <c r="H383" s="26" t="str">
        <f>'Raw data'!I378</f>
        <v>170~</v>
      </c>
      <c r="I383" s="26" t="str">
        <f>'Raw data'!J378</f>
        <v>Istp</v>
      </c>
      <c r="J383" s="26" t="str">
        <f>'Raw data'!K378</f>
        <v>무관</v>
      </c>
      <c r="K383" s="26" t="str">
        <f>'Raw data'!L378</f>
        <v>무교</v>
      </c>
      <c r="L383" s="26" t="str">
        <f>'Raw data'!M378</f>
        <v>무관</v>
      </c>
      <c r="M383" s="26" t="str">
        <f>'Raw data'!P378</f>
        <v>무관</v>
      </c>
      <c r="N383" s="26" t="str">
        <f>'Raw data'!N378</f>
        <v>처음엔 어색해서 말도 잘 못걸고 뚝딱거리긴 하지만 조금씩 편해지면 말 많아져요!!</v>
      </c>
      <c r="O383" s="26" t="str">
        <f>'Raw data'!O378</f>
        <v>스스로를 잘 어울리게 꾸밀줄 아는 사람</v>
      </c>
      <c r="P383" s="26">
        <f>'Raw data'!Q378</f>
        <v>0</v>
      </c>
    </row>
    <row r="384" spans="1:16">
      <c r="A384" s="46">
        <v>382</v>
      </c>
      <c r="B384" s="26" t="str">
        <f>'Raw data'!B379</f>
        <v>여</v>
      </c>
      <c r="C384" s="26" t="str">
        <f>'Raw data'!C379</f>
        <v>오예성</v>
      </c>
      <c r="D384" s="26">
        <f>'Raw data'!F379</f>
        <v>36</v>
      </c>
      <c r="E384" s="26">
        <f>'Raw data'!H379</f>
        <v>156</v>
      </c>
      <c r="F384" s="26" t="str">
        <f>'Raw data'!E379</f>
        <v>디자이너</v>
      </c>
      <c r="G384" s="26" t="str">
        <f>'Raw data'!G379</f>
        <v>31~38</v>
      </c>
      <c r="H384" s="26" t="str">
        <f>'Raw data'!I379</f>
        <v>170~</v>
      </c>
      <c r="I384" s="26" t="str">
        <f>'Raw data'!J379</f>
        <v>Istj</v>
      </c>
      <c r="J384" s="26" t="str">
        <f>'Raw data'!K379</f>
        <v>무관</v>
      </c>
      <c r="K384" s="26" t="str">
        <f>'Raw data'!L379</f>
        <v>기독교</v>
      </c>
      <c r="L384" s="26" t="str">
        <f>'Raw data'!M379</f>
        <v>무관</v>
      </c>
      <c r="M384" s="26" t="str">
        <f>'Raw data'!P379</f>
        <v>회사원, 무관</v>
      </c>
      <c r="N384" s="26" t="str">
        <f>'Raw data'!N379</f>
        <v>성격은 잘 웃고 긍정적인 편이고 회복탄력성이 좋은것 같아요. 저 스스로를 꾸미는걸 좋아해서 스타일 좋고 어려보인다는 말도 자주 들어요 ! 디자이너라는 제 일에 대한 애정도 있구요</v>
      </c>
      <c r="O384" s="26" t="str">
        <f>'Raw data'!O379</f>
        <v>티키타카가 잘 되고 본인 일에 성실하시고 동안이였으면 좋겠어요~!</v>
      </c>
      <c r="P384" s="26">
        <f>'Raw data'!Q379</f>
        <v>0</v>
      </c>
    </row>
    <row r="385" spans="1:16">
      <c r="A385" s="46">
        <v>383</v>
      </c>
      <c r="B385" s="26" t="str">
        <f>'Raw data'!B380</f>
        <v>여</v>
      </c>
      <c r="C385" s="26" t="str">
        <f>'Raw data'!C380</f>
        <v>추지혜</v>
      </c>
      <c r="D385" s="26">
        <f>'Raw data'!F380</f>
        <v>32</v>
      </c>
      <c r="E385" s="26">
        <f>'Raw data'!H380</f>
        <v>164</v>
      </c>
      <c r="F385" s="26" t="str">
        <f>'Raw data'!E380</f>
        <v>웹에이전시, 웹 개발자</v>
      </c>
      <c r="G385" s="26" t="str">
        <f>'Raw data'!G380</f>
        <v>28~34</v>
      </c>
      <c r="H385" s="26" t="str">
        <f>'Raw data'!I380</f>
        <v>175~</v>
      </c>
      <c r="I385" s="26" t="str">
        <f>'Raw data'!J380</f>
        <v>INFJ</v>
      </c>
      <c r="J385" s="26" t="str">
        <f>'Raw data'!K380</f>
        <v>INFP, INFJ, INTJ, ENFP, ENFJ, ENTP, ENTJ</v>
      </c>
      <c r="K385" s="26" t="str">
        <f>'Raw data'!L380</f>
        <v>무교</v>
      </c>
      <c r="L385" s="26" t="str">
        <f>'Raw data'!M380</f>
        <v>본인과 동일</v>
      </c>
      <c r="M385" s="26" t="str">
        <f>'Raw data'!P380</f>
        <v>무관</v>
      </c>
      <c r="N385" s="26" t="str">
        <f>'Raw data'!N380</f>
        <v>말하는 것보다 들어주는 것을 좋아하고, 내 사람에게는 한없이 세심해지는 '겉차속따'입니다. 저는 화려한 말솜씨보다는 상대방의 이야기에 귀 기울이고 공감하는 시간을 더 소중히 여겨요. MBTI는 F이지만 일처리나 고민을 해결할 때는 T 성향이 강해서, 다정하면서도 든든한 조언자가 되어드리기도 합니다. 낯을 조금 가릴 순 있어도 '내 사람'이라는 확신이 들면 누구보다 세심하고 다정하게 챙겨주는 편이에요. 외적으로는 농담곰 캐릭터를 닮았다고 듣습니다. 취미로는 뜨개질처럼 손으로 만들면서 차분하게 집중할 수 있는 활동입니다. 정성을 담아 무언가를 만드는 시간을 좋아합니다.</v>
      </c>
      <c r="O385" s="26" t="str">
        <f>'Raw data'!O380</f>
        <v>말을 잘하고 밝은 웃는게 잘 어울리는 무해한 대형견같은 사람</v>
      </c>
      <c r="P385" s="26">
        <f>'Raw data'!Q380</f>
        <v>0</v>
      </c>
    </row>
    <row r="386" spans="1:16">
      <c r="A386" s="46">
        <v>384</v>
      </c>
      <c r="B386" s="26" t="str">
        <f>'Raw data'!B381</f>
        <v>남</v>
      </c>
      <c r="C386" s="26" t="str">
        <f>'Raw data'!C381</f>
        <v>황원규</v>
      </c>
      <c r="D386" s="26">
        <f>'Raw data'!F381</f>
        <v>35</v>
      </c>
      <c r="E386" s="26">
        <f>'Raw data'!H381</f>
        <v>173</v>
      </c>
      <c r="F386" s="26" t="str">
        <f>'Raw data'!E381</f>
        <v>성남문화원(공공기관)/사무 및 운영파트</v>
      </c>
      <c r="G386" s="26" t="str">
        <f>'Raw data'!G381</f>
        <v>24~34</v>
      </c>
      <c r="H386" s="26" t="str">
        <f>'Raw data'!I381</f>
        <v>~170</v>
      </c>
      <c r="I386" s="26" t="str">
        <f>'Raw data'!J381</f>
        <v>isfj</v>
      </c>
      <c r="J386" s="26" t="str">
        <f>'Raw data'!K381</f>
        <v>INFP, ISFP, INFJ, INTJ, ISFJ, ENFP, ESFP, ENFJ, ESFJ, ENTP, ESTP, ENTJ, ESTJ</v>
      </c>
      <c r="K386" s="26" t="str">
        <f>'Raw data'!L381</f>
        <v>무교</v>
      </c>
      <c r="L386" s="26" t="str">
        <f>'Raw data'!M381</f>
        <v>본인과 동일, 무관</v>
      </c>
      <c r="M386" s="26" t="str">
        <f>'Raw data'!P381</f>
        <v>무관</v>
      </c>
      <c r="N386" s="26" t="str">
        <f>'Raw data'!N381</f>
        <v>잘웃고 배려심이 깊은사람, 같이 있으면 재밌고 편안함을 주는 사람, 알면 알수록 더 재미있는 사람</v>
      </c>
      <c r="O386" s="26" t="str">
        <f>'Raw data'!O381</f>
        <v>잘웃고 착한사람, 교회 다니지 않고 담배 피지 않는 사람, 긴머리</v>
      </c>
      <c r="P386" s="26" t="str">
        <f>'Raw data'!Q381</f>
        <v>잘부탁드려요👍</v>
      </c>
    </row>
    <row r="387" spans="1:16">
      <c r="A387" s="46">
        <v>385</v>
      </c>
      <c r="B387" s="26" t="str">
        <f>'Raw data'!B382</f>
        <v>여</v>
      </c>
      <c r="C387" s="26" t="str">
        <f>'Raw data'!C382</f>
        <v>조원경</v>
      </c>
      <c r="D387" s="26">
        <f>'Raw data'!F382</f>
        <v>37</v>
      </c>
      <c r="E387" s="26">
        <f>'Raw data'!H382</f>
        <v>155</v>
      </c>
      <c r="F387" s="26" t="str">
        <f>'Raw data'!E382</f>
        <v>아동미술학원운영 원장</v>
      </c>
      <c r="G387" s="26" t="str">
        <f>'Raw data'!G382</f>
        <v>38~45</v>
      </c>
      <c r="H387" s="26" t="str">
        <f>'Raw data'!I382</f>
        <v>170~180</v>
      </c>
      <c r="I387" s="26" t="str">
        <f>'Raw data'!J382</f>
        <v>Esfj</v>
      </c>
      <c r="J387" s="26" t="str">
        <f>'Raw data'!K382</f>
        <v>무관</v>
      </c>
      <c r="K387" s="26" t="str">
        <f>'Raw data'!L382</f>
        <v>무교</v>
      </c>
      <c r="L387" s="26" t="str">
        <f>'Raw data'!M382</f>
        <v>본인과 동일</v>
      </c>
      <c r="M387" s="26" t="str">
        <f>'Raw data'!P382</f>
        <v>자영업</v>
      </c>
      <c r="N387" s="26" t="str">
        <f>'Raw data'!N382</f>
        <v>저는 밝고 활발한 성격으로 사람들과 이야기 나누고 함께 웃는 시간을 좋아합니다. 주변에서는 함께 있으면 즐겁고 솔직한 사람이라는 이야기를 자주 듣습니다.
여행을 가거나 밖에서 시간을 보내는 것도 좋아하지만, 집에서 쉬며 소소하게, 여유롭게 보내는 시간도 소중하게 생각합니다.</v>
      </c>
      <c r="O387" s="26" t="str">
        <f>'Raw data'!O382</f>
        <v>말 이쁘게 하시는분.</v>
      </c>
      <c r="P387" s="26">
        <f>'Raw data'!Q382</f>
        <v>0</v>
      </c>
    </row>
    <row r="388" spans="1:16">
      <c r="A388" s="46">
        <v>386</v>
      </c>
      <c r="B388" s="26" t="str">
        <f>'Raw data'!B383</f>
        <v>남</v>
      </c>
      <c r="C388" s="26" t="str">
        <f>'Raw data'!C383</f>
        <v>박성현</v>
      </c>
      <c r="D388" s="26">
        <f>'Raw data'!F383</f>
        <v>31</v>
      </c>
      <c r="E388" s="26">
        <f>'Raw data'!H383</f>
        <v>178</v>
      </c>
      <c r="F388" s="26" t="str">
        <f>'Raw data'!E383</f>
        <v>cj제일제당 기술직</v>
      </c>
      <c r="G388" s="26" t="str">
        <f>'Raw data'!G383</f>
        <v>24~34</v>
      </c>
      <c r="H388" s="26" t="str">
        <f>'Raw data'!I383</f>
        <v>무관</v>
      </c>
      <c r="I388" s="26" t="str">
        <f>'Raw data'!J383</f>
        <v>isfp</v>
      </c>
      <c r="J388" s="26" t="str">
        <f>'Raw data'!K383</f>
        <v>무관</v>
      </c>
      <c r="K388" s="26" t="str">
        <f>'Raw data'!L383</f>
        <v>무교</v>
      </c>
      <c r="L388" s="26" t="str">
        <f>'Raw data'!M383</f>
        <v>본인과 동일</v>
      </c>
      <c r="M388" s="26" t="str">
        <f>'Raw data'!P383</f>
        <v>무관</v>
      </c>
      <c r="N388" s="26" t="str">
        <f>'Raw data'!N383</f>
        <v>차분하고 침착한 사람</v>
      </c>
      <c r="O388" s="26" t="str">
        <f>'Raw data'!O383</f>
        <v>서로 존중하고 긍정적인사람</v>
      </c>
      <c r="P388" s="26">
        <f>'Raw data'!Q383</f>
        <v>0</v>
      </c>
    </row>
    <row r="389" spans="1:16">
      <c r="A389" s="46">
        <v>387</v>
      </c>
      <c r="B389" s="26" t="str">
        <f>'Raw data'!B384</f>
        <v>여</v>
      </c>
      <c r="C389" s="26" t="str">
        <f>'Raw data'!C384</f>
        <v>서지연</v>
      </c>
      <c r="D389" s="26">
        <f>'Raw data'!F384</f>
        <v>36</v>
      </c>
      <c r="E389" s="26">
        <f>'Raw data'!H384</f>
        <v>164</v>
      </c>
      <c r="F389" s="26" t="str">
        <f>'Raw data'!E384</f>
        <v>티빙 광고사업부</v>
      </c>
      <c r="G389" s="26" t="str">
        <f>'Raw data'!G384</f>
        <v>35~41</v>
      </c>
      <c r="H389" s="26" t="str">
        <f>'Raw data'!I384</f>
        <v>175~</v>
      </c>
      <c r="I389" s="26" t="str">
        <f>'Raw data'!J384</f>
        <v>ENTJ</v>
      </c>
      <c r="J389" s="26" t="str">
        <f>'Raw data'!K384</f>
        <v>무관</v>
      </c>
      <c r="K389" s="26" t="str">
        <f>'Raw data'!L384</f>
        <v>무교</v>
      </c>
      <c r="L389" s="26" t="str">
        <f>'Raw data'!M384</f>
        <v>본인과 동일</v>
      </c>
      <c r="M389" s="26" t="str">
        <f>'Raw data'!P384</f>
        <v>기술직, 자영업, 공무원</v>
      </c>
      <c r="N389" s="26" t="str">
        <f>'Raw data'!N384</f>
        <v>알수록 매력있는 사람</v>
      </c>
      <c r="O389" s="26" t="str">
        <f>'Raw data'!O384</f>
        <v>다정하고 성실한 사람, 회피형 비선호</v>
      </c>
      <c r="P389" s="26">
        <f>'Raw data'!Q384</f>
        <v>0</v>
      </c>
    </row>
    <row r="390" spans="1:16">
      <c r="A390" s="46">
        <v>388</v>
      </c>
      <c r="B390" s="26" t="str">
        <f>'Raw data'!B385</f>
        <v>여</v>
      </c>
      <c r="C390" s="26" t="str">
        <f>'Raw data'!C385</f>
        <v>Liv</v>
      </c>
      <c r="D390" s="26">
        <f>'Raw data'!F385</f>
        <v>29</v>
      </c>
      <c r="E390" s="26">
        <f>'Raw data'!H385</f>
        <v>155</v>
      </c>
      <c r="F390" s="26" t="str">
        <f>'Raw data'!E385</f>
        <v>헤어&amp;메이크업 아티스트</v>
      </c>
      <c r="G390" s="26" t="str">
        <f>'Raw data'!G385</f>
        <v>28~31</v>
      </c>
      <c r="H390" s="26" t="str">
        <f>'Raw data'!I385</f>
        <v>175~180</v>
      </c>
      <c r="I390" s="26" t="str">
        <f>'Raw data'!J385</f>
        <v>INFP</v>
      </c>
      <c r="J390" s="26" t="str">
        <f>'Raw data'!K385</f>
        <v>ENFP</v>
      </c>
      <c r="K390" s="26" t="str">
        <f>'Raw data'!L385</f>
        <v>무교</v>
      </c>
      <c r="L390" s="26" t="str">
        <f>'Raw data'!M385</f>
        <v>무관</v>
      </c>
      <c r="M390" s="26" t="str">
        <f>'Raw data'!P385</f>
        <v>무관</v>
      </c>
      <c r="N390" s="26" t="str">
        <f>'Raw data'!N385</f>
        <v>다정하고 잘 웃고 새로운 곳 탐험하는걸 좋아하는 사람</v>
      </c>
      <c r="O390" s="26" t="str">
        <f>'Raw data'!O385</f>
        <v>나랑 비슷한 사람, 착하고 재미있는 사람인데 나보다 더 외향적이야</v>
      </c>
      <c r="P390" s="26" t="str">
        <f>'Raw data'!Q385</f>
        <v>초청</v>
      </c>
    </row>
    <row r="391" spans="1:16">
      <c r="A391" s="46">
        <v>389</v>
      </c>
      <c r="B391" s="26" t="str">
        <f>'Raw data'!B386</f>
        <v>여</v>
      </c>
      <c r="C391" s="26" t="str">
        <f>'Raw data'!C386</f>
        <v>박선아</v>
      </c>
      <c r="D391" s="26">
        <f>'Raw data'!F386</f>
        <v>28</v>
      </c>
      <c r="E391" s="26">
        <f>'Raw data'!H386</f>
        <v>163</v>
      </c>
      <c r="F391" s="26" t="str">
        <f>'Raw data'!E386</f>
        <v>대학병원(수원)간호사</v>
      </c>
      <c r="G391" s="26" t="str">
        <f>'Raw data'!G386</f>
        <v>28~31</v>
      </c>
      <c r="H391" s="26" t="str">
        <f>'Raw data'!I386</f>
        <v>175~180</v>
      </c>
      <c r="I391" s="26" t="str">
        <f>'Raw data'!J386</f>
        <v>INFJ/ENFJ</v>
      </c>
      <c r="J391" s="26" t="str">
        <f>'Raw data'!K386</f>
        <v>ISFJ, ENFJ, ESFJ, ESTJ</v>
      </c>
      <c r="K391" s="26" t="str">
        <f>'Raw data'!L386</f>
        <v>무교</v>
      </c>
      <c r="L391" s="26" t="str">
        <f>'Raw data'!M386</f>
        <v>동일</v>
      </c>
      <c r="M391" s="26" t="str">
        <f>'Raw data'!P386</f>
        <v>병원직군, 자영업, 공무원</v>
      </c>
      <c r="N391" s="26" t="str">
        <f>'Raw data'!N386</f>
        <v>처음엔 낯가리지만 친해지면 장난치는 걸 좋아하고 때론 진지한 대화를 나누며 깊은 생각들을 나누는 걸 좋아하는 사람</v>
      </c>
      <c r="O391" s="26" t="str">
        <f>'Raw data'!O386</f>
        <v>친구같이 장난스러우면서도 다정하고 배려가 많은 사람</v>
      </c>
      <c r="P391" s="26">
        <f>'Raw data'!Q386</f>
        <v>0</v>
      </c>
    </row>
    <row r="392" spans="1:16">
      <c r="A392" s="46">
        <v>390</v>
      </c>
      <c r="B392" s="26" t="str">
        <f>'Raw data'!B387</f>
        <v>남</v>
      </c>
      <c r="C392" s="26" t="str">
        <f>'Raw data'!C387</f>
        <v>전대석</v>
      </c>
      <c r="D392" s="26">
        <f>'Raw data'!F387</f>
        <v>33</v>
      </c>
      <c r="E392" s="26">
        <f>'Raw data'!H387</f>
        <v>173</v>
      </c>
      <c r="F392" s="26" t="str">
        <f>'Raw data'!E387</f>
        <v>회사원(HR)</v>
      </c>
      <c r="G392" s="26" t="str">
        <f>'Raw data'!G387</f>
        <v>24~34</v>
      </c>
      <c r="H392" s="26" t="str">
        <f>'Raw data'!I387</f>
        <v>~170</v>
      </c>
      <c r="I392" s="26" t="str">
        <f>'Raw data'!J387</f>
        <v>ISFJ</v>
      </c>
      <c r="J392" s="26" t="str">
        <f>'Raw data'!K387</f>
        <v>무관</v>
      </c>
      <c r="K392" s="26" t="str">
        <f>'Raw data'!L387</f>
        <v>무교</v>
      </c>
      <c r="L392" s="26" t="str">
        <f>'Raw data'!M387</f>
        <v>동일</v>
      </c>
      <c r="M392" s="26" t="str">
        <f>'Raw data'!P387</f>
        <v>무관</v>
      </c>
      <c r="N392" s="26" t="str">
        <f>'Raw data'!N387</f>
        <v>유머러스하면서 예의를 지키려고 노력하는 사람</v>
      </c>
      <c r="O392" s="26" t="str">
        <f>'Raw data'!O387</f>
        <v>자기관리를 잘하는 사람(운동 등등)</v>
      </c>
      <c r="P392" s="26">
        <f>'Raw data'!Q387</f>
        <v>0</v>
      </c>
    </row>
    <row r="393" spans="1:16">
      <c r="A393" s="46">
        <v>391</v>
      </c>
      <c r="B393" s="26" t="str">
        <f>'Raw data'!B388</f>
        <v>남</v>
      </c>
      <c r="C393" s="26" t="str">
        <f>'Raw data'!C388</f>
        <v>이원준</v>
      </c>
      <c r="D393" s="26">
        <f>'Raw data'!F388</f>
        <v>27</v>
      </c>
      <c r="E393" s="26">
        <f>'Raw data'!H388</f>
        <v>180</v>
      </c>
      <c r="F393" s="26" t="str">
        <f>'Raw data'!E388</f>
        <v>약국(사무직)</v>
      </c>
      <c r="G393" s="26" t="str">
        <f>'Raw data'!G388</f>
        <v>24~31</v>
      </c>
      <c r="H393" s="26" t="str">
        <f>'Raw data'!I388</f>
        <v>160~165</v>
      </c>
      <c r="I393" s="26" t="str">
        <f>'Raw data'!J388</f>
        <v>INFP</v>
      </c>
      <c r="J393" s="26" t="str">
        <f>'Raw data'!K388</f>
        <v>무관</v>
      </c>
      <c r="K393" s="26" t="str">
        <f>'Raw data'!L388</f>
        <v>무교</v>
      </c>
      <c r="L393" s="26" t="str">
        <f>'Raw data'!M388</f>
        <v>무관</v>
      </c>
      <c r="M393" s="26" t="str">
        <f>'Raw data'!P388</f>
        <v>무관</v>
      </c>
      <c r="N393" s="26" t="str">
        <f>'Raw data'!N388</f>
        <v>성실하고 다정한 사람</v>
      </c>
      <c r="O393" s="26" t="str">
        <f>'Raw data'!O388</f>
        <v>강아지상에 손 예쁘고 쌍커풀 있는 사람</v>
      </c>
      <c r="P393" s="26">
        <f>'Raw data'!Q388</f>
        <v>0</v>
      </c>
    </row>
    <row r="394" spans="1:16">
      <c r="A394" s="46">
        <v>392</v>
      </c>
      <c r="B394" s="26">
        <f>'Raw data'!B389</f>
        <v>0</v>
      </c>
      <c r="C394" s="26">
        <f>'Raw data'!C389</f>
        <v>0</v>
      </c>
      <c r="D394" s="26">
        <f>'Raw data'!F389</f>
        <v>0</v>
      </c>
      <c r="E394" s="26">
        <f>'Raw data'!H389</f>
        <v>0</v>
      </c>
      <c r="F394" s="26">
        <f>'Raw data'!E389</f>
        <v>0</v>
      </c>
      <c r="G394" s="26">
        <f>'Raw data'!G389</f>
        <v>0</v>
      </c>
      <c r="H394" s="26">
        <f>'Raw data'!I389</f>
        <v>0</v>
      </c>
      <c r="I394" s="26">
        <f>'Raw data'!J389</f>
        <v>0</v>
      </c>
      <c r="J394" s="26">
        <f>'Raw data'!K389</f>
        <v>0</v>
      </c>
      <c r="K394" s="26">
        <f>'Raw data'!L389</f>
        <v>0</v>
      </c>
      <c r="L394" s="26">
        <f>'Raw data'!M389</f>
        <v>0</v>
      </c>
      <c r="M394" s="26">
        <f>'Raw data'!P389</f>
        <v>0</v>
      </c>
      <c r="N394" s="26">
        <f>'Raw data'!N389</f>
        <v>0</v>
      </c>
      <c r="O394" s="26">
        <f>'Raw data'!O389</f>
        <v>0</v>
      </c>
      <c r="P394" s="26">
        <f>'Raw data'!Q389</f>
        <v>0</v>
      </c>
    </row>
    <row r="395" spans="1:16">
      <c r="A395" s="46">
        <v>393</v>
      </c>
      <c r="B395" s="26">
        <f>'Raw data'!B390</f>
        <v>0</v>
      </c>
      <c r="C395" s="26">
        <f>'Raw data'!C390</f>
        <v>0</v>
      </c>
      <c r="D395" s="26">
        <f>'Raw data'!F390</f>
        <v>0</v>
      </c>
      <c r="E395" s="26">
        <f>'Raw data'!H390</f>
        <v>0</v>
      </c>
      <c r="F395" s="26">
        <f>'Raw data'!E390</f>
        <v>0</v>
      </c>
      <c r="G395" s="26">
        <f>'Raw data'!G390</f>
        <v>0</v>
      </c>
      <c r="H395" s="26">
        <f>'Raw data'!I390</f>
        <v>0</v>
      </c>
      <c r="I395" s="26">
        <f>'Raw data'!J390</f>
        <v>0</v>
      </c>
      <c r="J395" s="26">
        <f>'Raw data'!K390</f>
        <v>0</v>
      </c>
      <c r="K395" s="26">
        <f>'Raw data'!L390</f>
        <v>0</v>
      </c>
      <c r="L395" s="26">
        <f>'Raw data'!M390</f>
        <v>0</v>
      </c>
      <c r="M395" s="26">
        <f>'Raw data'!P390</f>
        <v>0</v>
      </c>
      <c r="N395" s="26">
        <f>'Raw data'!N390</f>
        <v>0</v>
      </c>
      <c r="O395" s="26">
        <f>'Raw data'!O390</f>
        <v>0</v>
      </c>
      <c r="P395" s="26">
        <f>'Raw data'!Q390</f>
        <v>0</v>
      </c>
    </row>
    <row r="396" spans="1:16">
      <c r="A396" s="46">
        <v>394</v>
      </c>
      <c r="B396" s="26">
        <f>'Raw data'!B391</f>
        <v>0</v>
      </c>
      <c r="C396" s="26">
        <f>'Raw data'!C391</f>
        <v>0</v>
      </c>
      <c r="D396" s="26">
        <f>'Raw data'!F391</f>
        <v>0</v>
      </c>
      <c r="E396" s="26">
        <f>'Raw data'!H391</f>
        <v>0</v>
      </c>
      <c r="F396" s="26">
        <f>'Raw data'!E391</f>
        <v>0</v>
      </c>
      <c r="G396" s="26">
        <f>'Raw data'!G391</f>
        <v>0</v>
      </c>
      <c r="H396" s="26">
        <f>'Raw data'!I391</f>
        <v>0</v>
      </c>
      <c r="I396" s="26">
        <f>'Raw data'!J391</f>
        <v>0</v>
      </c>
      <c r="J396" s="26">
        <f>'Raw data'!K391</f>
        <v>0</v>
      </c>
      <c r="K396" s="26">
        <f>'Raw data'!L391</f>
        <v>0</v>
      </c>
      <c r="L396" s="26">
        <f>'Raw data'!M391</f>
        <v>0</v>
      </c>
      <c r="M396" s="26">
        <f>'Raw data'!P391</f>
        <v>0</v>
      </c>
      <c r="N396" s="26">
        <f>'Raw data'!N391</f>
        <v>0</v>
      </c>
      <c r="O396" s="26">
        <f>'Raw data'!O391</f>
        <v>0</v>
      </c>
      <c r="P396" s="26">
        <f>'Raw data'!Q391</f>
        <v>0</v>
      </c>
    </row>
    <row r="397" spans="1:16">
      <c r="A397" s="46">
        <v>395</v>
      </c>
      <c r="B397" s="26">
        <f>'Raw data'!B392</f>
        <v>0</v>
      </c>
      <c r="C397" s="26">
        <f>'Raw data'!C392</f>
        <v>0</v>
      </c>
      <c r="D397" s="26">
        <f>'Raw data'!F392</f>
        <v>0</v>
      </c>
      <c r="E397" s="26">
        <f>'Raw data'!H392</f>
        <v>0</v>
      </c>
      <c r="F397" s="26">
        <f>'Raw data'!E392</f>
        <v>0</v>
      </c>
      <c r="G397" s="26">
        <f>'Raw data'!G392</f>
        <v>0</v>
      </c>
      <c r="H397" s="26">
        <f>'Raw data'!I392</f>
        <v>0</v>
      </c>
      <c r="I397" s="26">
        <f>'Raw data'!J392</f>
        <v>0</v>
      </c>
      <c r="J397" s="26">
        <f>'Raw data'!K392</f>
        <v>0</v>
      </c>
      <c r="K397" s="26">
        <f>'Raw data'!L392</f>
        <v>0</v>
      </c>
      <c r="L397" s="26">
        <f>'Raw data'!M392</f>
        <v>0</v>
      </c>
      <c r="M397" s="26">
        <f>'Raw data'!P392</f>
        <v>0</v>
      </c>
      <c r="N397" s="26">
        <f>'Raw data'!N392</f>
        <v>0</v>
      </c>
      <c r="O397" s="26">
        <f>'Raw data'!O392</f>
        <v>0</v>
      </c>
      <c r="P397" s="26">
        <f>'Raw data'!Q392</f>
        <v>0</v>
      </c>
    </row>
    <row r="398" spans="1:16">
      <c r="A398" s="46">
        <v>396</v>
      </c>
      <c r="B398" s="26">
        <f>'Raw data'!B393</f>
        <v>0</v>
      </c>
      <c r="C398" s="26">
        <f>'Raw data'!C393</f>
        <v>0</v>
      </c>
      <c r="D398" s="26">
        <f>'Raw data'!F393</f>
        <v>0</v>
      </c>
      <c r="E398" s="26">
        <f>'Raw data'!H393</f>
        <v>0</v>
      </c>
      <c r="F398" s="26">
        <f>'Raw data'!E393</f>
        <v>0</v>
      </c>
      <c r="G398" s="26">
        <f>'Raw data'!G393</f>
        <v>0</v>
      </c>
      <c r="H398" s="26">
        <f>'Raw data'!I393</f>
        <v>0</v>
      </c>
      <c r="I398" s="26">
        <f>'Raw data'!J393</f>
        <v>0</v>
      </c>
      <c r="J398" s="26">
        <f>'Raw data'!K393</f>
        <v>0</v>
      </c>
      <c r="K398" s="26">
        <f>'Raw data'!L393</f>
        <v>0</v>
      </c>
      <c r="L398" s="26">
        <f>'Raw data'!M393</f>
        <v>0</v>
      </c>
      <c r="M398" s="26">
        <f>'Raw data'!P393</f>
        <v>0</v>
      </c>
      <c r="N398" s="26">
        <f>'Raw data'!N393</f>
        <v>0</v>
      </c>
      <c r="O398" s="26">
        <f>'Raw data'!O393</f>
        <v>0</v>
      </c>
      <c r="P398" s="26">
        <f>'Raw data'!Q393</f>
        <v>0</v>
      </c>
    </row>
    <row r="399" spans="1:16">
      <c r="A399" s="46">
        <v>397</v>
      </c>
      <c r="B399" s="26">
        <f>'Raw data'!B394</f>
        <v>0</v>
      </c>
      <c r="C399" s="26">
        <f>'Raw data'!C394</f>
        <v>0</v>
      </c>
      <c r="D399" s="26">
        <f>'Raw data'!F394</f>
        <v>0</v>
      </c>
      <c r="E399" s="26">
        <f>'Raw data'!H394</f>
        <v>0</v>
      </c>
      <c r="F399" s="26">
        <f>'Raw data'!E394</f>
        <v>0</v>
      </c>
      <c r="G399" s="26">
        <f>'Raw data'!G394</f>
        <v>0</v>
      </c>
      <c r="H399" s="26">
        <f>'Raw data'!I394</f>
        <v>0</v>
      </c>
      <c r="I399" s="26">
        <f>'Raw data'!J394</f>
        <v>0</v>
      </c>
      <c r="J399" s="26">
        <f>'Raw data'!K394</f>
        <v>0</v>
      </c>
      <c r="K399" s="26">
        <f>'Raw data'!L394</f>
        <v>0</v>
      </c>
      <c r="L399" s="26">
        <f>'Raw data'!M394</f>
        <v>0</v>
      </c>
      <c r="M399" s="26">
        <f>'Raw data'!P394</f>
        <v>0</v>
      </c>
      <c r="N399" s="26">
        <f>'Raw data'!N394</f>
        <v>0</v>
      </c>
      <c r="O399" s="26">
        <f>'Raw data'!O394</f>
        <v>0</v>
      </c>
      <c r="P399" s="26">
        <f>'Raw data'!Q394</f>
        <v>0</v>
      </c>
    </row>
    <row r="400" spans="1:16">
      <c r="A400" s="46">
        <v>398</v>
      </c>
      <c r="B400" s="26">
        <f>'Raw data'!B395</f>
        <v>0</v>
      </c>
      <c r="C400" s="26">
        <f>'Raw data'!C395</f>
        <v>0</v>
      </c>
      <c r="D400" s="26">
        <f>'Raw data'!F395</f>
        <v>0</v>
      </c>
      <c r="E400" s="26">
        <f>'Raw data'!H395</f>
        <v>0</v>
      </c>
      <c r="F400" s="26">
        <f>'Raw data'!E395</f>
        <v>0</v>
      </c>
      <c r="G400" s="26">
        <f>'Raw data'!G395</f>
        <v>0</v>
      </c>
      <c r="H400" s="26">
        <f>'Raw data'!I395</f>
        <v>0</v>
      </c>
      <c r="I400" s="26">
        <f>'Raw data'!J395</f>
        <v>0</v>
      </c>
      <c r="J400" s="26">
        <f>'Raw data'!K395</f>
        <v>0</v>
      </c>
      <c r="K400" s="26">
        <f>'Raw data'!L395</f>
        <v>0</v>
      </c>
      <c r="L400" s="26">
        <f>'Raw data'!M395</f>
        <v>0</v>
      </c>
      <c r="M400" s="26">
        <f>'Raw data'!P395</f>
        <v>0</v>
      </c>
      <c r="N400" s="26">
        <f>'Raw data'!N395</f>
        <v>0</v>
      </c>
      <c r="O400" s="26">
        <f>'Raw data'!O395</f>
        <v>0</v>
      </c>
      <c r="P400" s="26">
        <f>'Raw data'!Q395</f>
        <v>0</v>
      </c>
    </row>
    <row r="401" spans="1:16">
      <c r="A401" s="46">
        <v>399</v>
      </c>
      <c r="B401" s="26">
        <f>'Raw data'!B396</f>
        <v>0</v>
      </c>
      <c r="C401" s="26">
        <f>'Raw data'!C396</f>
        <v>0</v>
      </c>
      <c r="D401" s="26">
        <f>'Raw data'!F396</f>
        <v>0</v>
      </c>
      <c r="E401" s="26">
        <f>'Raw data'!H396</f>
        <v>0</v>
      </c>
      <c r="F401" s="26">
        <f>'Raw data'!E396</f>
        <v>0</v>
      </c>
      <c r="G401" s="26">
        <f>'Raw data'!G396</f>
        <v>0</v>
      </c>
      <c r="H401" s="26">
        <f>'Raw data'!I396</f>
        <v>0</v>
      </c>
      <c r="I401" s="26">
        <f>'Raw data'!J396</f>
        <v>0</v>
      </c>
      <c r="J401" s="26">
        <f>'Raw data'!K396</f>
        <v>0</v>
      </c>
      <c r="K401" s="26">
        <f>'Raw data'!L396</f>
        <v>0</v>
      </c>
      <c r="L401" s="26">
        <f>'Raw data'!M396</f>
        <v>0</v>
      </c>
      <c r="M401" s="26">
        <f>'Raw data'!P396</f>
        <v>0</v>
      </c>
      <c r="N401" s="26">
        <f>'Raw data'!N396</f>
        <v>0</v>
      </c>
      <c r="O401" s="26">
        <f>'Raw data'!O396</f>
        <v>0</v>
      </c>
      <c r="P401" s="26">
        <f>'Raw data'!Q396</f>
        <v>0</v>
      </c>
    </row>
    <row r="402" spans="1:16">
      <c r="A402" s="46">
        <v>400</v>
      </c>
      <c r="B402" s="26">
        <f>'Raw data'!B397</f>
        <v>0</v>
      </c>
      <c r="C402" s="26">
        <f>'Raw data'!C397</f>
        <v>0</v>
      </c>
      <c r="D402" s="26">
        <f>'Raw data'!F397</f>
        <v>0</v>
      </c>
      <c r="E402" s="26">
        <f>'Raw data'!H397</f>
        <v>0</v>
      </c>
      <c r="F402" s="26">
        <f>'Raw data'!E397</f>
        <v>0</v>
      </c>
      <c r="G402" s="26">
        <f>'Raw data'!G397</f>
        <v>0</v>
      </c>
      <c r="H402" s="26">
        <f>'Raw data'!I397</f>
        <v>0</v>
      </c>
      <c r="I402" s="26">
        <f>'Raw data'!J397</f>
        <v>0</v>
      </c>
      <c r="J402" s="26">
        <f>'Raw data'!K397</f>
        <v>0</v>
      </c>
      <c r="K402" s="26">
        <f>'Raw data'!L397</f>
        <v>0</v>
      </c>
      <c r="L402" s="26">
        <f>'Raw data'!M397</f>
        <v>0</v>
      </c>
      <c r="M402" s="26">
        <f>'Raw data'!P397</f>
        <v>0</v>
      </c>
      <c r="N402" s="26">
        <f>'Raw data'!N397</f>
        <v>0</v>
      </c>
      <c r="O402" s="26">
        <f>'Raw data'!O397</f>
        <v>0</v>
      </c>
      <c r="P402" s="26">
        <f>'Raw data'!Q397</f>
        <v>0</v>
      </c>
    </row>
    <row r="403" spans="1:16">
      <c r="A403" s="46">
        <v>401</v>
      </c>
      <c r="B403" s="26">
        <f>'Raw data'!B398</f>
        <v>0</v>
      </c>
      <c r="C403" s="26">
        <f>'Raw data'!C398</f>
        <v>0</v>
      </c>
      <c r="D403" s="26">
        <f>'Raw data'!F398</f>
        <v>0</v>
      </c>
      <c r="E403" s="26">
        <f>'Raw data'!H398</f>
        <v>0</v>
      </c>
      <c r="F403" s="26">
        <f>'Raw data'!E398</f>
        <v>0</v>
      </c>
      <c r="G403" s="26">
        <f>'Raw data'!G398</f>
        <v>0</v>
      </c>
      <c r="H403" s="26">
        <f>'Raw data'!I398</f>
        <v>0</v>
      </c>
      <c r="I403" s="26">
        <f>'Raw data'!J398</f>
        <v>0</v>
      </c>
      <c r="J403" s="26">
        <f>'Raw data'!K398</f>
        <v>0</v>
      </c>
      <c r="K403" s="26">
        <f>'Raw data'!L398</f>
        <v>0</v>
      </c>
      <c r="L403" s="26">
        <f>'Raw data'!M398</f>
        <v>0</v>
      </c>
      <c r="M403" s="26">
        <f>'Raw data'!P398</f>
        <v>0</v>
      </c>
      <c r="N403" s="26">
        <f>'Raw data'!N398</f>
        <v>0</v>
      </c>
      <c r="O403" s="26">
        <f>'Raw data'!O398</f>
        <v>0</v>
      </c>
      <c r="P403" s="26">
        <f>'Raw data'!Q398</f>
        <v>0</v>
      </c>
    </row>
    <row r="404" spans="1:16">
      <c r="A404" s="46">
        <v>402</v>
      </c>
      <c r="B404" s="26">
        <f>'Raw data'!B399</f>
        <v>0</v>
      </c>
      <c r="C404" s="26">
        <f>'Raw data'!C399</f>
        <v>0</v>
      </c>
      <c r="D404" s="26">
        <f>'Raw data'!F399</f>
        <v>0</v>
      </c>
      <c r="E404" s="26">
        <f>'Raw data'!H399</f>
        <v>0</v>
      </c>
      <c r="F404" s="26">
        <f>'Raw data'!E399</f>
        <v>0</v>
      </c>
      <c r="G404" s="26">
        <f>'Raw data'!G399</f>
        <v>0</v>
      </c>
      <c r="H404" s="26">
        <f>'Raw data'!I399</f>
        <v>0</v>
      </c>
      <c r="I404" s="26">
        <f>'Raw data'!J399</f>
        <v>0</v>
      </c>
      <c r="J404" s="26">
        <f>'Raw data'!K399</f>
        <v>0</v>
      </c>
      <c r="K404" s="26">
        <f>'Raw data'!L399</f>
        <v>0</v>
      </c>
      <c r="L404" s="26">
        <f>'Raw data'!M399</f>
        <v>0</v>
      </c>
      <c r="M404" s="26">
        <f>'Raw data'!P399</f>
        <v>0</v>
      </c>
      <c r="N404" s="26">
        <f>'Raw data'!N399</f>
        <v>0</v>
      </c>
      <c r="O404" s="26">
        <f>'Raw data'!O399</f>
        <v>0</v>
      </c>
      <c r="P404" s="26">
        <f>'Raw data'!Q399</f>
        <v>0</v>
      </c>
    </row>
    <row r="405" spans="1:16">
      <c r="A405" s="46">
        <v>403</v>
      </c>
      <c r="B405" s="26">
        <f>'Raw data'!B400</f>
        <v>0</v>
      </c>
      <c r="C405" s="26">
        <f>'Raw data'!C400</f>
        <v>0</v>
      </c>
      <c r="D405" s="26">
        <f>'Raw data'!F400</f>
        <v>0</v>
      </c>
      <c r="E405" s="26">
        <f>'Raw data'!H400</f>
        <v>0</v>
      </c>
      <c r="F405" s="26">
        <f>'Raw data'!E400</f>
        <v>0</v>
      </c>
      <c r="G405" s="26">
        <f>'Raw data'!G400</f>
        <v>0</v>
      </c>
      <c r="H405" s="26">
        <f>'Raw data'!I400</f>
        <v>0</v>
      </c>
      <c r="I405" s="26">
        <f>'Raw data'!J400</f>
        <v>0</v>
      </c>
      <c r="J405" s="26">
        <f>'Raw data'!K400</f>
        <v>0</v>
      </c>
      <c r="K405" s="26">
        <f>'Raw data'!L400</f>
        <v>0</v>
      </c>
      <c r="L405" s="26">
        <f>'Raw data'!M400</f>
        <v>0</v>
      </c>
      <c r="M405" s="26">
        <f>'Raw data'!P400</f>
        <v>0</v>
      </c>
      <c r="N405" s="26">
        <f>'Raw data'!N400</f>
        <v>0</v>
      </c>
      <c r="O405" s="26">
        <f>'Raw data'!O400</f>
        <v>0</v>
      </c>
      <c r="P405" s="26">
        <f>'Raw data'!Q400</f>
        <v>0</v>
      </c>
    </row>
    <row r="406" spans="1:16">
      <c r="A406" s="46">
        <v>404</v>
      </c>
      <c r="B406" s="26">
        <f>'Raw data'!B401</f>
        <v>0</v>
      </c>
      <c r="C406" s="26">
        <f>'Raw data'!C401</f>
        <v>0</v>
      </c>
      <c r="D406" s="26">
        <f>'Raw data'!F401</f>
        <v>0</v>
      </c>
      <c r="E406" s="26">
        <f>'Raw data'!H401</f>
        <v>0</v>
      </c>
      <c r="F406" s="26">
        <f>'Raw data'!E401</f>
        <v>0</v>
      </c>
      <c r="G406" s="26">
        <f>'Raw data'!G401</f>
        <v>0</v>
      </c>
      <c r="H406" s="26">
        <f>'Raw data'!I401</f>
        <v>0</v>
      </c>
      <c r="I406" s="26">
        <f>'Raw data'!J401</f>
        <v>0</v>
      </c>
      <c r="J406" s="26">
        <f>'Raw data'!K401</f>
        <v>0</v>
      </c>
      <c r="K406" s="26">
        <f>'Raw data'!L401</f>
        <v>0</v>
      </c>
      <c r="L406" s="26">
        <f>'Raw data'!M401</f>
        <v>0</v>
      </c>
      <c r="M406" s="26">
        <f>'Raw data'!P401</f>
        <v>0</v>
      </c>
      <c r="N406" s="26">
        <f>'Raw data'!N401</f>
        <v>0</v>
      </c>
      <c r="O406" s="26">
        <f>'Raw data'!O401</f>
        <v>0</v>
      </c>
      <c r="P406" s="26">
        <f>'Raw data'!Q401</f>
        <v>0</v>
      </c>
    </row>
    <row r="407" spans="1:16">
      <c r="A407" s="46">
        <v>405</v>
      </c>
      <c r="B407" s="26">
        <f>'Raw data'!B402</f>
        <v>0</v>
      </c>
      <c r="C407" s="26">
        <f>'Raw data'!C402</f>
        <v>0</v>
      </c>
      <c r="D407" s="26">
        <f>'Raw data'!F402</f>
        <v>0</v>
      </c>
      <c r="E407" s="26">
        <f>'Raw data'!H402</f>
        <v>0</v>
      </c>
      <c r="F407" s="26">
        <f>'Raw data'!E402</f>
        <v>0</v>
      </c>
      <c r="G407" s="26">
        <f>'Raw data'!G402</f>
        <v>0</v>
      </c>
      <c r="H407" s="26">
        <f>'Raw data'!I402</f>
        <v>0</v>
      </c>
      <c r="I407" s="26">
        <f>'Raw data'!J402</f>
        <v>0</v>
      </c>
      <c r="J407" s="26">
        <f>'Raw data'!K402</f>
        <v>0</v>
      </c>
      <c r="K407" s="26">
        <f>'Raw data'!L402</f>
        <v>0</v>
      </c>
      <c r="L407" s="26">
        <f>'Raw data'!M402</f>
        <v>0</v>
      </c>
      <c r="M407" s="26">
        <f>'Raw data'!P402</f>
        <v>0</v>
      </c>
      <c r="N407" s="26">
        <f>'Raw data'!N402</f>
        <v>0</v>
      </c>
      <c r="O407" s="26">
        <f>'Raw data'!O402</f>
        <v>0</v>
      </c>
      <c r="P407" s="26">
        <f>'Raw data'!Q402</f>
        <v>0</v>
      </c>
    </row>
    <row r="408" spans="1:16">
      <c r="A408" s="46">
        <v>406</v>
      </c>
      <c r="B408" s="26">
        <f>'Raw data'!B403</f>
        <v>0</v>
      </c>
      <c r="C408" s="26">
        <f>'Raw data'!C403</f>
        <v>0</v>
      </c>
      <c r="D408" s="26">
        <f>'Raw data'!F403</f>
        <v>0</v>
      </c>
      <c r="E408" s="26">
        <f>'Raw data'!H403</f>
        <v>0</v>
      </c>
      <c r="F408" s="26">
        <f>'Raw data'!E403</f>
        <v>0</v>
      </c>
      <c r="G408" s="26">
        <f>'Raw data'!G403</f>
        <v>0</v>
      </c>
      <c r="H408" s="26">
        <f>'Raw data'!I403</f>
        <v>0</v>
      </c>
      <c r="I408" s="26">
        <f>'Raw data'!J403</f>
        <v>0</v>
      </c>
      <c r="J408" s="26">
        <f>'Raw data'!K403</f>
        <v>0</v>
      </c>
      <c r="K408" s="26">
        <f>'Raw data'!L403</f>
        <v>0</v>
      </c>
      <c r="L408" s="26">
        <f>'Raw data'!M403</f>
        <v>0</v>
      </c>
      <c r="M408" s="26">
        <f>'Raw data'!P403</f>
        <v>0</v>
      </c>
      <c r="N408" s="26">
        <f>'Raw data'!N403</f>
        <v>0</v>
      </c>
      <c r="O408" s="26">
        <f>'Raw data'!O403</f>
        <v>0</v>
      </c>
      <c r="P408" s="26">
        <f>'Raw data'!Q403</f>
        <v>0</v>
      </c>
    </row>
    <row r="409" spans="1:16">
      <c r="A409" s="46">
        <v>407</v>
      </c>
      <c r="B409" s="26">
        <f>'Raw data'!B404</f>
        <v>0</v>
      </c>
      <c r="C409" s="26">
        <f>'Raw data'!C404</f>
        <v>0</v>
      </c>
      <c r="D409" s="26">
        <f>'Raw data'!F404</f>
        <v>0</v>
      </c>
      <c r="E409" s="26">
        <f>'Raw data'!H404</f>
        <v>0</v>
      </c>
      <c r="F409" s="26">
        <f>'Raw data'!E404</f>
        <v>0</v>
      </c>
      <c r="G409" s="26">
        <f>'Raw data'!G404</f>
        <v>0</v>
      </c>
      <c r="H409" s="26">
        <f>'Raw data'!I404</f>
        <v>0</v>
      </c>
      <c r="I409" s="26">
        <f>'Raw data'!J404</f>
        <v>0</v>
      </c>
      <c r="J409" s="26">
        <f>'Raw data'!K404</f>
        <v>0</v>
      </c>
      <c r="K409" s="26">
        <f>'Raw data'!L404</f>
        <v>0</v>
      </c>
      <c r="L409" s="26">
        <f>'Raw data'!M404</f>
        <v>0</v>
      </c>
      <c r="M409" s="26">
        <f>'Raw data'!P404</f>
        <v>0</v>
      </c>
      <c r="N409" s="26">
        <f>'Raw data'!N404</f>
        <v>0</v>
      </c>
      <c r="O409" s="26">
        <f>'Raw data'!O404</f>
        <v>0</v>
      </c>
      <c r="P409" s="26">
        <f>'Raw data'!Q404</f>
        <v>0</v>
      </c>
    </row>
  </sheetData>
  <autoFilter ref="B2:P2">
    <sortState ref="B3:P142">
      <sortCondition ref="B2"/>
    </sortState>
  </autoFilter>
  <phoneticPr fontId="1" type="noConversion"/>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80"/>
  <sheetViews>
    <sheetView zoomScale="85" zoomScaleNormal="85" workbookViewId="0">
      <pane ySplit="1" topLeftCell="A201" activePane="bottomLeft" state="frozen"/>
      <selection pane="bottomLeft" activeCell="J381" sqref="J381"/>
    </sheetView>
  </sheetViews>
  <sheetFormatPr defaultRowHeight="16.5"/>
  <cols>
    <col min="1" max="1" width="4.875" style="38" bestFit="1" customWidth="1"/>
    <col min="2" max="4" width="4.875" style="79" customWidth="1"/>
    <col min="5" max="6" width="4.875" style="82" customWidth="1"/>
    <col min="7" max="9" width="7.375" style="1" bestFit="1" customWidth="1"/>
    <col min="10" max="10" width="6.125" style="1" bestFit="1" customWidth="1"/>
    <col min="11" max="11" width="41.25" style="1" customWidth="1"/>
    <col min="12" max="18" width="9" style="1"/>
    <col min="19" max="19" width="25.75" style="1" customWidth="1"/>
    <col min="20" max="20" width="30.375" style="1" customWidth="1"/>
    <col min="21" max="16384" width="9" style="1"/>
  </cols>
  <sheetData>
    <row r="1" spans="1:21">
      <c r="A1" s="49" t="s">
        <v>1043</v>
      </c>
      <c r="B1" s="79" t="s">
        <v>1751</v>
      </c>
      <c r="C1" s="79" t="s">
        <v>2740</v>
      </c>
      <c r="D1" s="79" t="s">
        <v>2741</v>
      </c>
      <c r="E1" s="79" t="s">
        <v>2742</v>
      </c>
      <c r="F1" s="82" t="s">
        <v>2743</v>
      </c>
      <c r="G1" s="21" t="s">
        <v>27</v>
      </c>
      <c r="H1" s="21" t="s">
        <v>40</v>
      </c>
      <c r="I1" s="21" t="s">
        <v>2</v>
      </c>
      <c r="J1" s="21" t="s">
        <v>4</v>
      </c>
      <c r="K1" s="21" t="s">
        <v>5</v>
      </c>
      <c r="L1" s="17" t="s">
        <v>41</v>
      </c>
      <c r="M1" s="21" t="s">
        <v>42</v>
      </c>
      <c r="N1" s="21" t="s">
        <v>6</v>
      </c>
      <c r="O1" s="21" t="s">
        <v>43</v>
      </c>
      <c r="P1" s="21" t="s">
        <v>3</v>
      </c>
      <c r="Q1" s="21" t="s">
        <v>45</v>
      </c>
      <c r="R1" s="4" t="s">
        <v>44</v>
      </c>
      <c r="S1" s="21" t="s">
        <v>46</v>
      </c>
      <c r="T1" s="17" t="s">
        <v>47</v>
      </c>
      <c r="U1" s="26" t="s">
        <v>87</v>
      </c>
    </row>
    <row r="2" spans="1:21">
      <c r="A2" s="48">
        <v>381</v>
      </c>
      <c r="B2" s="80"/>
      <c r="C2" s="80"/>
      <c r="D2" s="80" t="s">
        <v>2862</v>
      </c>
      <c r="E2" s="80"/>
      <c r="F2" s="80"/>
      <c r="G2" s="26" t="s">
        <v>14</v>
      </c>
      <c r="H2" s="26" t="s">
        <v>1031</v>
      </c>
      <c r="I2" s="26">
        <v>20</v>
      </c>
      <c r="J2" s="26">
        <v>155</v>
      </c>
      <c r="K2" s="26" t="s">
        <v>2801</v>
      </c>
      <c r="L2" s="26" t="s">
        <v>768</v>
      </c>
      <c r="M2" s="26" t="s">
        <v>15</v>
      </c>
      <c r="N2" s="26" t="s">
        <v>884</v>
      </c>
      <c r="O2" s="26" t="s">
        <v>10</v>
      </c>
      <c r="P2" s="26" t="s">
        <v>9</v>
      </c>
      <c r="Q2" s="26" t="s">
        <v>10</v>
      </c>
      <c r="R2" s="26" t="s">
        <v>10</v>
      </c>
      <c r="S2" s="26" t="s">
        <v>2802</v>
      </c>
      <c r="T2" s="26" t="s">
        <v>2803</v>
      </c>
      <c r="U2" s="26">
        <v>0</v>
      </c>
    </row>
    <row r="3" spans="1:21" ht="18.95" customHeight="1">
      <c r="A3" s="48">
        <v>354</v>
      </c>
      <c r="B3" s="80"/>
      <c r="C3" s="80"/>
      <c r="D3" s="80"/>
      <c r="E3" s="80"/>
      <c r="F3" s="80"/>
      <c r="G3" s="26" t="s">
        <v>14</v>
      </c>
      <c r="H3" s="26" t="s">
        <v>2024</v>
      </c>
      <c r="I3" s="26">
        <v>21</v>
      </c>
      <c r="J3" s="26">
        <v>162</v>
      </c>
      <c r="K3" s="26" t="s">
        <v>2025</v>
      </c>
      <c r="L3" s="26" t="s">
        <v>2026</v>
      </c>
      <c r="M3" s="26" t="s">
        <v>2027</v>
      </c>
      <c r="N3" s="26" t="s">
        <v>13</v>
      </c>
      <c r="O3" s="26" t="s">
        <v>10</v>
      </c>
      <c r="P3" s="26" t="s">
        <v>9</v>
      </c>
      <c r="Q3" s="26" t="s">
        <v>29</v>
      </c>
      <c r="R3" s="26" t="s">
        <v>10</v>
      </c>
      <c r="S3" s="26" t="s">
        <v>2028</v>
      </c>
      <c r="T3" s="26">
        <v>0</v>
      </c>
      <c r="U3" s="26">
        <v>0</v>
      </c>
    </row>
    <row r="4" spans="1:21" ht="18.95" customHeight="1">
      <c r="A4" s="48">
        <v>120</v>
      </c>
      <c r="B4" s="80">
        <v>1</v>
      </c>
      <c r="C4" s="80"/>
      <c r="D4" s="80"/>
      <c r="E4" s="80"/>
      <c r="F4" s="80"/>
      <c r="G4" s="26" t="s">
        <v>14</v>
      </c>
      <c r="H4" s="26" t="s">
        <v>888</v>
      </c>
      <c r="I4" s="26">
        <v>23</v>
      </c>
      <c r="J4" s="26">
        <v>168</v>
      </c>
      <c r="K4" s="26" t="s">
        <v>890</v>
      </c>
      <c r="L4" s="26" t="s">
        <v>737</v>
      </c>
      <c r="M4" s="26" t="s">
        <v>93</v>
      </c>
      <c r="N4" s="26" t="s">
        <v>37</v>
      </c>
      <c r="O4" s="26" t="s">
        <v>891</v>
      </c>
      <c r="P4" s="26" t="s">
        <v>56</v>
      </c>
      <c r="Q4" s="26" t="s">
        <v>29</v>
      </c>
      <c r="R4" s="26" t="s">
        <v>10</v>
      </c>
      <c r="S4" s="26" t="s">
        <v>892</v>
      </c>
      <c r="T4" s="26" t="s">
        <v>893</v>
      </c>
      <c r="U4" s="26" t="s">
        <v>894</v>
      </c>
    </row>
    <row r="5" spans="1:21" ht="18.95" customHeight="1">
      <c r="A5" s="48">
        <v>281</v>
      </c>
      <c r="F5" s="87"/>
      <c r="G5" s="26" t="s">
        <v>8</v>
      </c>
      <c r="H5" s="26" t="s">
        <v>1528</v>
      </c>
      <c r="I5" s="26">
        <v>24</v>
      </c>
      <c r="J5" s="26">
        <v>168</v>
      </c>
      <c r="K5" s="26" t="s">
        <v>1530</v>
      </c>
      <c r="L5" s="26" t="s">
        <v>737</v>
      </c>
      <c r="M5" s="26" t="s">
        <v>22</v>
      </c>
      <c r="N5" s="26" t="s">
        <v>18</v>
      </c>
      <c r="O5" s="26" t="s">
        <v>10</v>
      </c>
      <c r="P5" s="26">
        <v>0</v>
      </c>
      <c r="Q5" s="26" t="s">
        <v>10</v>
      </c>
      <c r="R5" s="26" t="s">
        <v>10</v>
      </c>
      <c r="S5" s="26" t="s">
        <v>1531</v>
      </c>
      <c r="T5" s="26" t="s">
        <v>1405</v>
      </c>
      <c r="U5" s="26">
        <v>0</v>
      </c>
    </row>
    <row r="6" spans="1:21" ht="18.95" customHeight="1">
      <c r="A6" s="107">
        <v>165</v>
      </c>
      <c r="B6" s="81"/>
      <c r="C6" s="81"/>
      <c r="D6" s="81"/>
      <c r="E6" s="80"/>
      <c r="F6" s="81"/>
      <c r="G6" s="36" t="s">
        <v>14</v>
      </c>
      <c r="H6" s="26" t="s">
        <v>201</v>
      </c>
      <c r="I6" s="26">
        <v>25</v>
      </c>
      <c r="J6" s="26">
        <v>168</v>
      </c>
      <c r="K6" s="26" t="s">
        <v>202</v>
      </c>
      <c r="L6" s="26" t="s">
        <v>62</v>
      </c>
      <c r="M6" s="26" t="s">
        <v>93</v>
      </c>
      <c r="N6" s="26" t="s">
        <v>203</v>
      </c>
      <c r="O6" s="26" t="s">
        <v>204</v>
      </c>
      <c r="P6" s="26" t="s">
        <v>9</v>
      </c>
      <c r="Q6" s="26" t="s">
        <v>29</v>
      </c>
      <c r="R6" s="26" t="s">
        <v>11</v>
      </c>
      <c r="S6" s="26" t="s">
        <v>205</v>
      </c>
      <c r="T6" s="26">
        <v>0</v>
      </c>
      <c r="U6" s="26">
        <v>0</v>
      </c>
    </row>
    <row r="7" spans="1:21" ht="18.95" customHeight="1">
      <c r="A7" s="107">
        <v>373</v>
      </c>
      <c r="B7" s="81">
        <v>1</v>
      </c>
      <c r="C7" s="81"/>
      <c r="D7" s="81"/>
      <c r="E7" s="80"/>
      <c r="F7" s="81"/>
      <c r="G7" s="26" t="s">
        <v>8</v>
      </c>
      <c r="H7" s="26" t="s">
        <v>2737</v>
      </c>
      <c r="I7" s="26">
        <v>26</v>
      </c>
      <c r="J7" s="26">
        <v>174</v>
      </c>
      <c r="K7" s="26" t="s">
        <v>2697</v>
      </c>
      <c r="L7" s="26" t="s">
        <v>62</v>
      </c>
      <c r="M7" s="26" t="s">
        <v>21</v>
      </c>
      <c r="N7" s="4" t="s">
        <v>85</v>
      </c>
      <c r="O7" s="4" t="s">
        <v>10</v>
      </c>
      <c r="P7" s="4" t="s">
        <v>31</v>
      </c>
      <c r="Q7" s="4" t="s">
        <v>10</v>
      </c>
      <c r="R7" s="4" t="s">
        <v>10</v>
      </c>
      <c r="S7" s="4" t="s">
        <v>2738</v>
      </c>
      <c r="T7" s="4" t="s">
        <v>2739</v>
      </c>
      <c r="U7" s="4" t="s">
        <v>2701</v>
      </c>
    </row>
    <row r="8" spans="1:21" ht="18.95" customHeight="1">
      <c r="A8" s="48">
        <v>55</v>
      </c>
      <c r="B8" s="81"/>
      <c r="C8" s="81"/>
      <c r="D8" s="81"/>
      <c r="E8" s="80"/>
      <c r="F8" s="80"/>
      <c r="G8" s="26" t="s">
        <v>8</v>
      </c>
      <c r="H8" s="26" t="s">
        <v>652</v>
      </c>
      <c r="I8" s="26">
        <v>26</v>
      </c>
      <c r="J8" s="26">
        <v>175</v>
      </c>
      <c r="K8" s="26" t="s">
        <v>653</v>
      </c>
      <c r="L8" s="26" t="s">
        <v>62</v>
      </c>
      <c r="M8" s="26" t="s">
        <v>22</v>
      </c>
      <c r="N8" s="26" t="s">
        <v>85</v>
      </c>
      <c r="O8" s="26" t="s">
        <v>10</v>
      </c>
      <c r="P8" s="26" t="s">
        <v>9</v>
      </c>
      <c r="Q8" s="26" t="s">
        <v>10</v>
      </c>
      <c r="R8" s="26" t="s">
        <v>646</v>
      </c>
      <c r="S8" s="26" t="s">
        <v>654</v>
      </c>
      <c r="T8" s="26" t="s">
        <v>655</v>
      </c>
      <c r="U8" s="26" t="s">
        <v>656</v>
      </c>
    </row>
    <row r="9" spans="1:21" ht="18.95" customHeight="1">
      <c r="A9" s="107">
        <v>41</v>
      </c>
      <c r="B9" s="80">
        <v>1</v>
      </c>
      <c r="C9" s="80"/>
      <c r="D9" s="80"/>
      <c r="E9" s="80"/>
      <c r="F9" s="81"/>
      <c r="G9" s="26" t="s">
        <v>14</v>
      </c>
      <c r="H9" s="26" t="s">
        <v>1109</v>
      </c>
      <c r="I9" s="26">
        <v>26</v>
      </c>
      <c r="J9" s="26">
        <v>171</v>
      </c>
      <c r="K9" s="26" t="s">
        <v>1110</v>
      </c>
      <c r="L9" s="26" t="s">
        <v>460</v>
      </c>
      <c r="M9" s="26" t="s">
        <v>65</v>
      </c>
      <c r="N9" s="26" t="s">
        <v>1111</v>
      </c>
      <c r="O9" s="26" t="s">
        <v>1112</v>
      </c>
      <c r="P9" s="26" t="s">
        <v>9</v>
      </c>
      <c r="Q9" s="26" t="s">
        <v>29</v>
      </c>
      <c r="R9" s="26" t="s">
        <v>11</v>
      </c>
      <c r="S9" s="26" t="s">
        <v>1113</v>
      </c>
      <c r="T9" s="26" t="s">
        <v>1114</v>
      </c>
      <c r="U9" s="26">
        <v>0</v>
      </c>
    </row>
    <row r="10" spans="1:21" ht="18.95" customHeight="1">
      <c r="A10" s="107">
        <v>307</v>
      </c>
      <c r="B10" s="79" t="s">
        <v>1121</v>
      </c>
      <c r="G10" s="26" t="s">
        <v>14</v>
      </c>
      <c r="H10" s="36" t="s">
        <v>1652</v>
      </c>
      <c r="I10" s="26">
        <v>26</v>
      </c>
      <c r="J10" s="26">
        <v>168</v>
      </c>
      <c r="K10" s="26" t="s">
        <v>1653</v>
      </c>
      <c r="L10" s="26" t="s">
        <v>62</v>
      </c>
      <c r="M10" s="26" t="s">
        <v>93</v>
      </c>
      <c r="N10" s="26" t="s">
        <v>12</v>
      </c>
      <c r="O10" s="26" t="s">
        <v>10</v>
      </c>
      <c r="P10" s="26" t="s">
        <v>9</v>
      </c>
      <c r="Q10" s="26" t="s">
        <v>29</v>
      </c>
      <c r="R10" s="26" t="s">
        <v>646</v>
      </c>
      <c r="S10" s="26" t="s">
        <v>1696</v>
      </c>
      <c r="T10" s="26" t="s">
        <v>1697</v>
      </c>
      <c r="U10" s="26">
        <v>0</v>
      </c>
    </row>
    <row r="11" spans="1:21" ht="18.95" customHeight="1">
      <c r="A11" s="107">
        <v>305</v>
      </c>
      <c r="B11" s="84" t="s">
        <v>1755</v>
      </c>
      <c r="C11" s="84"/>
      <c r="D11" s="84"/>
      <c r="G11" s="26" t="s">
        <v>14</v>
      </c>
      <c r="H11" s="26" t="s">
        <v>1648</v>
      </c>
      <c r="I11" s="26">
        <v>26</v>
      </c>
      <c r="J11" s="26">
        <v>164</v>
      </c>
      <c r="K11" s="26" t="s">
        <v>1649</v>
      </c>
      <c r="L11" s="26" t="s">
        <v>62</v>
      </c>
      <c r="M11" s="26" t="s">
        <v>15</v>
      </c>
      <c r="N11" s="26" t="s">
        <v>12</v>
      </c>
      <c r="O11" s="26" t="s">
        <v>10</v>
      </c>
      <c r="P11" s="26" t="s">
        <v>9</v>
      </c>
      <c r="Q11" s="26" t="s">
        <v>57</v>
      </c>
      <c r="R11" s="26" t="s">
        <v>11</v>
      </c>
      <c r="S11" s="26" t="s">
        <v>1690</v>
      </c>
      <c r="T11" s="26" t="s">
        <v>1691</v>
      </c>
      <c r="U11" s="26">
        <v>0</v>
      </c>
    </row>
    <row r="12" spans="1:21" ht="18.95" customHeight="1">
      <c r="A12" s="107">
        <v>350</v>
      </c>
      <c r="B12" s="79" t="s">
        <v>1992</v>
      </c>
      <c r="G12" s="26" t="s">
        <v>14</v>
      </c>
      <c r="H12" s="26" t="s">
        <v>1984</v>
      </c>
      <c r="I12" s="26">
        <v>26</v>
      </c>
      <c r="J12" s="26">
        <v>164</v>
      </c>
      <c r="K12" s="26" t="s">
        <v>202</v>
      </c>
      <c r="L12" s="26" t="s">
        <v>62</v>
      </c>
      <c r="M12" s="26" t="s">
        <v>93</v>
      </c>
      <c r="N12" s="26" t="s">
        <v>76</v>
      </c>
      <c r="O12" s="26" t="s">
        <v>1985</v>
      </c>
      <c r="P12" s="26" t="s">
        <v>9</v>
      </c>
      <c r="Q12" s="26" t="s">
        <v>29</v>
      </c>
      <c r="R12" s="26" t="s">
        <v>10</v>
      </c>
      <c r="S12" s="26" t="s">
        <v>1986</v>
      </c>
      <c r="T12" s="26" t="s">
        <v>1987</v>
      </c>
      <c r="U12" s="26">
        <v>0</v>
      </c>
    </row>
    <row r="13" spans="1:21" ht="18.95" customHeight="1">
      <c r="A13" s="48">
        <v>257</v>
      </c>
      <c r="B13" s="78"/>
      <c r="C13" s="78"/>
      <c r="D13" s="78"/>
      <c r="F13" s="87"/>
      <c r="G13" s="26" t="s">
        <v>14</v>
      </c>
      <c r="H13" s="26" t="s">
        <v>1394</v>
      </c>
      <c r="I13" s="26">
        <v>26</v>
      </c>
      <c r="J13" s="26">
        <v>160</v>
      </c>
      <c r="K13" s="26" t="s">
        <v>1395</v>
      </c>
      <c r="L13" s="26" t="s">
        <v>25</v>
      </c>
      <c r="M13" s="26" t="s">
        <v>93</v>
      </c>
      <c r="N13" s="26" t="s">
        <v>855</v>
      </c>
      <c r="O13" s="26" t="s">
        <v>10</v>
      </c>
      <c r="P13" s="26" t="s">
        <v>9</v>
      </c>
      <c r="Q13" s="26" t="s">
        <v>10</v>
      </c>
      <c r="R13" s="26" t="s">
        <v>79</v>
      </c>
      <c r="S13" s="26" t="s">
        <v>1396</v>
      </c>
      <c r="T13" s="26"/>
      <c r="U13" s="26"/>
    </row>
    <row r="14" spans="1:21" ht="18.95" customHeight="1">
      <c r="A14" s="48">
        <v>107</v>
      </c>
      <c r="B14" s="80"/>
      <c r="C14" s="80"/>
      <c r="D14" s="80"/>
      <c r="E14" s="80"/>
      <c r="F14" s="81"/>
      <c r="G14" s="36" t="s">
        <v>14</v>
      </c>
      <c r="H14" s="26" t="s">
        <v>314</v>
      </c>
      <c r="I14" s="26">
        <v>26</v>
      </c>
      <c r="J14" s="26">
        <v>160</v>
      </c>
      <c r="K14" s="26" t="s">
        <v>315</v>
      </c>
      <c r="L14" s="26" t="s">
        <v>62</v>
      </c>
      <c r="M14" s="26" t="s">
        <v>458</v>
      </c>
      <c r="N14" s="26" t="s">
        <v>316</v>
      </c>
      <c r="O14" s="26" t="s">
        <v>35</v>
      </c>
      <c r="P14" s="26" t="s">
        <v>56</v>
      </c>
      <c r="Q14" s="26" t="s">
        <v>10</v>
      </c>
      <c r="R14" s="26" t="s">
        <v>319</v>
      </c>
      <c r="S14" s="26" t="s">
        <v>317</v>
      </c>
      <c r="T14" s="26" t="s">
        <v>318</v>
      </c>
      <c r="U14" s="26">
        <v>0</v>
      </c>
    </row>
    <row r="15" spans="1:21" ht="18.95" customHeight="1">
      <c r="A15" s="107">
        <v>233</v>
      </c>
      <c r="B15" s="88"/>
      <c r="C15" s="88"/>
      <c r="D15" s="88"/>
      <c r="F15" s="87"/>
      <c r="G15" s="26" t="s">
        <v>14</v>
      </c>
      <c r="H15" s="26" t="s">
        <v>1250</v>
      </c>
      <c r="I15" s="26">
        <v>26</v>
      </c>
      <c r="J15" s="26">
        <v>168</v>
      </c>
      <c r="K15" s="26" t="s">
        <v>1251</v>
      </c>
      <c r="L15" s="26" t="s">
        <v>62</v>
      </c>
      <c r="M15" s="26" t="s">
        <v>93</v>
      </c>
      <c r="N15" s="26" t="s">
        <v>24</v>
      </c>
      <c r="O15" s="26" t="s">
        <v>10</v>
      </c>
      <c r="P15" s="26" t="s">
        <v>9</v>
      </c>
      <c r="Q15" s="26" t="s">
        <v>10</v>
      </c>
      <c r="R15" s="26" t="s">
        <v>11</v>
      </c>
      <c r="S15" s="26" t="s">
        <v>1252</v>
      </c>
      <c r="T15" s="26" t="s">
        <v>1253</v>
      </c>
      <c r="U15" s="26">
        <v>0</v>
      </c>
    </row>
    <row r="16" spans="1:21" ht="18.95" customHeight="1">
      <c r="A16" s="107">
        <v>20</v>
      </c>
      <c r="B16" s="81"/>
      <c r="C16" s="81"/>
      <c r="D16" s="81"/>
      <c r="E16" s="80"/>
      <c r="F16" s="81"/>
      <c r="G16" s="36" t="s">
        <v>14</v>
      </c>
      <c r="H16" s="26" t="s">
        <v>959</v>
      </c>
      <c r="I16" s="26">
        <v>26</v>
      </c>
      <c r="J16" s="26">
        <v>161</v>
      </c>
      <c r="K16" s="26" t="s">
        <v>960</v>
      </c>
      <c r="L16" s="26" t="s">
        <v>33</v>
      </c>
      <c r="M16" s="26" t="s">
        <v>15</v>
      </c>
      <c r="N16" s="26" t="s">
        <v>480</v>
      </c>
      <c r="O16" s="26" t="s">
        <v>961</v>
      </c>
      <c r="P16" s="26" t="s">
        <v>31</v>
      </c>
      <c r="Q16" s="26" t="s">
        <v>57</v>
      </c>
      <c r="R16" s="26" t="s">
        <v>10</v>
      </c>
      <c r="S16" s="26" t="s">
        <v>962</v>
      </c>
      <c r="T16" s="26" t="s">
        <v>963</v>
      </c>
      <c r="U16" s="26">
        <v>0</v>
      </c>
    </row>
    <row r="17" spans="1:21" ht="18.95" customHeight="1">
      <c r="A17" s="107">
        <v>77</v>
      </c>
      <c r="B17" s="81"/>
      <c r="C17" s="81"/>
      <c r="D17" s="81"/>
      <c r="E17" s="80"/>
      <c r="F17" s="81"/>
      <c r="G17" s="26" t="s">
        <v>14</v>
      </c>
      <c r="H17" s="26" t="s">
        <v>621</v>
      </c>
      <c r="I17" s="26">
        <v>26</v>
      </c>
      <c r="J17" s="26">
        <v>155</v>
      </c>
      <c r="K17" s="26" t="s">
        <v>622</v>
      </c>
      <c r="L17" s="26" t="s">
        <v>460</v>
      </c>
      <c r="M17" s="26" t="s">
        <v>15</v>
      </c>
      <c r="N17" s="4" t="s">
        <v>68</v>
      </c>
      <c r="O17" s="4" t="s">
        <v>623</v>
      </c>
      <c r="P17" s="4" t="s">
        <v>9</v>
      </c>
      <c r="Q17" s="4" t="s">
        <v>10</v>
      </c>
      <c r="R17" s="4" t="s">
        <v>10</v>
      </c>
      <c r="S17" s="4" t="s">
        <v>624</v>
      </c>
      <c r="T17" s="4" t="s">
        <v>625</v>
      </c>
      <c r="U17" s="4">
        <v>0</v>
      </c>
    </row>
    <row r="18" spans="1:21" ht="18.95" customHeight="1">
      <c r="A18" s="48">
        <v>3</v>
      </c>
      <c r="B18" s="81"/>
      <c r="C18" s="81"/>
      <c r="D18" s="81"/>
      <c r="E18" s="80"/>
      <c r="F18" s="81"/>
      <c r="G18" s="26" t="s">
        <v>8</v>
      </c>
      <c r="H18" s="26" t="s">
        <v>781</v>
      </c>
      <c r="I18" s="26">
        <v>27</v>
      </c>
      <c r="J18" s="26">
        <v>172</v>
      </c>
      <c r="K18" s="26" t="s">
        <v>782</v>
      </c>
      <c r="L18" s="26" t="s">
        <v>768</v>
      </c>
      <c r="M18" s="26" t="s">
        <v>22</v>
      </c>
      <c r="N18" s="26" t="s">
        <v>252</v>
      </c>
      <c r="O18" s="26" t="s">
        <v>10</v>
      </c>
      <c r="P18" s="26" t="s">
        <v>31</v>
      </c>
      <c r="Q18" s="26" t="s">
        <v>57</v>
      </c>
      <c r="R18" s="26" t="s">
        <v>10</v>
      </c>
      <c r="S18" s="26" t="s">
        <v>783</v>
      </c>
      <c r="T18" s="26" t="s">
        <v>784</v>
      </c>
      <c r="U18" s="26">
        <v>0</v>
      </c>
    </row>
    <row r="19" spans="1:21" ht="18.95" customHeight="1">
      <c r="A19" s="48">
        <v>174</v>
      </c>
      <c r="B19" s="81"/>
      <c r="C19" s="81"/>
      <c r="D19" s="81"/>
      <c r="E19" s="80"/>
      <c r="F19" s="81"/>
      <c r="G19" s="26" t="s">
        <v>8</v>
      </c>
      <c r="H19" s="26" t="s">
        <v>735</v>
      </c>
      <c r="I19" s="26">
        <v>27</v>
      </c>
      <c r="J19" s="26">
        <v>172</v>
      </c>
      <c r="K19" s="26" t="s">
        <v>736</v>
      </c>
      <c r="L19" s="26" t="s">
        <v>737</v>
      </c>
      <c r="M19" s="26" t="s">
        <v>22</v>
      </c>
      <c r="N19" s="26" t="s">
        <v>68</v>
      </c>
      <c r="O19" s="26" t="s">
        <v>10</v>
      </c>
      <c r="P19" s="26" t="s">
        <v>20</v>
      </c>
      <c r="Q19" s="26" t="s">
        <v>10</v>
      </c>
      <c r="R19" s="26" t="s">
        <v>10</v>
      </c>
      <c r="S19" s="26" t="s">
        <v>738</v>
      </c>
      <c r="T19" s="26" t="s">
        <v>739</v>
      </c>
      <c r="U19" s="26">
        <v>0</v>
      </c>
    </row>
    <row r="20" spans="1:21" ht="18.95" customHeight="1">
      <c r="A20" s="48">
        <v>340</v>
      </c>
      <c r="F20" s="87"/>
      <c r="G20" s="36" t="s">
        <v>8</v>
      </c>
      <c r="H20" s="26" t="s">
        <v>1909</v>
      </c>
      <c r="I20" s="26">
        <v>27</v>
      </c>
      <c r="J20" s="26">
        <v>183</v>
      </c>
      <c r="K20" s="26" t="s">
        <v>1910</v>
      </c>
      <c r="L20" s="26" t="s">
        <v>33</v>
      </c>
      <c r="M20" s="26" t="s">
        <v>774</v>
      </c>
      <c r="N20" s="26" t="s">
        <v>66</v>
      </c>
      <c r="O20" s="26" t="s">
        <v>10</v>
      </c>
      <c r="P20" s="26" t="s">
        <v>31</v>
      </c>
      <c r="Q20" s="26" t="s">
        <v>10</v>
      </c>
      <c r="R20" s="26" t="s">
        <v>1912</v>
      </c>
      <c r="S20" s="26">
        <v>0</v>
      </c>
      <c r="T20" s="26" t="s">
        <v>1911</v>
      </c>
      <c r="U20" s="26" t="s">
        <v>1913</v>
      </c>
    </row>
    <row r="21" spans="1:21" ht="18.95" customHeight="1">
      <c r="A21" s="1">
        <v>212</v>
      </c>
      <c r="B21" s="83" t="s">
        <v>1164</v>
      </c>
      <c r="C21" s="83"/>
      <c r="D21" s="83"/>
      <c r="E21" s="80"/>
      <c r="F21" s="81"/>
      <c r="G21" s="26" t="s">
        <v>14</v>
      </c>
      <c r="H21" s="36" t="s">
        <v>1134</v>
      </c>
      <c r="I21" s="26">
        <v>27</v>
      </c>
      <c r="J21" s="26">
        <v>156</v>
      </c>
      <c r="K21" s="26" t="s">
        <v>1155</v>
      </c>
      <c r="L21" s="26" t="s">
        <v>1156</v>
      </c>
      <c r="M21" s="26" t="s">
        <v>93</v>
      </c>
      <c r="N21" s="26" t="s">
        <v>28</v>
      </c>
      <c r="O21" s="26" t="s">
        <v>10</v>
      </c>
      <c r="P21" s="26" t="s">
        <v>9</v>
      </c>
      <c r="Q21" s="26" t="s">
        <v>29</v>
      </c>
      <c r="R21" s="26">
        <v>0</v>
      </c>
      <c r="S21" s="26" t="s">
        <v>1157</v>
      </c>
      <c r="T21" s="26">
        <v>0</v>
      </c>
      <c r="U21" s="26">
        <v>0</v>
      </c>
    </row>
    <row r="22" spans="1:21" ht="18.95" customHeight="1">
      <c r="A22" s="48">
        <v>193</v>
      </c>
      <c r="B22" s="83" t="s">
        <v>1122</v>
      </c>
      <c r="C22" s="83"/>
      <c r="D22" s="83"/>
      <c r="E22" s="80"/>
      <c r="F22" s="81"/>
      <c r="G22" s="26" t="s">
        <v>14</v>
      </c>
      <c r="H22" s="36" t="s">
        <v>570</v>
      </c>
      <c r="I22" s="26">
        <v>27</v>
      </c>
      <c r="J22" s="26">
        <v>165</v>
      </c>
      <c r="K22" s="26" t="s">
        <v>571</v>
      </c>
      <c r="L22" s="26" t="s">
        <v>460</v>
      </c>
      <c r="M22" s="26" t="s">
        <v>93</v>
      </c>
      <c r="N22" s="26" t="s">
        <v>68</v>
      </c>
      <c r="O22" s="26" t="s">
        <v>572</v>
      </c>
      <c r="P22" s="26" t="s">
        <v>9</v>
      </c>
      <c r="Q22" s="26" t="s">
        <v>29</v>
      </c>
      <c r="R22" s="26" t="s">
        <v>11</v>
      </c>
      <c r="S22" s="26" t="s">
        <v>573</v>
      </c>
      <c r="T22" s="26" t="s">
        <v>574</v>
      </c>
      <c r="U22" s="26" t="s">
        <v>575</v>
      </c>
    </row>
    <row r="23" spans="1:21" ht="18.95" customHeight="1">
      <c r="A23" s="48">
        <v>331</v>
      </c>
      <c r="B23" s="83" t="s">
        <v>1121</v>
      </c>
      <c r="C23" s="83"/>
      <c r="D23" s="83"/>
      <c r="F23" s="87"/>
      <c r="G23" s="26" t="s">
        <v>1148</v>
      </c>
      <c r="H23" s="26" t="s">
        <v>1844</v>
      </c>
      <c r="I23" s="26">
        <v>27</v>
      </c>
      <c r="J23" s="26">
        <v>164</v>
      </c>
      <c r="K23" s="26" t="s">
        <v>1845</v>
      </c>
      <c r="L23" s="26" t="s">
        <v>25</v>
      </c>
      <c r="M23" s="26" t="s">
        <v>93</v>
      </c>
      <c r="N23" s="26" t="s">
        <v>35</v>
      </c>
      <c r="O23" s="26" t="s">
        <v>1841</v>
      </c>
      <c r="P23" s="26" t="s">
        <v>9</v>
      </c>
      <c r="Q23" s="26" t="s">
        <v>29</v>
      </c>
      <c r="R23" s="26" t="s">
        <v>707</v>
      </c>
      <c r="S23" s="26" t="s">
        <v>1842</v>
      </c>
      <c r="T23" s="26" t="s">
        <v>1843</v>
      </c>
      <c r="U23" s="26"/>
    </row>
    <row r="24" spans="1:21" ht="18.95" customHeight="1">
      <c r="A24" s="48">
        <v>341</v>
      </c>
      <c r="B24" s="79" t="s">
        <v>1977</v>
      </c>
      <c r="F24" s="87"/>
      <c r="G24" s="26" t="s">
        <v>14</v>
      </c>
      <c r="H24" s="26" t="s">
        <v>1914</v>
      </c>
      <c r="I24" s="26">
        <v>27</v>
      </c>
      <c r="J24" s="26">
        <v>167</v>
      </c>
      <c r="K24" s="26" t="s">
        <v>294</v>
      </c>
      <c r="L24" s="26" t="s">
        <v>459</v>
      </c>
      <c r="M24" s="26" t="s">
        <v>458</v>
      </c>
      <c r="N24" s="26" t="s">
        <v>59</v>
      </c>
      <c r="O24" s="26" t="s">
        <v>1915</v>
      </c>
      <c r="P24" s="26" t="s">
        <v>9</v>
      </c>
      <c r="Q24" s="26" t="s">
        <v>57</v>
      </c>
      <c r="R24" s="26" t="s">
        <v>133</v>
      </c>
      <c r="S24" s="26" t="s">
        <v>1916</v>
      </c>
      <c r="T24" s="26" t="s">
        <v>1917</v>
      </c>
      <c r="U24" s="26">
        <v>0</v>
      </c>
    </row>
    <row r="25" spans="1:21" ht="18.95" customHeight="1">
      <c r="A25" s="48">
        <v>145</v>
      </c>
      <c r="B25" s="81"/>
      <c r="C25" s="81"/>
      <c r="D25" s="81"/>
      <c r="E25" s="80"/>
      <c r="F25" s="81"/>
      <c r="G25" s="26" t="s">
        <v>14</v>
      </c>
      <c r="H25" s="26" t="s">
        <v>993</v>
      </c>
      <c r="I25" s="26">
        <v>27</v>
      </c>
      <c r="J25" s="26">
        <v>153</v>
      </c>
      <c r="K25" s="26" t="s">
        <v>273</v>
      </c>
      <c r="L25" s="26" t="s">
        <v>25</v>
      </c>
      <c r="M25" s="26" t="s">
        <v>15</v>
      </c>
      <c r="N25" s="26" t="s">
        <v>35</v>
      </c>
      <c r="O25" s="26" t="s">
        <v>10</v>
      </c>
      <c r="P25" s="26" t="s">
        <v>9</v>
      </c>
      <c r="Q25" s="26" t="s">
        <v>29</v>
      </c>
      <c r="R25" s="26" t="s">
        <v>10</v>
      </c>
      <c r="S25" s="26" t="s">
        <v>995</v>
      </c>
      <c r="T25" s="26" t="s">
        <v>996</v>
      </c>
      <c r="U25" s="26">
        <v>0</v>
      </c>
    </row>
    <row r="26" spans="1:21" ht="18.95" customHeight="1">
      <c r="A26" s="48">
        <v>253</v>
      </c>
      <c r="B26" s="86"/>
      <c r="C26" s="86"/>
      <c r="D26" s="86"/>
      <c r="F26" s="87"/>
      <c r="G26" s="26" t="s">
        <v>14</v>
      </c>
      <c r="H26" s="36" t="s">
        <v>1378</v>
      </c>
      <c r="I26" s="26">
        <v>27</v>
      </c>
      <c r="J26" s="26">
        <v>163</v>
      </c>
      <c r="K26" s="26" t="s">
        <v>1379</v>
      </c>
      <c r="L26" s="26" t="s">
        <v>459</v>
      </c>
      <c r="M26" s="26" t="s">
        <v>55</v>
      </c>
      <c r="N26" s="26" t="s">
        <v>290</v>
      </c>
      <c r="O26" s="26" t="s">
        <v>10</v>
      </c>
      <c r="P26" s="26" t="s">
        <v>9</v>
      </c>
      <c r="Q26" s="26" t="s">
        <v>29</v>
      </c>
      <c r="R26" s="26" t="s">
        <v>1084</v>
      </c>
      <c r="S26" s="26" t="s">
        <v>1380</v>
      </c>
      <c r="T26" s="26" t="s">
        <v>1381</v>
      </c>
      <c r="U26" s="26"/>
    </row>
    <row r="27" spans="1:21" ht="18.95" customHeight="1">
      <c r="A27" s="48">
        <v>273</v>
      </c>
      <c r="F27" s="87"/>
      <c r="G27" s="26" t="s">
        <v>14</v>
      </c>
      <c r="H27" s="36" t="s">
        <v>1492</v>
      </c>
      <c r="I27" s="26">
        <v>27</v>
      </c>
      <c r="J27" s="26">
        <v>166</v>
      </c>
      <c r="K27" s="26" t="s">
        <v>1493</v>
      </c>
      <c r="L27" s="26" t="s">
        <v>459</v>
      </c>
      <c r="M27" s="26" t="s">
        <v>93</v>
      </c>
      <c r="N27" s="26" t="s">
        <v>633</v>
      </c>
      <c r="O27" s="26" t="s">
        <v>10</v>
      </c>
      <c r="P27" s="26" t="s">
        <v>9</v>
      </c>
      <c r="Q27" s="26" t="s">
        <v>10</v>
      </c>
      <c r="R27" s="26" t="s">
        <v>10</v>
      </c>
      <c r="S27" s="26" t="s">
        <v>1494</v>
      </c>
      <c r="T27" s="26" t="s">
        <v>1495</v>
      </c>
      <c r="U27" s="26">
        <v>0</v>
      </c>
    </row>
    <row r="28" spans="1:21" ht="18.95" customHeight="1">
      <c r="A28" s="48">
        <v>38</v>
      </c>
      <c r="B28" s="80"/>
      <c r="C28" s="80"/>
      <c r="D28" s="80"/>
      <c r="E28" s="80"/>
      <c r="F28" s="81"/>
      <c r="G28" s="26" t="s">
        <v>14</v>
      </c>
      <c r="H28" s="26" t="s">
        <v>153</v>
      </c>
      <c r="I28" s="26">
        <v>27</v>
      </c>
      <c r="J28" s="26">
        <v>160</v>
      </c>
      <c r="K28" s="26" t="s">
        <v>154</v>
      </c>
      <c r="L28" s="26" t="s">
        <v>25</v>
      </c>
      <c r="M28" s="26" t="s">
        <v>458</v>
      </c>
      <c r="N28" s="26" t="s">
        <v>12</v>
      </c>
      <c r="O28" s="26" t="s">
        <v>155</v>
      </c>
      <c r="P28" s="26" t="s">
        <v>9</v>
      </c>
      <c r="Q28" s="26" t="s">
        <v>29</v>
      </c>
      <c r="R28" s="26" t="s">
        <v>10</v>
      </c>
      <c r="S28" s="26" t="s">
        <v>156</v>
      </c>
      <c r="T28" s="26" t="s">
        <v>157</v>
      </c>
      <c r="U28" s="26">
        <v>0</v>
      </c>
    </row>
    <row r="29" spans="1:21" ht="18.95" customHeight="1">
      <c r="A29" s="48">
        <v>192</v>
      </c>
      <c r="B29" s="81"/>
      <c r="C29" s="81"/>
      <c r="D29" s="81"/>
      <c r="E29" s="80"/>
      <c r="F29" s="81"/>
      <c r="G29" s="26" t="s">
        <v>14</v>
      </c>
      <c r="H29" s="26" t="s">
        <v>180</v>
      </c>
      <c r="I29" s="36">
        <v>27</v>
      </c>
      <c r="J29" s="26">
        <v>165</v>
      </c>
      <c r="K29" s="26" t="s">
        <v>181</v>
      </c>
      <c r="L29" s="26" t="s">
        <v>25</v>
      </c>
      <c r="M29" s="26" t="s">
        <v>93</v>
      </c>
      <c r="N29" s="26" t="s">
        <v>76</v>
      </c>
      <c r="O29" s="26" t="s">
        <v>182</v>
      </c>
      <c r="P29" s="26" t="s">
        <v>9</v>
      </c>
      <c r="Q29" s="26" t="s">
        <v>10</v>
      </c>
      <c r="R29" s="26" t="s">
        <v>10</v>
      </c>
      <c r="S29" s="26" t="s">
        <v>183</v>
      </c>
      <c r="T29" s="26" t="s">
        <v>184</v>
      </c>
      <c r="U29" s="26">
        <v>0</v>
      </c>
    </row>
    <row r="30" spans="1:21" ht="16.5" customHeight="1">
      <c r="A30" s="107">
        <v>34</v>
      </c>
      <c r="B30" s="80"/>
      <c r="C30" s="80"/>
      <c r="D30" s="80"/>
      <c r="E30" s="80"/>
      <c r="F30" s="81"/>
      <c r="G30" s="36" t="s">
        <v>14</v>
      </c>
      <c r="H30" s="26" t="s">
        <v>419</v>
      </c>
      <c r="I30" s="26">
        <v>27</v>
      </c>
      <c r="J30" s="26">
        <v>169</v>
      </c>
      <c r="K30" s="26" t="s">
        <v>420</v>
      </c>
      <c r="L30" s="26" t="s">
        <v>25</v>
      </c>
      <c r="M30" s="26" t="s">
        <v>15</v>
      </c>
      <c r="N30" s="26" t="s">
        <v>76</v>
      </c>
      <c r="O30" s="26" t="s">
        <v>10</v>
      </c>
      <c r="P30" s="26" t="s">
        <v>9</v>
      </c>
      <c r="Q30" s="26" t="s">
        <v>10</v>
      </c>
      <c r="R30" s="26" t="s">
        <v>10</v>
      </c>
      <c r="S30" s="26" t="s">
        <v>421</v>
      </c>
      <c r="T30" s="26" t="s">
        <v>422</v>
      </c>
      <c r="U30" s="26">
        <v>0</v>
      </c>
    </row>
    <row r="31" spans="1:21" ht="16.5" customHeight="1">
      <c r="A31" s="107">
        <v>366</v>
      </c>
      <c r="B31" s="81"/>
      <c r="C31" s="81"/>
      <c r="D31" s="81"/>
      <c r="E31" s="80"/>
      <c r="F31" s="81"/>
      <c r="G31" s="26" t="s">
        <v>14</v>
      </c>
      <c r="H31" s="26" t="s">
        <v>2717</v>
      </c>
      <c r="I31" s="26">
        <v>27</v>
      </c>
      <c r="J31" s="26">
        <v>162</v>
      </c>
      <c r="K31" s="26" t="s">
        <v>2658</v>
      </c>
      <c r="L31" s="26" t="s">
        <v>459</v>
      </c>
      <c r="M31" s="26" t="s">
        <v>93</v>
      </c>
      <c r="N31" s="4" t="s">
        <v>19</v>
      </c>
      <c r="O31" s="4" t="s">
        <v>10</v>
      </c>
      <c r="P31" s="4" t="s">
        <v>9</v>
      </c>
      <c r="Q31" s="4" t="s">
        <v>10</v>
      </c>
      <c r="R31" s="4" t="s">
        <v>10</v>
      </c>
      <c r="S31" s="4" t="s">
        <v>2718</v>
      </c>
      <c r="T31" s="4" t="s">
        <v>2719</v>
      </c>
      <c r="U31" s="4">
        <v>0</v>
      </c>
    </row>
    <row r="32" spans="1:21" ht="16.5" customHeight="1">
      <c r="A32" s="48">
        <v>391</v>
      </c>
      <c r="C32" s="79" t="s">
        <v>3102</v>
      </c>
      <c r="G32" s="26" t="s">
        <v>8</v>
      </c>
      <c r="H32" s="26" t="s">
        <v>3086</v>
      </c>
      <c r="I32" s="26">
        <v>27</v>
      </c>
      <c r="J32" s="26">
        <v>180</v>
      </c>
      <c r="K32" s="26" t="s">
        <v>3101</v>
      </c>
      <c r="L32" s="26" t="s">
        <v>62</v>
      </c>
      <c r="M32" s="26" t="s">
        <v>591</v>
      </c>
      <c r="N32" s="26" t="s">
        <v>13</v>
      </c>
      <c r="O32" s="26" t="s">
        <v>10</v>
      </c>
      <c r="P32" s="26" t="s">
        <v>9</v>
      </c>
      <c r="Q32" s="26" t="s">
        <v>10</v>
      </c>
      <c r="R32" s="26" t="s">
        <v>10</v>
      </c>
      <c r="S32" s="26" t="s">
        <v>3095</v>
      </c>
      <c r="T32" s="26" t="s">
        <v>3097</v>
      </c>
      <c r="U32" s="26">
        <v>0</v>
      </c>
    </row>
    <row r="33" spans="1:21" ht="16.5" customHeight="1">
      <c r="A33" s="48">
        <v>286</v>
      </c>
      <c r="G33" s="26" t="s">
        <v>8</v>
      </c>
      <c r="H33" s="26" t="s">
        <v>1545</v>
      </c>
      <c r="I33" s="26">
        <v>28</v>
      </c>
      <c r="J33" s="26">
        <v>187</v>
      </c>
      <c r="K33" s="26" t="s">
        <v>1546</v>
      </c>
      <c r="L33" s="26" t="s">
        <v>767</v>
      </c>
      <c r="M33" s="26" t="s">
        <v>769</v>
      </c>
      <c r="N33" s="26" t="s">
        <v>28</v>
      </c>
      <c r="O33" s="26" t="s">
        <v>10</v>
      </c>
      <c r="P33" s="26" t="s">
        <v>9</v>
      </c>
      <c r="Q33" s="26" t="s">
        <v>10</v>
      </c>
      <c r="R33" s="26" t="s">
        <v>10</v>
      </c>
      <c r="S33" s="26" t="s">
        <v>1547</v>
      </c>
      <c r="T33" s="26">
        <v>0</v>
      </c>
      <c r="U33" s="26">
        <v>0</v>
      </c>
    </row>
    <row r="34" spans="1:21" ht="16.5" customHeight="1">
      <c r="A34" s="48">
        <v>326</v>
      </c>
      <c r="B34" s="81"/>
      <c r="C34" s="81"/>
      <c r="D34" s="81"/>
      <c r="E34" s="80"/>
      <c r="F34" s="80"/>
      <c r="G34" s="36" t="s">
        <v>8</v>
      </c>
      <c r="H34" s="26" t="s">
        <v>1802</v>
      </c>
      <c r="I34" s="26">
        <v>28</v>
      </c>
      <c r="J34" s="26">
        <v>171</v>
      </c>
      <c r="K34" s="26" t="s">
        <v>198</v>
      </c>
      <c r="L34" s="26" t="s">
        <v>459</v>
      </c>
      <c r="M34" s="26" t="s">
        <v>34</v>
      </c>
      <c r="N34" s="26" t="s">
        <v>1806</v>
      </c>
      <c r="O34" s="26" t="s">
        <v>10</v>
      </c>
      <c r="P34" s="26" t="s">
        <v>9</v>
      </c>
      <c r="Q34" s="26" t="s">
        <v>10</v>
      </c>
      <c r="R34" s="26" t="s">
        <v>10</v>
      </c>
      <c r="S34" s="26" t="s">
        <v>1803</v>
      </c>
      <c r="T34" s="26">
        <v>0</v>
      </c>
      <c r="U34" s="26" t="s">
        <v>1901</v>
      </c>
    </row>
    <row r="35" spans="1:21" ht="16.5" customHeight="1">
      <c r="A35" s="48">
        <v>19</v>
      </c>
      <c r="B35" s="81"/>
      <c r="C35" s="81"/>
      <c r="D35" s="81"/>
      <c r="E35" s="80"/>
      <c r="F35" s="80"/>
      <c r="G35" s="26" t="s">
        <v>8</v>
      </c>
      <c r="H35" s="26" t="s">
        <v>134</v>
      </c>
      <c r="I35" s="26">
        <v>28</v>
      </c>
      <c r="J35" s="26">
        <v>181</v>
      </c>
      <c r="K35" s="26" t="s">
        <v>135</v>
      </c>
      <c r="L35" s="26" t="s">
        <v>459</v>
      </c>
      <c r="M35" s="26" t="s">
        <v>34</v>
      </c>
      <c r="N35" s="26" t="s">
        <v>12</v>
      </c>
      <c r="O35" s="26" t="s">
        <v>10</v>
      </c>
      <c r="P35" s="26" t="s">
        <v>9</v>
      </c>
      <c r="Q35" s="26" t="s">
        <v>10</v>
      </c>
      <c r="R35" s="26" t="s">
        <v>10</v>
      </c>
      <c r="S35" s="26" t="s">
        <v>136</v>
      </c>
      <c r="T35" s="26" t="s">
        <v>137</v>
      </c>
      <c r="U35" s="26">
        <v>0</v>
      </c>
    </row>
    <row r="36" spans="1:21" ht="16.5" customHeight="1">
      <c r="A36" s="48">
        <v>71</v>
      </c>
      <c r="B36" s="81"/>
      <c r="C36" s="81"/>
      <c r="D36" s="81"/>
      <c r="E36" s="80"/>
      <c r="F36" s="80"/>
      <c r="G36" s="26" t="s">
        <v>8</v>
      </c>
      <c r="H36" s="26" t="s">
        <v>642</v>
      </c>
      <c r="I36" s="26">
        <v>28</v>
      </c>
      <c r="J36" s="26">
        <v>179</v>
      </c>
      <c r="K36" s="26" t="s">
        <v>974</v>
      </c>
      <c r="L36" s="26" t="s">
        <v>768</v>
      </c>
      <c r="M36" s="26" t="s">
        <v>774</v>
      </c>
      <c r="N36" s="26" t="s">
        <v>148</v>
      </c>
      <c r="O36" s="26" t="s">
        <v>10</v>
      </c>
      <c r="P36" s="26" t="s">
        <v>9</v>
      </c>
      <c r="Q36" s="26" t="s">
        <v>29</v>
      </c>
      <c r="R36" s="26">
        <v>0</v>
      </c>
      <c r="S36" s="26" t="s">
        <v>975</v>
      </c>
      <c r="T36" s="26" t="s">
        <v>976</v>
      </c>
      <c r="U36" s="26" t="s">
        <v>977</v>
      </c>
    </row>
    <row r="37" spans="1:21" ht="16.5" customHeight="1">
      <c r="A37" s="48">
        <v>372</v>
      </c>
      <c r="B37" s="81">
        <v>1</v>
      </c>
      <c r="C37" s="81"/>
      <c r="D37" s="81">
        <v>1</v>
      </c>
      <c r="E37" s="80"/>
      <c r="F37" s="81"/>
      <c r="G37" s="26" t="s">
        <v>14</v>
      </c>
      <c r="H37" s="103" t="s">
        <v>2734</v>
      </c>
      <c r="I37" s="26">
        <v>28</v>
      </c>
      <c r="J37" s="26">
        <v>174</v>
      </c>
      <c r="K37" s="26" t="s">
        <v>1931</v>
      </c>
      <c r="L37" s="26" t="s">
        <v>462</v>
      </c>
      <c r="M37" s="26" t="s">
        <v>93</v>
      </c>
      <c r="N37" s="4" t="s">
        <v>30</v>
      </c>
      <c r="O37" s="4" t="s">
        <v>10</v>
      </c>
      <c r="P37" s="4" t="s">
        <v>9</v>
      </c>
      <c r="Q37" s="4" t="s">
        <v>10</v>
      </c>
      <c r="R37" s="4" t="s">
        <v>10</v>
      </c>
      <c r="S37" s="4" t="s">
        <v>2735</v>
      </c>
      <c r="T37" s="4" t="s">
        <v>2736</v>
      </c>
      <c r="U37" s="4" t="s">
        <v>2695</v>
      </c>
    </row>
    <row r="38" spans="1:21" ht="16.5" customHeight="1">
      <c r="A38" s="48">
        <v>219</v>
      </c>
      <c r="B38" s="88">
        <v>1</v>
      </c>
      <c r="C38" s="88"/>
      <c r="D38" s="88"/>
      <c r="E38" s="80"/>
      <c r="F38" s="80"/>
      <c r="G38" s="26" t="s">
        <v>14</v>
      </c>
      <c r="H38" s="26" t="s">
        <v>1189</v>
      </c>
      <c r="I38" s="26">
        <v>28</v>
      </c>
      <c r="J38" s="26">
        <v>171.8</v>
      </c>
      <c r="K38" s="26" t="s">
        <v>1190</v>
      </c>
      <c r="L38" s="26" t="s">
        <v>25</v>
      </c>
      <c r="M38" s="26" t="s">
        <v>93</v>
      </c>
      <c r="N38" s="26" t="s">
        <v>105</v>
      </c>
      <c r="O38" s="26" t="s">
        <v>1191</v>
      </c>
      <c r="P38" s="26" t="s">
        <v>31</v>
      </c>
      <c r="Q38" s="26" t="s">
        <v>10</v>
      </c>
      <c r="R38" s="26" t="s">
        <v>707</v>
      </c>
      <c r="S38" s="26" t="s">
        <v>1192</v>
      </c>
      <c r="T38" s="26" t="s">
        <v>1193</v>
      </c>
      <c r="U38" s="26">
        <v>0</v>
      </c>
    </row>
    <row r="39" spans="1:21" ht="16.5" customHeight="1">
      <c r="A39" s="48">
        <v>220</v>
      </c>
      <c r="B39" s="88">
        <v>1</v>
      </c>
      <c r="C39" s="88"/>
      <c r="D39" s="88"/>
      <c r="E39" s="80"/>
      <c r="F39" s="80"/>
      <c r="G39" s="26" t="s">
        <v>14</v>
      </c>
      <c r="H39" s="26" t="s">
        <v>1194</v>
      </c>
      <c r="I39" s="26">
        <v>28</v>
      </c>
      <c r="J39" s="26">
        <v>168</v>
      </c>
      <c r="K39" s="26" t="s">
        <v>1195</v>
      </c>
      <c r="L39" s="26" t="s">
        <v>460</v>
      </c>
      <c r="M39" s="26" t="s">
        <v>15</v>
      </c>
      <c r="N39" s="26" t="s">
        <v>12</v>
      </c>
      <c r="O39" s="26" t="s">
        <v>10</v>
      </c>
      <c r="P39" s="26" t="s">
        <v>9</v>
      </c>
      <c r="Q39" s="26" t="s">
        <v>10</v>
      </c>
      <c r="R39" s="26" t="s">
        <v>10</v>
      </c>
      <c r="S39" s="26" t="s">
        <v>1196</v>
      </c>
      <c r="T39" s="26" t="s">
        <v>1197</v>
      </c>
      <c r="U39" s="26" t="s">
        <v>1198</v>
      </c>
    </row>
    <row r="40" spans="1:21" ht="16.5" customHeight="1">
      <c r="A40" s="48">
        <v>221</v>
      </c>
      <c r="B40" s="88">
        <v>1</v>
      </c>
      <c r="C40" s="88"/>
      <c r="D40" s="88"/>
      <c r="E40" s="80"/>
      <c r="F40" s="80"/>
      <c r="G40" s="26" t="s">
        <v>14</v>
      </c>
      <c r="H40" s="26" t="s">
        <v>904</v>
      </c>
      <c r="I40" s="26">
        <v>28</v>
      </c>
      <c r="J40" s="26">
        <v>169</v>
      </c>
      <c r="K40" s="26" t="s">
        <v>1199</v>
      </c>
      <c r="L40" s="26" t="s">
        <v>462</v>
      </c>
      <c r="M40" s="26" t="s">
        <v>93</v>
      </c>
      <c r="N40" s="26" t="s">
        <v>68</v>
      </c>
      <c r="O40" s="26" t="s">
        <v>364</v>
      </c>
      <c r="P40" s="26" t="s">
        <v>61</v>
      </c>
      <c r="Q40" s="26" t="s">
        <v>10</v>
      </c>
      <c r="R40" s="26" t="s">
        <v>69</v>
      </c>
      <c r="S40" s="26" t="s">
        <v>1200</v>
      </c>
      <c r="T40" s="26" t="s">
        <v>1201</v>
      </c>
      <c r="U40" s="26">
        <v>0</v>
      </c>
    </row>
    <row r="41" spans="1:21" ht="16.5" customHeight="1">
      <c r="A41" s="48">
        <v>320</v>
      </c>
      <c r="B41" s="81">
        <v>1</v>
      </c>
      <c r="C41" s="81"/>
      <c r="D41" s="81"/>
      <c r="E41" s="80"/>
      <c r="F41" s="80"/>
      <c r="G41" s="36" t="s">
        <v>14</v>
      </c>
      <c r="H41" s="26" t="s">
        <v>1777</v>
      </c>
      <c r="I41" s="26">
        <v>28</v>
      </c>
      <c r="J41" s="26">
        <v>169</v>
      </c>
      <c r="K41" s="26" t="s">
        <v>1778</v>
      </c>
      <c r="L41" s="26" t="s">
        <v>25</v>
      </c>
      <c r="M41" s="26" t="s">
        <v>93</v>
      </c>
      <c r="N41" s="26" t="s">
        <v>252</v>
      </c>
      <c r="O41" s="26" t="s">
        <v>1779</v>
      </c>
      <c r="P41" s="26" t="s">
        <v>9</v>
      </c>
      <c r="Q41" s="26" t="s">
        <v>10</v>
      </c>
      <c r="R41" s="26" t="s">
        <v>10</v>
      </c>
      <c r="S41" s="26" t="s">
        <v>1780</v>
      </c>
      <c r="T41" s="26" t="s">
        <v>1781</v>
      </c>
      <c r="U41" s="26">
        <v>0</v>
      </c>
    </row>
    <row r="42" spans="1:21" ht="21" customHeight="1">
      <c r="A42" s="48">
        <v>256</v>
      </c>
      <c r="B42" s="78"/>
      <c r="C42" s="78"/>
      <c r="D42" s="78"/>
      <c r="F42" s="87"/>
      <c r="G42" s="26" t="s">
        <v>14</v>
      </c>
      <c r="H42" s="26" t="s">
        <v>1390</v>
      </c>
      <c r="I42" s="26">
        <v>28</v>
      </c>
      <c r="J42" s="26">
        <v>162</v>
      </c>
      <c r="K42" s="26" t="s">
        <v>1391</v>
      </c>
      <c r="L42" s="26" t="s">
        <v>25</v>
      </c>
      <c r="M42" s="26" t="s">
        <v>93</v>
      </c>
      <c r="N42" s="26" t="s">
        <v>66</v>
      </c>
      <c r="O42" s="26" t="s">
        <v>219</v>
      </c>
      <c r="P42" s="26" t="s">
        <v>9</v>
      </c>
      <c r="Q42" s="26" t="s">
        <v>10</v>
      </c>
      <c r="R42" s="26" t="s">
        <v>10</v>
      </c>
      <c r="S42" s="26" t="s">
        <v>1392</v>
      </c>
      <c r="T42" s="26" t="s">
        <v>1393</v>
      </c>
      <c r="U42" s="26"/>
    </row>
    <row r="43" spans="1:21" ht="21" customHeight="1">
      <c r="A43" s="48">
        <v>274</v>
      </c>
      <c r="F43" s="87"/>
      <c r="G43" s="26" t="s">
        <v>14</v>
      </c>
      <c r="H43" s="26" t="s">
        <v>1496</v>
      </c>
      <c r="I43" s="26">
        <v>28</v>
      </c>
      <c r="J43" s="26">
        <v>156</v>
      </c>
      <c r="K43" s="26" t="s">
        <v>1497</v>
      </c>
      <c r="L43" s="26" t="s">
        <v>25</v>
      </c>
      <c r="M43" s="26" t="s">
        <v>55</v>
      </c>
      <c r="N43" s="26" t="s">
        <v>28</v>
      </c>
      <c r="O43" s="26" t="s">
        <v>971</v>
      </c>
      <c r="P43" s="26" t="s">
        <v>31</v>
      </c>
      <c r="Q43" s="26" t="s">
        <v>10</v>
      </c>
      <c r="R43" s="26" t="s">
        <v>10</v>
      </c>
      <c r="S43" s="26" t="s">
        <v>1498</v>
      </c>
      <c r="T43" s="26" t="s">
        <v>1499</v>
      </c>
      <c r="U43" s="26">
        <v>0</v>
      </c>
    </row>
    <row r="44" spans="1:21" ht="21" customHeight="1">
      <c r="A44" s="48">
        <v>214</v>
      </c>
      <c r="B44" s="83"/>
      <c r="C44" s="83"/>
      <c r="D44" s="83"/>
      <c r="E44" s="80"/>
      <c r="F44" s="81"/>
      <c r="G44" s="26" t="s">
        <v>14</v>
      </c>
      <c r="H44" s="26" t="s">
        <v>1143</v>
      </c>
      <c r="I44" s="26">
        <v>28</v>
      </c>
      <c r="J44" s="26">
        <v>158</v>
      </c>
      <c r="K44" s="26" t="s">
        <v>1160</v>
      </c>
      <c r="L44" s="26" t="s">
        <v>1161</v>
      </c>
      <c r="M44" s="26" t="s">
        <v>1162</v>
      </c>
      <c r="N44" s="26" t="s">
        <v>884</v>
      </c>
      <c r="O44" s="26" t="s">
        <v>1147</v>
      </c>
      <c r="P44" s="26" t="s">
        <v>9</v>
      </c>
      <c r="Q44" s="26" t="s">
        <v>29</v>
      </c>
      <c r="R44" s="26">
        <v>0</v>
      </c>
      <c r="S44" s="26" t="s">
        <v>1163</v>
      </c>
      <c r="T44" s="26">
        <v>0</v>
      </c>
      <c r="U44" s="26">
        <v>0</v>
      </c>
    </row>
    <row r="45" spans="1:21" ht="21" customHeight="1">
      <c r="A45" s="48">
        <v>90</v>
      </c>
      <c r="B45" s="80"/>
      <c r="C45" s="80"/>
      <c r="D45" s="80"/>
      <c r="E45" s="80"/>
      <c r="F45" s="81"/>
      <c r="G45" s="36" t="s">
        <v>14</v>
      </c>
      <c r="H45" s="36" t="s">
        <v>241</v>
      </c>
      <c r="I45" s="26">
        <v>28</v>
      </c>
      <c r="J45" s="26">
        <v>158</v>
      </c>
      <c r="K45" s="26" t="s">
        <v>242</v>
      </c>
      <c r="L45" s="26" t="s">
        <v>460</v>
      </c>
      <c r="M45" s="26" t="s">
        <v>93</v>
      </c>
      <c r="N45" s="26" t="s">
        <v>243</v>
      </c>
      <c r="O45" s="26" t="s">
        <v>193</v>
      </c>
      <c r="P45" s="26" t="s">
        <v>31</v>
      </c>
      <c r="Q45" s="26" t="s">
        <v>29</v>
      </c>
      <c r="R45" s="26" t="s">
        <v>245</v>
      </c>
      <c r="S45" s="26" t="s">
        <v>86</v>
      </c>
      <c r="T45" s="26" t="s">
        <v>244</v>
      </c>
      <c r="U45" s="26">
        <v>0</v>
      </c>
    </row>
    <row r="46" spans="1:21" ht="21" customHeight="1">
      <c r="A46" s="48">
        <v>170</v>
      </c>
      <c r="B46" s="81"/>
      <c r="C46" s="81"/>
      <c r="D46" s="81"/>
      <c r="E46" s="80"/>
      <c r="F46" s="81"/>
      <c r="G46" s="36" t="s">
        <v>14</v>
      </c>
      <c r="H46" s="26" t="s">
        <v>899</v>
      </c>
      <c r="I46" s="26">
        <v>28</v>
      </c>
      <c r="J46" s="26">
        <v>160</v>
      </c>
      <c r="K46" s="26" t="s">
        <v>901</v>
      </c>
      <c r="L46" s="26" t="s">
        <v>25</v>
      </c>
      <c r="M46" s="26" t="s">
        <v>65</v>
      </c>
      <c r="N46" s="26" t="s">
        <v>30</v>
      </c>
      <c r="O46" s="26" t="s">
        <v>659</v>
      </c>
      <c r="P46" s="26" t="s">
        <v>9</v>
      </c>
      <c r="Q46" s="26" t="s">
        <v>29</v>
      </c>
      <c r="R46" s="26" t="s">
        <v>10</v>
      </c>
      <c r="S46" s="26" t="s">
        <v>902</v>
      </c>
      <c r="T46" s="26" t="s">
        <v>903</v>
      </c>
      <c r="U46" s="26">
        <v>0</v>
      </c>
    </row>
    <row r="47" spans="1:21" ht="21" customHeight="1">
      <c r="A47" s="48">
        <v>72</v>
      </c>
      <c r="B47" s="81"/>
      <c r="C47" s="81"/>
      <c r="D47" s="81"/>
      <c r="E47" s="80"/>
      <c r="F47" s="81"/>
      <c r="G47" s="26" t="s">
        <v>14</v>
      </c>
      <c r="H47" s="26" t="s">
        <v>642</v>
      </c>
      <c r="I47" s="26">
        <v>28</v>
      </c>
      <c r="J47" s="26">
        <v>162</v>
      </c>
      <c r="K47" s="26" t="s">
        <v>643</v>
      </c>
      <c r="L47" s="26" t="s">
        <v>25</v>
      </c>
      <c r="M47" s="26" t="s">
        <v>15</v>
      </c>
      <c r="N47" s="26" t="s">
        <v>59</v>
      </c>
      <c r="O47" s="26" t="s">
        <v>10</v>
      </c>
      <c r="P47" s="26" t="s">
        <v>20</v>
      </c>
      <c r="Q47" s="26" t="s">
        <v>29</v>
      </c>
      <c r="R47" s="26" t="s">
        <v>646</v>
      </c>
      <c r="S47" s="26" t="s">
        <v>644</v>
      </c>
      <c r="T47" s="26" t="s">
        <v>645</v>
      </c>
      <c r="U47" s="26" t="s">
        <v>647</v>
      </c>
    </row>
    <row r="48" spans="1:21">
      <c r="A48" s="48">
        <v>191</v>
      </c>
      <c r="B48" s="81"/>
      <c r="C48" s="81"/>
      <c r="D48" s="81"/>
      <c r="E48" s="80"/>
      <c r="F48" s="81"/>
      <c r="G48" s="36" t="s">
        <v>14</v>
      </c>
      <c r="H48" s="26" t="s">
        <v>343</v>
      </c>
      <c r="I48" s="26">
        <v>28</v>
      </c>
      <c r="J48" s="26">
        <v>167</v>
      </c>
      <c r="K48" s="26" t="s">
        <v>344</v>
      </c>
      <c r="L48" s="26" t="s">
        <v>460</v>
      </c>
      <c r="M48" s="26" t="s">
        <v>15</v>
      </c>
      <c r="N48" s="26" t="s">
        <v>12</v>
      </c>
      <c r="O48" s="26" t="s">
        <v>345</v>
      </c>
      <c r="P48" s="26" t="s">
        <v>9</v>
      </c>
      <c r="Q48" s="26" t="s">
        <v>10</v>
      </c>
      <c r="R48" s="26" t="s">
        <v>73</v>
      </c>
      <c r="S48" s="26" t="s">
        <v>346</v>
      </c>
      <c r="T48" s="26" t="s">
        <v>347</v>
      </c>
      <c r="U48" s="26">
        <v>0</v>
      </c>
    </row>
    <row r="49" spans="1:21">
      <c r="A49" s="48">
        <v>201</v>
      </c>
      <c r="B49" s="85"/>
      <c r="C49" s="85"/>
      <c r="D49" s="85"/>
      <c r="E49" s="80"/>
      <c r="F49" s="81"/>
      <c r="G49" s="26" t="s">
        <v>14</v>
      </c>
      <c r="H49" s="36" t="s">
        <v>730</v>
      </c>
      <c r="I49" s="26">
        <v>28</v>
      </c>
      <c r="J49" s="26">
        <v>162</v>
      </c>
      <c r="K49" s="26" t="s">
        <v>731</v>
      </c>
      <c r="L49" s="26" t="s">
        <v>25</v>
      </c>
      <c r="M49" s="26" t="s">
        <v>15</v>
      </c>
      <c r="N49" s="26" t="s">
        <v>732</v>
      </c>
      <c r="O49" s="26" t="s">
        <v>10</v>
      </c>
      <c r="P49" s="26" t="s">
        <v>9</v>
      </c>
      <c r="Q49" s="26" t="s">
        <v>10</v>
      </c>
      <c r="R49" s="26" t="s">
        <v>10</v>
      </c>
      <c r="S49" s="26" t="s">
        <v>733</v>
      </c>
      <c r="T49" s="26" t="s">
        <v>734</v>
      </c>
      <c r="U49" s="26">
        <v>0</v>
      </c>
    </row>
    <row r="50" spans="1:21">
      <c r="A50" s="48">
        <v>348</v>
      </c>
      <c r="F50" s="87"/>
      <c r="G50" s="26" t="s">
        <v>14</v>
      </c>
      <c r="H50" s="26" t="s">
        <v>1947</v>
      </c>
      <c r="I50" s="26">
        <v>28</v>
      </c>
      <c r="J50" s="26">
        <v>163</v>
      </c>
      <c r="K50" s="26" t="s">
        <v>273</v>
      </c>
      <c r="L50" s="26" t="s">
        <v>459</v>
      </c>
      <c r="M50" s="26" t="s">
        <v>93</v>
      </c>
      <c r="N50" s="26" t="s">
        <v>35</v>
      </c>
      <c r="O50" s="26" t="s">
        <v>1948</v>
      </c>
      <c r="P50" s="26" t="s">
        <v>9</v>
      </c>
      <c r="Q50" s="26" t="s">
        <v>29</v>
      </c>
      <c r="R50" s="26" t="s">
        <v>69</v>
      </c>
      <c r="S50" s="26" t="s">
        <v>1949</v>
      </c>
      <c r="T50" s="26" t="s">
        <v>1950</v>
      </c>
      <c r="U50" s="26" t="s">
        <v>1951</v>
      </c>
    </row>
    <row r="51" spans="1:21">
      <c r="A51" s="48">
        <v>389</v>
      </c>
      <c r="B51" s="80"/>
      <c r="C51" s="80"/>
      <c r="D51" s="80" t="s">
        <v>3056</v>
      </c>
      <c r="E51" s="80"/>
      <c r="F51" s="80"/>
      <c r="G51" s="26" t="s">
        <v>14</v>
      </c>
      <c r="H51" s="26" t="s">
        <v>3058</v>
      </c>
      <c r="I51" s="26">
        <v>28</v>
      </c>
      <c r="J51" s="26">
        <v>163</v>
      </c>
      <c r="K51" s="26" t="s">
        <v>3061</v>
      </c>
      <c r="L51" s="26" t="s">
        <v>459</v>
      </c>
      <c r="M51" s="26" t="s">
        <v>458</v>
      </c>
      <c r="N51" s="26" t="s">
        <v>3063</v>
      </c>
      <c r="O51" s="26" t="s">
        <v>3064</v>
      </c>
      <c r="P51" s="26" t="s">
        <v>9</v>
      </c>
      <c r="Q51" s="26" t="s">
        <v>29</v>
      </c>
      <c r="R51" s="26" t="s">
        <v>324</v>
      </c>
      <c r="S51" s="26" t="s">
        <v>3065</v>
      </c>
      <c r="T51" s="26" t="s">
        <v>3066</v>
      </c>
      <c r="U51" s="26">
        <v>0</v>
      </c>
    </row>
    <row r="52" spans="1:21">
      <c r="A52" s="48">
        <v>222</v>
      </c>
      <c r="B52" s="88">
        <v>1</v>
      </c>
      <c r="C52" s="88"/>
      <c r="D52" s="88"/>
      <c r="E52" s="80"/>
      <c r="F52" s="80"/>
      <c r="G52" s="26" t="s">
        <v>8</v>
      </c>
      <c r="H52" s="26" t="s">
        <v>1202</v>
      </c>
      <c r="I52" s="26">
        <v>29</v>
      </c>
      <c r="J52" s="26">
        <v>174</v>
      </c>
      <c r="K52" s="26" t="s">
        <v>1203</v>
      </c>
      <c r="L52" s="26" t="s">
        <v>25</v>
      </c>
      <c r="M52" s="26" t="s">
        <v>64</v>
      </c>
      <c r="N52" s="26" t="s">
        <v>530</v>
      </c>
      <c r="O52" s="26" t="s">
        <v>10</v>
      </c>
      <c r="P52" s="26" t="s">
        <v>9</v>
      </c>
      <c r="Q52" s="26" t="s">
        <v>29</v>
      </c>
      <c r="R52" s="26" t="s">
        <v>10</v>
      </c>
      <c r="S52" s="26" t="s">
        <v>1204</v>
      </c>
      <c r="T52" s="26" t="s">
        <v>1205</v>
      </c>
      <c r="U52" s="26">
        <v>0</v>
      </c>
    </row>
    <row r="53" spans="1:21">
      <c r="A53" s="48">
        <v>236</v>
      </c>
      <c r="B53" s="82">
        <v>1</v>
      </c>
      <c r="C53" s="82"/>
      <c r="D53" s="82"/>
      <c r="G53" s="26" t="s">
        <v>8</v>
      </c>
      <c r="H53" s="26" t="s">
        <v>1288</v>
      </c>
      <c r="I53" s="26">
        <v>29</v>
      </c>
      <c r="J53" s="26">
        <v>166</v>
      </c>
      <c r="K53" s="26" t="s">
        <v>1289</v>
      </c>
      <c r="L53" s="26" t="s">
        <v>460</v>
      </c>
      <c r="M53" s="26" t="s">
        <v>21</v>
      </c>
      <c r="N53" s="26" t="s">
        <v>72</v>
      </c>
      <c r="O53" s="26" t="s">
        <v>10</v>
      </c>
      <c r="P53" s="26" t="s">
        <v>9</v>
      </c>
      <c r="Q53" s="26" t="s">
        <v>10</v>
      </c>
      <c r="R53" s="26">
        <v>0</v>
      </c>
      <c r="S53" s="26" t="s">
        <v>1290</v>
      </c>
      <c r="T53" s="26">
        <v>0</v>
      </c>
      <c r="U53" s="26">
        <v>0</v>
      </c>
    </row>
    <row r="54" spans="1:21">
      <c r="A54" s="48">
        <v>240</v>
      </c>
      <c r="B54" s="78">
        <v>1</v>
      </c>
      <c r="C54" s="78"/>
      <c r="D54" s="78"/>
      <c r="E54" s="78"/>
      <c r="F54" s="78"/>
      <c r="G54" s="26" t="s">
        <v>8</v>
      </c>
      <c r="H54" s="26" t="s">
        <v>1306</v>
      </c>
      <c r="I54" s="26">
        <v>29</v>
      </c>
      <c r="J54" s="26">
        <v>175</v>
      </c>
      <c r="K54" s="26" t="s">
        <v>1307</v>
      </c>
      <c r="L54" s="26" t="s">
        <v>737</v>
      </c>
      <c r="M54" s="26" t="s">
        <v>22</v>
      </c>
      <c r="N54" s="26" t="s">
        <v>28</v>
      </c>
      <c r="O54" s="26" t="s">
        <v>10</v>
      </c>
      <c r="P54" s="26" t="s">
        <v>9</v>
      </c>
      <c r="Q54" s="26" t="s">
        <v>10</v>
      </c>
      <c r="R54" s="26" t="s">
        <v>10</v>
      </c>
      <c r="S54" s="26" t="s">
        <v>1308</v>
      </c>
      <c r="T54" s="26" t="s">
        <v>1309</v>
      </c>
      <c r="U54" s="26">
        <v>0</v>
      </c>
    </row>
    <row r="55" spans="1:21">
      <c r="A55" s="48">
        <v>297</v>
      </c>
      <c r="B55" s="84" t="s">
        <v>1752</v>
      </c>
      <c r="C55" s="84"/>
      <c r="D55" s="84"/>
      <c r="G55" s="26" t="s">
        <v>8</v>
      </c>
      <c r="H55" s="26" t="s">
        <v>1629</v>
      </c>
      <c r="I55" s="26">
        <v>29</v>
      </c>
      <c r="J55" s="26">
        <v>174</v>
      </c>
      <c r="K55" s="26" t="s">
        <v>1631</v>
      </c>
      <c r="L55" s="26" t="s">
        <v>33</v>
      </c>
      <c r="M55" s="26" t="s">
        <v>10</v>
      </c>
      <c r="N55" s="26" t="s">
        <v>30</v>
      </c>
      <c r="O55" s="26" t="s">
        <v>10</v>
      </c>
      <c r="P55" s="26" t="s">
        <v>9</v>
      </c>
      <c r="Q55" s="26" t="s">
        <v>10</v>
      </c>
      <c r="R55" s="26" t="s">
        <v>646</v>
      </c>
      <c r="S55" s="26" t="s">
        <v>1672</v>
      </c>
      <c r="T55" s="26" t="s">
        <v>1673</v>
      </c>
      <c r="U55" s="26" t="s">
        <v>1674</v>
      </c>
    </row>
    <row r="56" spans="1:21">
      <c r="A56" s="48">
        <v>355</v>
      </c>
      <c r="B56" s="79" t="s">
        <v>1121</v>
      </c>
      <c r="G56" s="26" t="s">
        <v>8</v>
      </c>
      <c r="H56" s="26" t="s">
        <v>2029</v>
      </c>
      <c r="I56" s="26">
        <v>29</v>
      </c>
      <c r="J56" s="26">
        <v>179</v>
      </c>
      <c r="K56" s="26" t="s">
        <v>2030</v>
      </c>
      <c r="L56" s="26" t="s">
        <v>62</v>
      </c>
      <c r="M56" s="26" t="s">
        <v>34</v>
      </c>
      <c r="N56" s="26" t="s">
        <v>2031</v>
      </c>
      <c r="O56" s="26" t="s">
        <v>2032</v>
      </c>
      <c r="P56" s="26" t="s">
        <v>9</v>
      </c>
      <c r="Q56" s="26" t="s">
        <v>29</v>
      </c>
      <c r="R56" s="26" t="s">
        <v>10</v>
      </c>
      <c r="S56" s="26" t="s">
        <v>2033</v>
      </c>
      <c r="T56" s="26" t="s">
        <v>2034</v>
      </c>
      <c r="U56" s="26">
        <v>0</v>
      </c>
    </row>
    <row r="57" spans="1:21">
      <c r="A57" s="48">
        <v>316</v>
      </c>
      <c r="G57" s="26" t="s">
        <v>8</v>
      </c>
      <c r="H57" s="26" t="s">
        <v>1665</v>
      </c>
      <c r="I57" s="26">
        <v>29</v>
      </c>
      <c r="J57" s="26">
        <v>177</v>
      </c>
      <c r="K57" s="26" t="s">
        <v>1666</v>
      </c>
      <c r="L57" s="26" t="s">
        <v>62</v>
      </c>
      <c r="M57" s="26" t="s">
        <v>591</v>
      </c>
      <c r="N57" s="26" t="s">
        <v>19</v>
      </c>
      <c r="O57" s="26" t="s">
        <v>10</v>
      </c>
      <c r="P57" s="26" t="s">
        <v>9</v>
      </c>
      <c r="Q57" s="26" t="s">
        <v>10</v>
      </c>
      <c r="R57" s="26" t="s">
        <v>10</v>
      </c>
      <c r="S57" s="26" t="s">
        <v>1714</v>
      </c>
      <c r="T57" s="26" t="s">
        <v>1715</v>
      </c>
      <c r="U57" s="26">
        <v>0</v>
      </c>
    </row>
    <row r="58" spans="1:21">
      <c r="A58" s="48">
        <v>267</v>
      </c>
      <c r="G58" s="26" t="s">
        <v>8</v>
      </c>
      <c r="H58" s="26" t="s">
        <v>1467</v>
      </c>
      <c r="I58" s="26">
        <v>29</v>
      </c>
      <c r="J58" s="26">
        <v>171</v>
      </c>
      <c r="K58" s="26" t="s">
        <v>1468</v>
      </c>
      <c r="L58" s="26" t="s">
        <v>767</v>
      </c>
      <c r="M58" s="26" t="s">
        <v>22</v>
      </c>
      <c r="N58" s="26" t="s">
        <v>70</v>
      </c>
      <c r="O58" s="26" t="s">
        <v>10</v>
      </c>
      <c r="P58" s="26" t="s">
        <v>9</v>
      </c>
      <c r="Q58" s="26" t="s">
        <v>10</v>
      </c>
      <c r="R58" s="26" t="s">
        <v>10</v>
      </c>
      <c r="S58" s="26" t="s">
        <v>1469</v>
      </c>
      <c r="T58" s="26" t="s">
        <v>1470</v>
      </c>
      <c r="U58" s="26">
        <v>0</v>
      </c>
    </row>
    <row r="59" spans="1:21">
      <c r="A59" s="48">
        <v>125</v>
      </c>
      <c r="B59" s="81"/>
      <c r="C59" s="81"/>
      <c r="D59" s="81"/>
      <c r="E59" s="80"/>
      <c r="F59" s="80"/>
      <c r="G59" s="26" t="s">
        <v>8</v>
      </c>
      <c r="H59" s="26" t="s">
        <v>604</v>
      </c>
      <c r="I59" s="26">
        <v>29</v>
      </c>
      <c r="J59" s="26">
        <v>174</v>
      </c>
      <c r="K59" s="26" t="s">
        <v>606</v>
      </c>
      <c r="L59" s="26" t="s">
        <v>459</v>
      </c>
      <c r="M59" s="26" t="s">
        <v>22</v>
      </c>
      <c r="N59" s="26" t="s">
        <v>59</v>
      </c>
      <c r="O59" s="26" t="s">
        <v>607</v>
      </c>
      <c r="P59" s="26" t="s">
        <v>9</v>
      </c>
      <c r="Q59" s="26" t="s">
        <v>10</v>
      </c>
      <c r="R59" s="26" t="s">
        <v>10</v>
      </c>
      <c r="S59" s="26" t="s">
        <v>608</v>
      </c>
      <c r="T59" s="26" t="s">
        <v>609</v>
      </c>
      <c r="U59" s="26">
        <v>0</v>
      </c>
    </row>
    <row r="60" spans="1:21">
      <c r="A60" s="48">
        <v>146</v>
      </c>
      <c r="B60" s="81"/>
      <c r="C60" s="81"/>
      <c r="D60" s="81"/>
      <c r="E60" s="80"/>
      <c r="F60" s="80"/>
      <c r="G60" s="26" t="s">
        <v>8</v>
      </c>
      <c r="H60" s="26" t="s">
        <v>916</v>
      </c>
      <c r="I60" s="26">
        <v>29</v>
      </c>
      <c r="J60" s="26">
        <v>160.1</v>
      </c>
      <c r="K60" s="26" t="s">
        <v>917</v>
      </c>
      <c r="L60" s="26" t="s">
        <v>460</v>
      </c>
      <c r="M60" s="26" t="s">
        <v>10</v>
      </c>
      <c r="N60" s="26" t="s">
        <v>23</v>
      </c>
      <c r="O60" s="26" t="s">
        <v>10</v>
      </c>
      <c r="P60" s="26" t="s">
        <v>9</v>
      </c>
      <c r="Q60" s="26" t="s">
        <v>29</v>
      </c>
      <c r="R60" s="26" t="s">
        <v>10</v>
      </c>
      <c r="S60" s="26" t="s">
        <v>918</v>
      </c>
      <c r="T60" s="26" t="s">
        <v>919</v>
      </c>
      <c r="U60" s="26">
        <v>0</v>
      </c>
    </row>
    <row r="61" spans="1:21">
      <c r="A61" s="107">
        <v>363</v>
      </c>
      <c r="B61" s="81"/>
      <c r="C61" s="81"/>
      <c r="D61" s="81"/>
      <c r="E61" s="80"/>
      <c r="F61" s="81"/>
      <c r="G61" s="26" t="s">
        <v>8</v>
      </c>
      <c r="H61" s="26" t="s">
        <v>2706</v>
      </c>
      <c r="I61" s="26">
        <v>29</v>
      </c>
      <c r="J61" s="26">
        <v>173</v>
      </c>
      <c r="K61" s="26" t="s">
        <v>2640</v>
      </c>
      <c r="L61" s="26" t="s">
        <v>62</v>
      </c>
      <c r="M61" s="26" t="s">
        <v>21</v>
      </c>
      <c r="N61" s="4" t="s">
        <v>18</v>
      </c>
      <c r="O61" s="4" t="s">
        <v>10</v>
      </c>
      <c r="P61" s="4" t="s">
        <v>9</v>
      </c>
      <c r="Q61" s="4" t="s">
        <v>63</v>
      </c>
      <c r="R61" s="4" t="s">
        <v>10</v>
      </c>
      <c r="S61" s="4" t="s">
        <v>2707</v>
      </c>
      <c r="T61" s="4" t="s">
        <v>2708</v>
      </c>
      <c r="U61" s="4" t="s">
        <v>2644</v>
      </c>
    </row>
    <row r="62" spans="1:21">
      <c r="A62" s="48">
        <v>333</v>
      </c>
      <c r="B62" s="79">
        <v>1</v>
      </c>
      <c r="G62" s="26" t="s">
        <v>14</v>
      </c>
      <c r="H62" s="26" t="s">
        <v>1855</v>
      </c>
      <c r="I62" s="26">
        <v>29</v>
      </c>
      <c r="J62" s="26">
        <v>157</v>
      </c>
      <c r="K62" s="26" t="s">
        <v>1856</v>
      </c>
      <c r="L62" s="26" t="s">
        <v>25</v>
      </c>
      <c r="M62" s="26" t="s">
        <v>15</v>
      </c>
      <c r="N62" s="26" t="s">
        <v>37</v>
      </c>
      <c r="O62" s="26" t="s">
        <v>1857</v>
      </c>
      <c r="P62" s="26" t="s">
        <v>49</v>
      </c>
      <c r="Q62" s="26" t="s">
        <v>10</v>
      </c>
      <c r="R62" s="26" t="s">
        <v>10</v>
      </c>
      <c r="S62" s="26" t="s">
        <v>1858</v>
      </c>
      <c r="T62" s="26" t="s">
        <v>1859</v>
      </c>
      <c r="U62" s="26" t="s">
        <v>1860</v>
      </c>
    </row>
    <row r="63" spans="1:21">
      <c r="A63" s="48">
        <v>144</v>
      </c>
      <c r="B63" s="80">
        <v>1</v>
      </c>
      <c r="C63" s="80"/>
      <c r="D63" s="80"/>
      <c r="E63" s="80"/>
      <c r="F63" s="80"/>
      <c r="G63" s="26" t="s">
        <v>14</v>
      </c>
      <c r="H63" s="36" t="s">
        <v>409</v>
      </c>
      <c r="I63" s="26">
        <v>29</v>
      </c>
      <c r="J63" s="26">
        <v>165</v>
      </c>
      <c r="K63" s="26" t="s">
        <v>79</v>
      </c>
      <c r="L63" s="26" t="s">
        <v>82</v>
      </c>
      <c r="M63" s="26" t="s">
        <v>93</v>
      </c>
      <c r="N63" s="26" t="s">
        <v>80</v>
      </c>
      <c r="O63" s="26" t="s">
        <v>10</v>
      </c>
      <c r="P63" s="26" t="s">
        <v>9</v>
      </c>
      <c r="Q63" s="26" t="s">
        <v>10</v>
      </c>
      <c r="R63" s="26" t="s">
        <v>196</v>
      </c>
      <c r="S63" s="26" t="s">
        <v>411</v>
      </c>
      <c r="T63" s="26" t="s">
        <v>412</v>
      </c>
      <c r="U63" s="26" t="s">
        <v>413</v>
      </c>
    </row>
    <row r="64" spans="1:21">
      <c r="A64" s="48">
        <v>369</v>
      </c>
      <c r="B64" s="81">
        <v>1</v>
      </c>
      <c r="C64" s="81"/>
      <c r="D64" s="81"/>
      <c r="E64" s="80"/>
      <c r="F64" s="81"/>
      <c r="G64" s="26" t="s">
        <v>14</v>
      </c>
      <c r="H64" s="26" t="s">
        <v>2727</v>
      </c>
      <c r="I64" s="26">
        <v>29</v>
      </c>
      <c r="J64" s="26">
        <v>154</v>
      </c>
      <c r="K64" s="26" t="s">
        <v>2675</v>
      </c>
      <c r="L64" s="26" t="s">
        <v>62</v>
      </c>
      <c r="M64" s="26" t="s">
        <v>15</v>
      </c>
      <c r="N64" s="4" t="s">
        <v>633</v>
      </c>
      <c r="O64" s="4" t="s">
        <v>10</v>
      </c>
      <c r="P64" s="4" t="s">
        <v>9</v>
      </c>
      <c r="Q64" s="4" t="s">
        <v>10</v>
      </c>
      <c r="R64" s="4" t="s">
        <v>10</v>
      </c>
      <c r="S64" s="4" t="s">
        <v>2728</v>
      </c>
      <c r="T64" s="4" t="s">
        <v>249</v>
      </c>
      <c r="U64" s="4">
        <v>0</v>
      </c>
    </row>
    <row r="65" spans="1:21">
      <c r="A65" s="48">
        <v>301</v>
      </c>
      <c r="B65" s="84" t="s">
        <v>1754</v>
      </c>
      <c r="C65" s="84"/>
      <c r="D65" s="84"/>
      <c r="G65" s="26" t="s">
        <v>14</v>
      </c>
      <c r="H65" s="26" t="s">
        <v>1639</v>
      </c>
      <c r="I65" s="26">
        <v>29</v>
      </c>
      <c r="J65" s="26">
        <v>161</v>
      </c>
      <c r="K65" s="26" t="s">
        <v>1640</v>
      </c>
      <c r="L65" s="26" t="s">
        <v>25</v>
      </c>
      <c r="M65" s="26" t="s">
        <v>15</v>
      </c>
      <c r="N65" s="26" t="s">
        <v>37</v>
      </c>
      <c r="O65" s="26" t="s">
        <v>390</v>
      </c>
      <c r="P65" s="26" t="s">
        <v>9</v>
      </c>
      <c r="Q65" s="26" t="s">
        <v>10</v>
      </c>
      <c r="R65" s="26" t="s">
        <v>10</v>
      </c>
      <c r="S65" s="26" t="s">
        <v>1681</v>
      </c>
      <c r="T65" s="26" t="s">
        <v>1682</v>
      </c>
      <c r="U65" s="26" t="s">
        <v>1683</v>
      </c>
    </row>
    <row r="66" spans="1:21">
      <c r="A66" s="48">
        <v>16</v>
      </c>
      <c r="B66" s="80"/>
      <c r="C66" s="80"/>
      <c r="D66" s="80"/>
      <c r="E66" s="80"/>
      <c r="F66" s="80"/>
      <c r="G66" s="26" t="s">
        <v>14</v>
      </c>
      <c r="H66" s="26" t="s">
        <v>67</v>
      </c>
      <c r="I66" s="26">
        <v>29</v>
      </c>
      <c r="J66" s="26">
        <v>160</v>
      </c>
      <c r="K66" s="26" t="s">
        <v>273</v>
      </c>
      <c r="L66" s="26" t="s">
        <v>62</v>
      </c>
      <c r="M66" s="26" t="s">
        <v>55</v>
      </c>
      <c r="N66" s="26" t="s">
        <v>13</v>
      </c>
      <c r="O66" s="26" t="s">
        <v>10</v>
      </c>
      <c r="P66" s="26" t="s">
        <v>9</v>
      </c>
      <c r="Q66" s="26" t="s">
        <v>29</v>
      </c>
      <c r="R66" s="26" t="s">
        <v>10</v>
      </c>
      <c r="S66" s="26" t="s">
        <v>274</v>
      </c>
      <c r="T66" s="26" t="s">
        <v>275</v>
      </c>
      <c r="U66" s="26">
        <v>0</v>
      </c>
    </row>
    <row r="67" spans="1:21">
      <c r="A67" s="48">
        <v>93</v>
      </c>
      <c r="B67" s="80"/>
      <c r="C67" s="80"/>
      <c r="D67" s="80"/>
      <c r="E67" s="80"/>
      <c r="F67" s="80"/>
      <c r="G67" s="26" t="s">
        <v>14</v>
      </c>
      <c r="H67" s="26" t="s">
        <v>984</v>
      </c>
      <c r="I67" s="26">
        <v>29</v>
      </c>
      <c r="J67" s="26">
        <v>162</v>
      </c>
      <c r="K67" s="26" t="s">
        <v>985</v>
      </c>
      <c r="L67" s="26" t="s">
        <v>25</v>
      </c>
      <c r="M67" s="26" t="s">
        <v>93</v>
      </c>
      <c r="N67" s="26" t="s">
        <v>35</v>
      </c>
      <c r="O67" s="26" t="s">
        <v>10</v>
      </c>
      <c r="P67" s="26" t="s">
        <v>61</v>
      </c>
      <c r="Q67" s="26" t="s">
        <v>10</v>
      </c>
      <c r="R67" s="26" t="s">
        <v>10</v>
      </c>
      <c r="S67" s="26" t="s">
        <v>986</v>
      </c>
      <c r="T67" s="26" t="s">
        <v>987</v>
      </c>
      <c r="U67" s="26" t="s">
        <v>988</v>
      </c>
    </row>
    <row r="68" spans="1:21">
      <c r="A68" s="48">
        <v>127</v>
      </c>
      <c r="B68" s="81"/>
      <c r="C68" s="81"/>
      <c r="D68" s="81"/>
      <c r="E68" s="80"/>
      <c r="F68" s="80"/>
      <c r="G68" s="26" t="s">
        <v>14</v>
      </c>
      <c r="H68" s="26" t="s">
        <v>754</v>
      </c>
      <c r="I68" s="26">
        <v>29</v>
      </c>
      <c r="J68" s="26">
        <v>162</v>
      </c>
      <c r="K68" s="26" t="s">
        <v>756</v>
      </c>
      <c r="L68" s="26" t="s">
        <v>25</v>
      </c>
      <c r="M68" s="26" t="s">
        <v>93</v>
      </c>
      <c r="N68" s="26" t="s">
        <v>35</v>
      </c>
      <c r="O68" s="26" t="s">
        <v>10</v>
      </c>
      <c r="P68" s="26" t="s">
        <v>9</v>
      </c>
      <c r="Q68" s="26" t="s">
        <v>10</v>
      </c>
      <c r="R68" s="26" t="s">
        <v>10</v>
      </c>
      <c r="S68" s="26" t="s">
        <v>757</v>
      </c>
      <c r="T68" s="26" t="s">
        <v>758</v>
      </c>
      <c r="U68" s="26">
        <v>0</v>
      </c>
    </row>
    <row r="69" spans="1:21">
      <c r="A69" s="48">
        <v>21</v>
      </c>
      <c r="B69" s="80"/>
      <c r="C69" s="80"/>
      <c r="D69" s="80"/>
      <c r="E69" s="80"/>
      <c r="F69" s="80"/>
      <c r="G69" s="26" t="s">
        <v>14</v>
      </c>
      <c r="H69" s="26" t="s">
        <v>491</v>
      </c>
      <c r="I69" s="26">
        <v>29</v>
      </c>
      <c r="J69" s="26">
        <v>164</v>
      </c>
      <c r="K69" s="26" t="s">
        <v>492</v>
      </c>
      <c r="L69" s="26" t="s">
        <v>82</v>
      </c>
      <c r="M69" s="26" t="s">
        <v>93</v>
      </c>
      <c r="N69" s="26" t="s">
        <v>493</v>
      </c>
      <c r="O69" s="26" t="s">
        <v>494</v>
      </c>
      <c r="P69" s="26" t="s">
        <v>9</v>
      </c>
      <c r="Q69" s="26" t="s">
        <v>57</v>
      </c>
      <c r="R69" s="26" t="s">
        <v>497</v>
      </c>
      <c r="S69" s="26" t="s">
        <v>495</v>
      </c>
      <c r="T69" s="26" t="s">
        <v>496</v>
      </c>
      <c r="U69" s="26">
        <v>0</v>
      </c>
    </row>
    <row r="70" spans="1:21" ht="16.5" customHeight="1">
      <c r="A70" s="48">
        <v>99</v>
      </c>
      <c r="B70" s="81"/>
      <c r="C70" s="81"/>
      <c r="D70" s="81"/>
      <c r="E70" s="80"/>
      <c r="F70" s="80"/>
      <c r="G70" s="36" t="s">
        <v>14</v>
      </c>
      <c r="H70" s="26" t="s">
        <v>117</v>
      </c>
      <c r="I70" s="26">
        <v>29</v>
      </c>
      <c r="J70" s="26">
        <v>172</v>
      </c>
      <c r="K70" s="26" t="s">
        <v>119</v>
      </c>
      <c r="L70" s="26" t="s">
        <v>36</v>
      </c>
      <c r="M70" s="26" t="s">
        <v>93</v>
      </c>
      <c r="N70" s="26" t="s">
        <v>24</v>
      </c>
      <c r="O70" s="26" t="s">
        <v>120</v>
      </c>
      <c r="P70" s="26" t="s">
        <v>9</v>
      </c>
      <c r="Q70" s="26" t="s">
        <v>10</v>
      </c>
      <c r="R70" s="26" t="s">
        <v>79</v>
      </c>
      <c r="S70" s="26" t="s">
        <v>121</v>
      </c>
      <c r="T70" s="26" t="s">
        <v>122</v>
      </c>
      <c r="U70" s="26">
        <v>0</v>
      </c>
    </row>
    <row r="71" spans="1:21" ht="16.5" customHeight="1">
      <c r="A71" s="48">
        <v>210</v>
      </c>
      <c r="B71" s="85"/>
      <c r="C71" s="85"/>
      <c r="D71" s="85"/>
      <c r="E71" s="80"/>
      <c r="F71" s="80"/>
      <c r="G71" s="26" t="s">
        <v>14</v>
      </c>
      <c r="H71" s="26" t="s">
        <v>1124</v>
      </c>
      <c r="I71" s="26">
        <v>29</v>
      </c>
      <c r="J71" s="26">
        <v>164</v>
      </c>
      <c r="K71" s="26" t="s">
        <v>1149</v>
      </c>
      <c r="L71" s="26" t="s">
        <v>82</v>
      </c>
      <c r="M71" s="26" t="s">
        <v>15</v>
      </c>
      <c r="N71" s="26" t="s">
        <v>1125</v>
      </c>
      <c r="O71" s="26" t="s">
        <v>1126</v>
      </c>
      <c r="P71" s="26" t="s">
        <v>20</v>
      </c>
      <c r="Q71" s="26" t="s">
        <v>10</v>
      </c>
      <c r="R71" s="26" t="s">
        <v>69</v>
      </c>
      <c r="S71" s="26" t="s">
        <v>1150</v>
      </c>
      <c r="T71" s="26" t="s">
        <v>1151</v>
      </c>
      <c r="U71" s="26" t="s">
        <v>1127</v>
      </c>
    </row>
    <row r="72" spans="1:21" ht="16.5" customHeight="1">
      <c r="A72" s="48">
        <v>223</v>
      </c>
      <c r="B72" s="88"/>
      <c r="C72" s="88"/>
      <c r="D72" s="88"/>
      <c r="E72" s="80"/>
      <c r="F72" s="80"/>
      <c r="G72" s="26" t="s">
        <v>14</v>
      </c>
      <c r="H72" s="26" t="s">
        <v>1206</v>
      </c>
      <c r="I72" s="26">
        <v>29</v>
      </c>
      <c r="J72" s="26">
        <v>174</v>
      </c>
      <c r="K72" s="26" t="s">
        <v>1207</v>
      </c>
      <c r="L72" s="26" t="s">
        <v>25</v>
      </c>
      <c r="M72" s="26" t="s">
        <v>65</v>
      </c>
      <c r="N72" s="26" t="s">
        <v>66</v>
      </c>
      <c r="O72" s="26" t="s">
        <v>1208</v>
      </c>
      <c r="P72" s="26" t="s">
        <v>9</v>
      </c>
      <c r="Q72" s="26" t="s">
        <v>29</v>
      </c>
      <c r="R72" s="26" t="s">
        <v>11</v>
      </c>
      <c r="S72" s="26" t="s">
        <v>1209</v>
      </c>
      <c r="T72" s="26" t="s">
        <v>1210</v>
      </c>
      <c r="U72" s="26">
        <v>0</v>
      </c>
    </row>
    <row r="73" spans="1:21" ht="16.5" customHeight="1">
      <c r="A73" s="48">
        <v>147</v>
      </c>
      <c r="B73" s="81"/>
      <c r="C73" s="81"/>
      <c r="D73" s="81"/>
      <c r="E73" s="80"/>
      <c r="F73" s="80"/>
      <c r="G73" s="26" t="s">
        <v>14</v>
      </c>
      <c r="H73" s="36" t="s">
        <v>863</v>
      </c>
      <c r="I73" s="26">
        <v>29</v>
      </c>
      <c r="J73" s="26">
        <v>159.9</v>
      </c>
      <c r="K73" s="26" t="s">
        <v>864</v>
      </c>
      <c r="L73" s="26" t="s">
        <v>25</v>
      </c>
      <c r="M73" s="26">
        <v>0</v>
      </c>
      <c r="N73" s="26" t="s">
        <v>19</v>
      </c>
      <c r="O73" s="26" t="s">
        <v>865</v>
      </c>
      <c r="P73" s="26" t="s">
        <v>9</v>
      </c>
      <c r="Q73" s="26" t="s">
        <v>29</v>
      </c>
      <c r="R73" s="26">
        <v>0</v>
      </c>
      <c r="S73" s="26" t="s">
        <v>866</v>
      </c>
      <c r="T73" s="26">
        <v>0</v>
      </c>
      <c r="U73" s="26">
        <v>0</v>
      </c>
    </row>
    <row r="74" spans="1:21" ht="16.5" customHeight="1">
      <c r="A74" s="48">
        <v>349</v>
      </c>
      <c r="B74" s="1"/>
      <c r="C74" s="1"/>
      <c r="D74" s="1"/>
      <c r="G74" s="26" t="s">
        <v>14</v>
      </c>
      <c r="H74" s="26" t="s">
        <v>74</v>
      </c>
      <c r="I74" s="26">
        <v>29</v>
      </c>
      <c r="J74" s="26">
        <v>169</v>
      </c>
      <c r="K74" s="26" t="s">
        <v>1973</v>
      </c>
      <c r="L74" s="26" t="s">
        <v>25</v>
      </c>
      <c r="M74" s="26" t="s">
        <v>93</v>
      </c>
      <c r="N74" s="26" t="s">
        <v>12</v>
      </c>
      <c r="O74" s="26" t="s">
        <v>10</v>
      </c>
      <c r="P74" s="26" t="s">
        <v>9</v>
      </c>
      <c r="Q74" s="26" t="s">
        <v>29</v>
      </c>
      <c r="R74" s="26" t="s">
        <v>10</v>
      </c>
      <c r="S74" s="26" t="s">
        <v>1974</v>
      </c>
      <c r="T74" s="26" t="s">
        <v>1975</v>
      </c>
      <c r="U74" s="26">
        <v>0</v>
      </c>
    </row>
    <row r="75" spans="1:21" ht="16.5" customHeight="1">
      <c r="A75" s="48">
        <v>357</v>
      </c>
      <c r="F75" s="89"/>
      <c r="G75" s="26" t="s">
        <v>14</v>
      </c>
      <c r="H75" s="26" t="s">
        <v>2049</v>
      </c>
      <c r="I75" s="26">
        <v>29</v>
      </c>
      <c r="J75" s="26">
        <v>158</v>
      </c>
      <c r="K75" s="26" t="s">
        <v>2050</v>
      </c>
      <c r="L75" s="26" t="s">
        <v>2051</v>
      </c>
      <c r="M75" s="26" t="s">
        <v>15</v>
      </c>
      <c r="N75" s="26" t="s">
        <v>13</v>
      </c>
      <c r="O75" s="26" t="s">
        <v>10</v>
      </c>
      <c r="P75" s="26" t="s">
        <v>10</v>
      </c>
      <c r="Q75" s="26" t="s">
        <v>9</v>
      </c>
      <c r="R75" s="26">
        <v>0</v>
      </c>
      <c r="S75" s="26" t="s">
        <v>10</v>
      </c>
      <c r="T75" s="26" t="s">
        <v>2052</v>
      </c>
      <c r="U75" s="26">
        <v>0</v>
      </c>
    </row>
    <row r="76" spans="1:21" ht="16.5" customHeight="1">
      <c r="A76" s="107">
        <v>388</v>
      </c>
      <c r="B76" s="38"/>
      <c r="E76" s="82">
        <v>1</v>
      </c>
      <c r="F76" s="82">
        <v>1</v>
      </c>
      <c r="G76" s="26" t="s">
        <v>14</v>
      </c>
      <c r="H76" s="26" t="s">
        <v>3034</v>
      </c>
      <c r="I76" s="26">
        <v>29</v>
      </c>
      <c r="J76" s="26">
        <v>155</v>
      </c>
      <c r="K76" s="26" t="s">
        <v>3040</v>
      </c>
      <c r="L76" s="26" t="s">
        <v>459</v>
      </c>
      <c r="M76" s="26" t="s">
        <v>458</v>
      </c>
      <c r="N76" s="4" t="s">
        <v>13</v>
      </c>
      <c r="O76" s="4" t="s">
        <v>37</v>
      </c>
      <c r="P76" s="4" t="s">
        <v>9</v>
      </c>
      <c r="Q76" s="4" t="s">
        <v>10</v>
      </c>
      <c r="R76" s="4" t="s">
        <v>10</v>
      </c>
      <c r="S76" s="4" t="s">
        <v>3042</v>
      </c>
      <c r="T76" s="4" t="s">
        <v>3044</v>
      </c>
      <c r="U76" s="4" t="s">
        <v>2071</v>
      </c>
    </row>
    <row r="77" spans="1:21" ht="16.5" customHeight="1">
      <c r="A77" s="48">
        <v>330</v>
      </c>
      <c r="B77" s="85"/>
      <c r="C77" s="85"/>
      <c r="D77" s="85"/>
      <c r="G77" s="26" t="s">
        <v>7</v>
      </c>
      <c r="H77" s="26" t="s">
        <v>1851</v>
      </c>
      <c r="I77" s="26">
        <v>30</v>
      </c>
      <c r="J77" s="26">
        <v>171</v>
      </c>
      <c r="K77" s="26" t="s">
        <v>1428</v>
      </c>
      <c r="L77" s="26" t="s">
        <v>440</v>
      </c>
      <c r="M77" s="26" t="s">
        <v>448</v>
      </c>
      <c r="N77" s="26" t="s">
        <v>23</v>
      </c>
      <c r="O77" s="26" t="s">
        <v>10</v>
      </c>
      <c r="P77" s="26" t="s">
        <v>9</v>
      </c>
      <c r="Q77" s="26" t="s">
        <v>10</v>
      </c>
      <c r="R77" s="26" t="s">
        <v>646</v>
      </c>
      <c r="S77" s="26" t="s">
        <v>1846</v>
      </c>
      <c r="T77" s="26" t="s">
        <v>1847</v>
      </c>
      <c r="U77" s="26" t="s">
        <v>1848</v>
      </c>
    </row>
    <row r="78" spans="1:21" ht="16.5" customHeight="1">
      <c r="A78" s="48">
        <v>334</v>
      </c>
      <c r="G78" s="26" t="s">
        <v>8</v>
      </c>
      <c r="H78" s="26" t="s">
        <v>1861</v>
      </c>
      <c r="I78" s="26">
        <v>30</v>
      </c>
      <c r="J78" s="26">
        <v>170</v>
      </c>
      <c r="K78" s="26" t="s">
        <v>1862</v>
      </c>
      <c r="L78" s="26" t="s">
        <v>62</v>
      </c>
      <c r="M78" s="26" t="s">
        <v>10</v>
      </c>
      <c r="N78" s="26" t="s">
        <v>37</v>
      </c>
      <c r="O78" s="26" t="s">
        <v>10</v>
      </c>
      <c r="P78" s="26" t="s">
        <v>9</v>
      </c>
      <c r="Q78" s="26" t="s">
        <v>10</v>
      </c>
      <c r="R78" s="26" t="s">
        <v>10</v>
      </c>
      <c r="S78" s="26" t="s">
        <v>1863</v>
      </c>
      <c r="T78" s="26">
        <v>0</v>
      </c>
      <c r="U78" s="26">
        <v>0</v>
      </c>
    </row>
    <row r="79" spans="1:21" ht="16.5" customHeight="1">
      <c r="A79" s="48">
        <v>335</v>
      </c>
      <c r="G79" s="26" t="s">
        <v>8</v>
      </c>
      <c r="H79" s="26" t="s">
        <v>1871</v>
      </c>
      <c r="I79" s="26">
        <v>30</v>
      </c>
      <c r="J79" s="26">
        <v>184</v>
      </c>
      <c r="K79" s="26" t="s">
        <v>1873</v>
      </c>
      <c r="L79" s="26" t="s">
        <v>62</v>
      </c>
      <c r="M79" s="26" t="s">
        <v>1621</v>
      </c>
      <c r="N79" s="26" t="s">
        <v>18</v>
      </c>
      <c r="O79" s="26" t="s">
        <v>1874</v>
      </c>
      <c r="P79" s="26" t="s">
        <v>20</v>
      </c>
      <c r="Q79" s="26" t="s">
        <v>10</v>
      </c>
      <c r="R79" s="26" t="s">
        <v>10</v>
      </c>
      <c r="S79" s="26" t="s">
        <v>1875</v>
      </c>
      <c r="T79" s="26" t="s">
        <v>1876</v>
      </c>
      <c r="U79" s="26">
        <v>0</v>
      </c>
    </row>
    <row r="80" spans="1:21" ht="16.5" customHeight="1">
      <c r="A80" s="48">
        <v>57</v>
      </c>
      <c r="B80" s="81"/>
      <c r="C80" s="81"/>
      <c r="D80" s="81"/>
      <c r="E80" s="80"/>
      <c r="F80" s="80"/>
      <c r="G80" s="26" t="s">
        <v>8</v>
      </c>
      <c r="H80" s="26" t="s">
        <v>383</v>
      </c>
      <c r="I80" s="26">
        <v>30</v>
      </c>
      <c r="J80" s="26">
        <v>173</v>
      </c>
      <c r="K80" s="26" t="s">
        <v>384</v>
      </c>
      <c r="L80" s="26" t="s">
        <v>62</v>
      </c>
      <c r="M80" s="26" t="s">
        <v>21</v>
      </c>
      <c r="N80" s="26" t="s">
        <v>37</v>
      </c>
      <c r="O80" s="26" t="s">
        <v>10</v>
      </c>
      <c r="P80" s="26" t="s">
        <v>9</v>
      </c>
      <c r="Q80" s="26" t="s">
        <v>10</v>
      </c>
      <c r="R80" s="26" t="s">
        <v>10</v>
      </c>
      <c r="S80" s="26" t="s">
        <v>385</v>
      </c>
      <c r="T80" s="26" t="s">
        <v>386</v>
      </c>
      <c r="U80" s="26">
        <v>0</v>
      </c>
    </row>
    <row r="81" spans="1:21" ht="16.5" customHeight="1">
      <c r="A81" s="48">
        <v>126</v>
      </c>
      <c r="B81" s="81"/>
      <c r="C81" s="81"/>
      <c r="D81" s="81"/>
      <c r="E81" s="80"/>
      <c r="F81" s="80"/>
      <c r="G81" s="26" t="s">
        <v>8</v>
      </c>
      <c r="H81" s="26" t="s">
        <v>1014</v>
      </c>
      <c r="I81" s="26">
        <v>30</v>
      </c>
      <c r="J81" s="26">
        <v>165</v>
      </c>
      <c r="K81" s="26" t="s">
        <v>1015</v>
      </c>
      <c r="L81" s="26" t="s">
        <v>25</v>
      </c>
      <c r="M81" s="26" t="s">
        <v>10</v>
      </c>
      <c r="N81" s="26" t="s">
        <v>66</v>
      </c>
      <c r="O81" s="26" t="s">
        <v>10</v>
      </c>
      <c r="P81" s="26" t="s">
        <v>9</v>
      </c>
      <c r="Q81" s="26" t="s">
        <v>10</v>
      </c>
      <c r="R81" s="26" t="s">
        <v>10</v>
      </c>
      <c r="S81" s="26" t="s">
        <v>1016</v>
      </c>
      <c r="T81" s="26" t="s">
        <v>1016</v>
      </c>
      <c r="U81" s="26">
        <v>0</v>
      </c>
    </row>
    <row r="82" spans="1:21" ht="16.5" customHeight="1">
      <c r="A82" s="48">
        <v>183</v>
      </c>
      <c r="B82" s="81"/>
      <c r="C82" s="81"/>
      <c r="D82" s="81"/>
      <c r="E82" s="80"/>
      <c r="F82" s="80"/>
      <c r="G82" s="26" t="s">
        <v>8</v>
      </c>
      <c r="H82" s="26" t="s">
        <v>610</v>
      </c>
      <c r="I82" s="26">
        <v>30</v>
      </c>
      <c r="J82" s="26">
        <v>178</v>
      </c>
      <c r="K82" s="26" t="s">
        <v>612</v>
      </c>
      <c r="L82" s="26" t="s">
        <v>768</v>
      </c>
      <c r="M82" s="26" t="s">
        <v>34</v>
      </c>
      <c r="N82" s="26" t="s">
        <v>23</v>
      </c>
      <c r="O82" s="26" t="s">
        <v>10</v>
      </c>
      <c r="P82" s="26" t="s">
        <v>31</v>
      </c>
      <c r="Q82" s="26" t="s">
        <v>10</v>
      </c>
      <c r="R82" s="26" t="s">
        <v>10</v>
      </c>
      <c r="S82" s="26" t="s">
        <v>613</v>
      </c>
      <c r="T82" s="26" t="s">
        <v>614</v>
      </c>
      <c r="U82" s="26" t="s">
        <v>132</v>
      </c>
    </row>
    <row r="83" spans="1:21" ht="16.5" customHeight="1">
      <c r="A83" s="48">
        <v>356</v>
      </c>
      <c r="F83" s="89"/>
      <c r="G83" s="26" t="s">
        <v>8</v>
      </c>
      <c r="H83" s="26" t="s">
        <v>1980</v>
      </c>
      <c r="I83" s="26">
        <v>30</v>
      </c>
      <c r="J83" s="26">
        <v>182</v>
      </c>
      <c r="K83" s="26" t="s">
        <v>1981</v>
      </c>
      <c r="L83" s="26" t="s">
        <v>460</v>
      </c>
      <c r="M83" s="26" t="s">
        <v>774</v>
      </c>
      <c r="N83" s="26" t="s">
        <v>37</v>
      </c>
      <c r="O83" s="26" t="s">
        <v>10</v>
      </c>
      <c r="P83" s="26" t="s">
        <v>20</v>
      </c>
      <c r="Q83" s="26" t="s">
        <v>10</v>
      </c>
      <c r="R83" s="26" t="s">
        <v>1983</v>
      </c>
      <c r="S83" s="26" t="s">
        <v>10</v>
      </c>
      <c r="T83" s="26" t="s">
        <v>1982</v>
      </c>
      <c r="U83" s="26">
        <v>0</v>
      </c>
    </row>
    <row r="84" spans="1:21" ht="16.5" customHeight="1">
      <c r="A84" s="48">
        <v>311</v>
      </c>
      <c r="B84" s="79" t="s">
        <v>1755</v>
      </c>
      <c r="G84" s="26" t="s">
        <v>14</v>
      </c>
      <c r="H84" s="26" t="s">
        <v>1658</v>
      </c>
      <c r="I84" s="26">
        <v>30</v>
      </c>
      <c r="J84" s="26">
        <v>170</v>
      </c>
      <c r="K84" s="26" t="s">
        <v>79</v>
      </c>
      <c r="L84" s="26" t="s">
        <v>25</v>
      </c>
      <c r="M84" s="26" t="s">
        <v>93</v>
      </c>
      <c r="N84" s="26" t="s">
        <v>72</v>
      </c>
      <c r="O84" s="26" t="s">
        <v>10</v>
      </c>
      <c r="P84" s="26" t="s">
        <v>9</v>
      </c>
      <c r="Q84" s="26" t="s">
        <v>29</v>
      </c>
      <c r="R84" s="26" t="s">
        <v>10</v>
      </c>
      <c r="S84" s="26" t="s">
        <v>1703</v>
      </c>
      <c r="T84" s="26" t="s">
        <v>1704</v>
      </c>
      <c r="U84" s="26">
        <v>0</v>
      </c>
    </row>
    <row r="85" spans="1:21" ht="16.5" customHeight="1">
      <c r="A85" s="48">
        <v>344</v>
      </c>
      <c r="B85" s="79" t="s">
        <v>1979</v>
      </c>
      <c r="G85" s="26" t="s">
        <v>14</v>
      </c>
      <c r="H85" s="26" t="s">
        <v>1930</v>
      </c>
      <c r="I85" s="26">
        <v>30</v>
      </c>
      <c r="J85" s="26">
        <v>169</v>
      </c>
      <c r="K85" s="26" t="s">
        <v>1931</v>
      </c>
      <c r="L85" s="26" t="s">
        <v>82</v>
      </c>
      <c r="M85" s="26" t="s">
        <v>65</v>
      </c>
      <c r="N85" s="26" t="s">
        <v>18</v>
      </c>
      <c r="O85" s="26" t="s">
        <v>10</v>
      </c>
      <c r="P85" s="26" t="s">
        <v>9</v>
      </c>
      <c r="Q85" s="26" t="s">
        <v>10</v>
      </c>
      <c r="R85" s="26" t="s">
        <v>69</v>
      </c>
      <c r="S85" s="26" t="s">
        <v>1932</v>
      </c>
      <c r="T85" s="26" t="s">
        <v>1933</v>
      </c>
      <c r="U85" s="26" t="s">
        <v>1934</v>
      </c>
    </row>
    <row r="86" spans="1:21" ht="16.5" customHeight="1">
      <c r="A86" s="48">
        <v>70</v>
      </c>
      <c r="B86" s="81"/>
      <c r="C86" s="81"/>
      <c r="D86" s="81"/>
      <c r="E86" s="80"/>
      <c r="F86" s="80"/>
      <c r="G86" s="26" t="s">
        <v>14</v>
      </c>
      <c r="H86" s="26" t="s">
        <v>99</v>
      </c>
      <c r="I86" s="26">
        <v>30</v>
      </c>
      <c r="J86" s="26">
        <v>165</v>
      </c>
      <c r="K86" s="26" t="s">
        <v>101</v>
      </c>
      <c r="L86" s="26" t="s">
        <v>25</v>
      </c>
      <c r="M86" s="26" t="s">
        <v>15</v>
      </c>
      <c r="N86" s="26" t="s">
        <v>35</v>
      </c>
      <c r="O86" s="26" t="s">
        <v>102</v>
      </c>
      <c r="P86" s="26" t="s">
        <v>9</v>
      </c>
      <c r="Q86" s="26" t="s">
        <v>10</v>
      </c>
      <c r="R86" s="26" t="s">
        <v>10</v>
      </c>
      <c r="S86" s="26" t="s">
        <v>103</v>
      </c>
      <c r="T86" s="26" t="s">
        <v>104</v>
      </c>
      <c r="U86" s="26">
        <v>0</v>
      </c>
    </row>
    <row r="87" spans="1:21">
      <c r="A87" s="48">
        <v>260</v>
      </c>
      <c r="B87" s="86"/>
      <c r="C87" s="86"/>
      <c r="D87" s="86"/>
      <c r="G87" s="26" t="s">
        <v>14</v>
      </c>
      <c r="H87" s="26" t="s">
        <v>1406</v>
      </c>
      <c r="I87" s="26">
        <v>30</v>
      </c>
      <c r="J87" s="26">
        <v>156</v>
      </c>
      <c r="K87" s="26" t="s">
        <v>1408</v>
      </c>
      <c r="L87" s="26" t="s">
        <v>459</v>
      </c>
      <c r="M87" s="26" t="s">
        <v>458</v>
      </c>
      <c r="N87" s="26" t="s">
        <v>1409</v>
      </c>
      <c r="O87" s="26" t="s">
        <v>10</v>
      </c>
      <c r="P87" s="26" t="s">
        <v>9</v>
      </c>
      <c r="Q87" s="26" t="s">
        <v>10</v>
      </c>
      <c r="R87" s="26" t="s">
        <v>10</v>
      </c>
      <c r="S87" s="26" t="s">
        <v>1410</v>
      </c>
      <c r="T87" s="26" t="s">
        <v>1411</v>
      </c>
      <c r="U87" s="26" t="s">
        <v>1412</v>
      </c>
    </row>
    <row r="88" spans="1:21">
      <c r="A88" s="48">
        <v>26</v>
      </c>
      <c r="B88" s="81"/>
      <c r="C88" s="81"/>
      <c r="D88" s="81"/>
      <c r="E88" s="80"/>
      <c r="F88" s="80"/>
      <c r="G88" s="26" t="s">
        <v>14</v>
      </c>
      <c r="H88" s="26" t="s">
        <v>246</v>
      </c>
      <c r="I88" s="26">
        <v>30</v>
      </c>
      <c r="J88" s="26">
        <v>155</v>
      </c>
      <c r="K88" s="26" t="s">
        <v>247</v>
      </c>
      <c r="L88" s="26" t="s">
        <v>25</v>
      </c>
      <c r="M88" s="26" t="s">
        <v>55</v>
      </c>
      <c r="N88" s="26" t="s">
        <v>66</v>
      </c>
      <c r="O88" s="26" t="s">
        <v>10</v>
      </c>
      <c r="P88" s="26" t="s">
        <v>9</v>
      </c>
      <c r="Q88" s="26" t="s">
        <v>29</v>
      </c>
      <c r="R88" s="26" t="s">
        <v>11</v>
      </c>
      <c r="S88" s="26" t="s">
        <v>248</v>
      </c>
      <c r="T88" s="26" t="s">
        <v>249</v>
      </c>
      <c r="U88" s="26">
        <v>0</v>
      </c>
    </row>
    <row r="89" spans="1:21">
      <c r="A89" s="48">
        <v>151</v>
      </c>
      <c r="B89" s="81"/>
      <c r="C89" s="81"/>
      <c r="D89" s="81"/>
      <c r="E89" s="80"/>
      <c r="F89" s="80"/>
      <c r="G89" s="36" t="s">
        <v>14</v>
      </c>
      <c r="H89" s="26" t="s">
        <v>185</v>
      </c>
      <c r="I89" s="26">
        <v>30</v>
      </c>
      <c r="J89" s="26">
        <v>155</v>
      </c>
      <c r="K89" s="26" t="s">
        <v>187</v>
      </c>
      <c r="L89" s="26" t="s">
        <v>36</v>
      </c>
      <c r="M89" s="26" t="s">
        <v>55</v>
      </c>
      <c r="N89" s="26" t="s">
        <v>35</v>
      </c>
      <c r="O89" s="26" t="s">
        <v>10</v>
      </c>
      <c r="P89" s="26" t="s">
        <v>9</v>
      </c>
      <c r="Q89" s="26" t="s">
        <v>10</v>
      </c>
      <c r="R89" s="26" t="s">
        <v>190</v>
      </c>
      <c r="S89" s="26" t="s">
        <v>188</v>
      </c>
      <c r="T89" s="26" t="s">
        <v>189</v>
      </c>
      <c r="U89" s="26">
        <v>0</v>
      </c>
    </row>
    <row r="90" spans="1:21">
      <c r="A90" s="48">
        <v>237</v>
      </c>
      <c r="B90" s="87"/>
      <c r="C90" s="87"/>
      <c r="D90" s="87"/>
      <c r="G90" s="26" t="s">
        <v>14</v>
      </c>
      <c r="H90" s="36" t="s">
        <v>1291</v>
      </c>
      <c r="I90" s="26">
        <v>30</v>
      </c>
      <c r="J90" s="26">
        <v>158</v>
      </c>
      <c r="K90" s="26" t="s">
        <v>1292</v>
      </c>
      <c r="L90" s="26" t="s">
        <v>82</v>
      </c>
      <c r="M90" s="26" t="s">
        <v>55</v>
      </c>
      <c r="N90" s="26" t="s">
        <v>80</v>
      </c>
      <c r="O90" s="26" t="s">
        <v>10</v>
      </c>
      <c r="P90" s="26" t="s">
        <v>9</v>
      </c>
      <c r="Q90" s="26" t="s">
        <v>29</v>
      </c>
      <c r="R90" s="26">
        <v>0</v>
      </c>
      <c r="S90" s="26" t="s">
        <v>1293</v>
      </c>
      <c r="T90" s="26">
        <v>0</v>
      </c>
      <c r="U90" s="26">
        <v>0</v>
      </c>
    </row>
    <row r="91" spans="1:21">
      <c r="A91" s="48">
        <v>142</v>
      </c>
      <c r="B91" s="81"/>
      <c r="C91" s="81"/>
      <c r="D91" s="81"/>
      <c r="E91" s="80"/>
      <c r="F91" s="80"/>
      <c r="G91" s="36" t="s">
        <v>14</v>
      </c>
      <c r="H91" s="36" t="s">
        <v>288</v>
      </c>
      <c r="I91" s="26">
        <v>30</v>
      </c>
      <c r="J91" s="26">
        <v>158</v>
      </c>
      <c r="K91" s="26" t="s">
        <v>289</v>
      </c>
      <c r="L91" s="26" t="s">
        <v>82</v>
      </c>
      <c r="M91" s="26" t="s">
        <v>93</v>
      </c>
      <c r="N91" s="26" t="s">
        <v>290</v>
      </c>
      <c r="O91" s="26" t="s">
        <v>10</v>
      </c>
      <c r="P91" s="26" t="s">
        <v>9</v>
      </c>
      <c r="Q91" s="26" t="s">
        <v>29</v>
      </c>
      <c r="R91" s="26" t="s">
        <v>32</v>
      </c>
      <c r="S91" s="26" t="s">
        <v>291</v>
      </c>
      <c r="T91" s="26" t="s">
        <v>292</v>
      </c>
      <c r="U91" s="26">
        <v>0</v>
      </c>
    </row>
    <row r="92" spans="1:21">
      <c r="A92" s="48">
        <v>33</v>
      </c>
      <c r="B92" s="80"/>
      <c r="C92" s="80"/>
      <c r="D92" s="80"/>
      <c r="E92" s="80"/>
      <c r="F92" s="80"/>
      <c r="G92" s="26" t="s">
        <v>14</v>
      </c>
      <c r="H92" s="36" t="s">
        <v>631</v>
      </c>
      <c r="I92" s="26">
        <v>30</v>
      </c>
      <c r="J92" s="26">
        <v>158</v>
      </c>
      <c r="K92" s="26" t="s">
        <v>632</v>
      </c>
      <c r="L92" s="26" t="s">
        <v>36</v>
      </c>
      <c r="M92" s="26" t="s">
        <v>93</v>
      </c>
      <c r="N92" s="26" t="s">
        <v>633</v>
      </c>
      <c r="O92" s="26" t="s">
        <v>634</v>
      </c>
      <c r="P92" s="26" t="s">
        <v>31</v>
      </c>
      <c r="Q92" s="26" t="s">
        <v>10</v>
      </c>
      <c r="R92" s="26" t="s">
        <v>10</v>
      </c>
      <c r="S92" s="26" t="s">
        <v>635</v>
      </c>
      <c r="T92" s="26" t="s">
        <v>636</v>
      </c>
      <c r="U92" s="26">
        <v>0</v>
      </c>
    </row>
    <row r="93" spans="1:21">
      <c r="A93" s="48">
        <v>133</v>
      </c>
      <c r="B93" s="81"/>
      <c r="C93" s="81"/>
      <c r="D93" s="81"/>
      <c r="E93" s="80"/>
      <c r="F93" s="80"/>
      <c r="G93" s="36" t="s">
        <v>14</v>
      </c>
      <c r="H93" s="36" t="s">
        <v>310</v>
      </c>
      <c r="I93" s="26">
        <v>30</v>
      </c>
      <c r="J93" s="26">
        <v>160</v>
      </c>
      <c r="K93" s="26" t="s">
        <v>311</v>
      </c>
      <c r="L93" s="26" t="s">
        <v>25</v>
      </c>
      <c r="M93" s="26" t="s">
        <v>93</v>
      </c>
      <c r="N93" s="26" t="s">
        <v>28</v>
      </c>
      <c r="O93" s="26" t="s">
        <v>10</v>
      </c>
      <c r="P93" s="26" t="s">
        <v>9</v>
      </c>
      <c r="Q93" s="26" t="s">
        <v>29</v>
      </c>
      <c r="R93" s="26" t="s">
        <v>10</v>
      </c>
      <c r="S93" s="26" t="s">
        <v>312</v>
      </c>
      <c r="T93" s="26" t="s">
        <v>313</v>
      </c>
      <c r="U93" s="26">
        <v>0</v>
      </c>
    </row>
    <row r="94" spans="1:21">
      <c r="A94" s="48">
        <v>184</v>
      </c>
      <c r="B94" s="81"/>
      <c r="C94" s="81"/>
      <c r="D94" s="81"/>
      <c r="E94" s="80"/>
      <c r="F94" s="80"/>
      <c r="G94" s="36" t="s">
        <v>14</v>
      </c>
      <c r="H94" s="36" t="s">
        <v>823</v>
      </c>
      <c r="I94" s="26">
        <v>30</v>
      </c>
      <c r="J94" s="26">
        <v>163</v>
      </c>
      <c r="K94" s="26" t="s">
        <v>824</v>
      </c>
      <c r="L94" s="26" t="s">
        <v>25</v>
      </c>
      <c r="M94" s="26" t="s">
        <v>55</v>
      </c>
      <c r="N94" s="26" t="s">
        <v>12</v>
      </c>
      <c r="O94" s="26" t="s">
        <v>10</v>
      </c>
      <c r="P94" s="26" t="s">
        <v>9</v>
      </c>
      <c r="Q94" s="26" t="s">
        <v>29</v>
      </c>
      <c r="R94" s="26" t="s">
        <v>32</v>
      </c>
      <c r="S94" s="26" t="s">
        <v>825</v>
      </c>
      <c r="T94" s="26" t="s">
        <v>826</v>
      </c>
      <c r="U94" s="26">
        <v>0</v>
      </c>
    </row>
    <row r="95" spans="1:21">
      <c r="A95" s="48">
        <v>51</v>
      </c>
      <c r="B95" s="80"/>
      <c r="C95" s="80"/>
      <c r="D95" s="80"/>
      <c r="E95" s="80"/>
      <c r="F95" s="80"/>
      <c r="G95" s="26" t="s">
        <v>14</v>
      </c>
      <c r="H95" s="26" t="s">
        <v>1070</v>
      </c>
      <c r="I95" s="26">
        <v>30</v>
      </c>
      <c r="J95" s="26">
        <v>165</v>
      </c>
      <c r="K95" s="26" t="s">
        <v>868</v>
      </c>
      <c r="L95" s="26" t="s">
        <v>82</v>
      </c>
      <c r="M95" s="26" t="s">
        <v>55</v>
      </c>
      <c r="N95" s="26" t="s">
        <v>28</v>
      </c>
      <c r="O95" s="26" t="s">
        <v>10</v>
      </c>
      <c r="P95" s="26" t="s">
        <v>9</v>
      </c>
      <c r="Q95" s="26" t="s">
        <v>29</v>
      </c>
      <c r="R95" s="26" t="s">
        <v>133</v>
      </c>
      <c r="S95" s="26" t="s">
        <v>1072</v>
      </c>
      <c r="T95" s="26" t="s">
        <v>1073</v>
      </c>
      <c r="U95" s="26">
        <v>0</v>
      </c>
    </row>
    <row r="96" spans="1:21">
      <c r="A96" s="48">
        <v>176</v>
      </c>
      <c r="B96" s="81"/>
      <c r="C96" s="81"/>
      <c r="D96" s="81"/>
      <c r="E96" s="80"/>
      <c r="F96" s="80"/>
      <c r="G96" s="36" t="s">
        <v>14</v>
      </c>
      <c r="H96" s="36" t="s">
        <v>585</v>
      </c>
      <c r="I96" s="26">
        <v>30</v>
      </c>
      <c r="J96" s="26">
        <v>165</v>
      </c>
      <c r="K96" s="26" t="s">
        <v>586</v>
      </c>
      <c r="L96" s="26" t="s">
        <v>25</v>
      </c>
      <c r="M96" s="26" t="s">
        <v>65</v>
      </c>
      <c r="N96" s="26" t="s">
        <v>51</v>
      </c>
      <c r="O96" s="26" t="s">
        <v>10</v>
      </c>
      <c r="P96" s="26">
        <v>0</v>
      </c>
      <c r="Q96" s="26" t="s">
        <v>10</v>
      </c>
      <c r="R96" s="26" t="s">
        <v>11</v>
      </c>
      <c r="S96" s="26" t="s">
        <v>587</v>
      </c>
      <c r="T96" s="26" t="s">
        <v>588</v>
      </c>
      <c r="U96" s="26">
        <v>0</v>
      </c>
    </row>
    <row r="97" spans="1:21">
      <c r="A97" s="48">
        <v>75</v>
      </c>
      <c r="B97" s="81"/>
      <c r="C97" s="81"/>
      <c r="D97" s="81"/>
      <c r="E97" s="80"/>
      <c r="F97" s="80"/>
      <c r="G97" s="5" t="s">
        <v>14</v>
      </c>
      <c r="H97" s="47" t="s">
        <v>969</v>
      </c>
      <c r="I97" s="50">
        <v>30</v>
      </c>
      <c r="J97" s="37">
        <v>166</v>
      </c>
      <c r="K97" s="4" t="s">
        <v>970</v>
      </c>
      <c r="L97" s="4" t="s">
        <v>36</v>
      </c>
      <c r="M97" s="4" t="s">
        <v>93</v>
      </c>
      <c r="N97" s="4" t="s">
        <v>907</v>
      </c>
      <c r="O97" s="4" t="s">
        <v>971</v>
      </c>
      <c r="P97" s="4" t="s">
        <v>9</v>
      </c>
      <c r="Q97" s="4" t="s">
        <v>29</v>
      </c>
      <c r="R97" s="4" t="s">
        <v>10</v>
      </c>
      <c r="S97" s="4" t="s">
        <v>972</v>
      </c>
      <c r="T97" s="4" t="s">
        <v>973</v>
      </c>
      <c r="U97" s="4">
        <v>0</v>
      </c>
    </row>
    <row r="98" spans="1:21">
      <c r="A98" s="48">
        <v>215</v>
      </c>
      <c r="B98" s="85"/>
      <c r="C98" s="85"/>
      <c r="D98" s="85"/>
      <c r="E98" s="80"/>
      <c r="F98" s="80"/>
      <c r="G98" s="26" t="s">
        <v>14</v>
      </c>
      <c r="H98" s="36" t="s">
        <v>1165</v>
      </c>
      <c r="I98" s="26">
        <v>30</v>
      </c>
      <c r="J98" s="26">
        <v>170</v>
      </c>
      <c r="K98" s="26" t="s">
        <v>273</v>
      </c>
      <c r="L98" s="26" t="s">
        <v>25</v>
      </c>
      <c r="M98" s="26" t="s">
        <v>93</v>
      </c>
      <c r="N98" s="26" t="s">
        <v>30</v>
      </c>
      <c r="O98" s="26" t="s">
        <v>10</v>
      </c>
      <c r="P98" s="26" t="s">
        <v>31</v>
      </c>
      <c r="Q98" s="26" t="s">
        <v>29</v>
      </c>
      <c r="R98" s="26" t="s">
        <v>10</v>
      </c>
      <c r="S98" s="26" t="s">
        <v>1167</v>
      </c>
      <c r="T98" s="26" t="s">
        <v>1168</v>
      </c>
      <c r="U98" s="26">
        <v>0</v>
      </c>
    </row>
    <row r="99" spans="1:21">
      <c r="A99" s="48">
        <v>156</v>
      </c>
      <c r="B99" s="81"/>
      <c r="C99" s="81"/>
      <c r="D99" s="81"/>
      <c r="E99" s="80"/>
      <c r="F99" s="80"/>
      <c r="G99" s="36" t="s">
        <v>14</v>
      </c>
      <c r="H99" s="36" t="s">
        <v>106</v>
      </c>
      <c r="I99" s="26">
        <v>30</v>
      </c>
      <c r="J99" s="26">
        <v>170</v>
      </c>
      <c r="K99" s="26" t="s">
        <v>108</v>
      </c>
      <c r="L99" s="26" t="s">
        <v>25</v>
      </c>
      <c r="M99" s="26" t="s">
        <v>65</v>
      </c>
      <c r="N99" s="26" t="s">
        <v>72</v>
      </c>
      <c r="O99" s="26" t="s">
        <v>109</v>
      </c>
      <c r="P99" s="26" t="s">
        <v>9</v>
      </c>
      <c r="Q99" s="26" t="s">
        <v>10</v>
      </c>
      <c r="R99" s="26" t="s">
        <v>11</v>
      </c>
      <c r="S99" s="26" t="s">
        <v>110</v>
      </c>
      <c r="T99" s="26" t="s">
        <v>111</v>
      </c>
      <c r="U99" s="26">
        <v>0</v>
      </c>
    </row>
    <row r="100" spans="1:21">
      <c r="A100" s="48">
        <v>359</v>
      </c>
      <c r="B100" s="80"/>
      <c r="C100" s="80"/>
      <c r="D100" s="80"/>
      <c r="G100" s="4" t="s">
        <v>14</v>
      </c>
      <c r="H100" s="4" t="s">
        <v>2067</v>
      </c>
      <c r="I100" s="4">
        <v>30</v>
      </c>
      <c r="J100" s="4">
        <v>161</v>
      </c>
      <c r="K100" s="4" t="s">
        <v>2068</v>
      </c>
      <c r="L100" s="4" t="s">
        <v>25</v>
      </c>
      <c r="M100" s="4" t="s">
        <v>15</v>
      </c>
      <c r="N100" s="4" t="s">
        <v>18</v>
      </c>
      <c r="O100" s="4" t="s">
        <v>10</v>
      </c>
      <c r="P100" s="4" t="s">
        <v>9</v>
      </c>
      <c r="Q100" s="4" t="s">
        <v>10</v>
      </c>
      <c r="R100" s="4" t="s">
        <v>10</v>
      </c>
      <c r="S100" s="4" t="s">
        <v>2069</v>
      </c>
      <c r="T100" s="4" t="s">
        <v>2070</v>
      </c>
      <c r="U100" s="4" t="s">
        <v>2071</v>
      </c>
    </row>
    <row r="101" spans="1:21">
      <c r="A101" s="107">
        <v>365</v>
      </c>
      <c r="B101" s="81"/>
      <c r="C101" s="81"/>
      <c r="D101" s="81"/>
      <c r="E101" s="80"/>
      <c r="F101" s="81"/>
      <c r="G101" s="26" t="s">
        <v>14</v>
      </c>
      <c r="H101" s="26" t="s">
        <v>2713</v>
      </c>
      <c r="I101" s="26">
        <v>30</v>
      </c>
      <c r="J101" s="26">
        <v>160</v>
      </c>
      <c r="K101" s="26" t="s">
        <v>2652</v>
      </c>
      <c r="L101" s="26" t="s">
        <v>25</v>
      </c>
      <c r="M101" s="26" t="s">
        <v>55</v>
      </c>
      <c r="N101" s="4" t="s">
        <v>2714</v>
      </c>
      <c r="O101" s="4" t="s">
        <v>10</v>
      </c>
      <c r="P101" s="4" t="s">
        <v>9</v>
      </c>
      <c r="Q101" s="4" t="s">
        <v>10</v>
      </c>
      <c r="R101" s="4" t="s">
        <v>79</v>
      </c>
      <c r="S101" s="4" t="s">
        <v>2715</v>
      </c>
      <c r="T101" s="4" t="s">
        <v>2716</v>
      </c>
      <c r="U101" s="4">
        <v>0</v>
      </c>
    </row>
    <row r="102" spans="1:21">
      <c r="A102" s="48">
        <v>326</v>
      </c>
      <c r="B102" s="81">
        <v>1</v>
      </c>
      <c r="C102" s="81"/>
      <c r="D102" s="81"/>
      <c r="E102" s="80"/>
      <c r="F102" s="80"/>
      <c r="G102" s="36" t="s">
        <v>8</v>
      </c>
      <c r="H102" s="26" t="s">
        <v>1799</v>
      </c>
      <c r="I102" s="26">
        <v>31</v>
      </c>
      <c r="J102" s="26">
        <v>175</v>
      </c>
      <c r="K102" s="26" t="s">
        <v>1800</v>
      </c>
      <c r="L102" s="26" t="s">
        <v>459</v>
      </c>
      <c r="M102" s="26" t="s">
        <v>34</v>
      </c>
      <c r="N102" s="26" t="s">
        <v>12</v>
      </c>
      <c r="O102" s="26" t="s">
        <v>10</v>
      </c>
      <c r="P102" s="26" t="s">
        <v>9</v>
      </c>
      <c r="Q102" s="26" t="s">
        <v>10</v>
      </c>
      <c r="R102" s="26" t="s">
        <v>10</v>
      </c>
      <c r="S102" s="26" t="s">
        <v>1801</v>
      </c>
      <c r="T102" s="26" t="s">
        <v>808</v>
      </c>
      <c r="U102" s="26">
        <v>0</v>
      </c>
    </row>
    <row r="103" spans="1:21">
      <c r="A103" s="48">
        <v>370</v>
      </c>
      <c r="B103" s="81">
        <v>1</v>
      </c>
      <c r="C103" s="81"/>
      <c r="D103" s="81"/>
      <c r="E103" s="80"/>
      <c r="F103" s="81"/>
      <c r="G103" s="26" t="s">
        <v>8</v>
      </c>
      <c r="H103" s="26" t="s">
        <v>2729</v>
      </c>
      <c r="I103" s="26">
        <v>31</v>
      </c>
      <c r="J103" s="26">
        <v>183</v>
      </c>
      <c r="K103" s="26" t="s">
        <v>2681</v>
      </c>
      <c r="L103" s="26" t="s">
        <v>460</v>
      </c>
      <c r="M103" s="26" t="s">
        <v>21</v>
      </c>
      <c r="N103" s="4" t="s">
        <v>380</v>
      </c>
      <c r="O103" s="4" t="s">
        <v>2730</v>
      </c>
      <c r="P103" s="4" t="s">
        <v>9</v>
      </c>
      <c r="Q103" s="4" t="s">
        <v>10</v>
      </c>
      <c r="R103" s="4" t="s">
        <v>10</v>
      </c>
      <c r="S103" s="4" t="s">
        <v>2731</v>
      </c>
      <c r="T103" s="4" t="s">
        <v>2732</v>
      </c>
      <c r="U103" s="4">
        <v>0</v>
      </c>
    </row>
    <row r="104" spans="1:21">
      <c r="A104" s="48">
        <v>319</v>
      </c>
      <c r="B104" s="81"/>
      <c r="C104" s="81"/>
      <c r="D104" s="81"/>
      <c r="E104" s="80"/>
      <c r="F104" s="80"/>
      <c r="G104" s="36" t="s">
        <v>8</v>
      </c>
      <c r="H104" s="26" t="s">
        <v>1774</v>
      </c>
      <c r="I104" s="26">
        <v>31</v>
      </c>
      <c r="J104" s="26">
        <v>161</v>
      </c>
      <c r="K104" s="26" t="s">
        <v>1644</v>
      </c>
      <c r="L104" s="26" t="s">
        <v>460</v>
      </c>
      <c r="M104" s="26" t="s">
        <v>64</v>
      </c>
      <c r="N104" s="26" t="s">
        <v>76</v>
      </c>
      <c r="O104" s="26" t="s">
        <v>10</v>
      </c>
      <c r="P104" s="26" t="s">
        <v>9</v>
      </c>
      <c r="Q104" s="26" t="s">
        <v>10</v>
      </c>
      <c r="R104" s="26" t="s">
        <v>10</v>
      </c>
      <c r="S104" s="26" t="s">
        <v>1775</v>
      </c>
      <c r="T104" s="26" t="s">
        <v>1776</v>
      </c>
      <c r="U104" s="26">
        <v>0</v>
      </c>
    </row>
    <row r="105" spans="1:21">
      <c r="A105" s="48">
        <v>152</v>
      </c>
      <c r="B105" s="81"/>
      <c r="C105" s="81"/>
      <c r="D105" s="81"/>
      <c r="E105" s="80"/>
      <c r="F105" s="80"/>
      <c r="G105" s="26" t="s">
        <v>8</v>
      </c>
      <c r="H105" s="26" t="s">
        <v>805</v>
      </c>
      <c r="I105" s="26">
        <v>31</v>
      </c>
      <c r="J105" s="26">
        <v>170</v>
      </c>
      <c r="K105" s="26" t="s">
        <v>806</v>
      </c>
      <c r="L105" s="26" t="s">
        <v>460</v>
      </c>
      <c r="M105" s="26" t="s">
        <v>22</v>
      </c>
      <c r="N105" s="26" t="s">
        <v>732</v>
      </c>
      <c r="O105" s="26" t="s">
        <v>10</v>
      </c>
      <c r="P105" s="26" t="s">
        <v>9</v>
      </c>
      <c r="Q105" s="26" t="s">
        <v>29</v>
      </c>
      <c r="R105" s="26" t="s">
        <v>10</v>
      </c>
      <c r="S105" s="26" t="s">
        <v>807</v>
      </c>
      <c r="T105" s="26" t="s">
        <v>808</v>
      </c>
      <c r="U105" s="26">
        <v>0</v>
      </c>
    </row>
    <row r="106" spans="1:21">
      <c r="A106" s="48">
        <v>79</v>
      </c>
      <c r="B106" s="81"/>
      <c r="C106" s="81"/>
      <c r="D106" s="81"/>
      <c r="E106" s="80"/>
      <c r="F106" s="80"/>
      <c r="G106" s="26" t="s">
        <v>8</v>
      </c>
      <c r="H106" s="26" t="s">
        <v>626</v>
      </c>
      <c r="I106" s="26">
        <v>31</v>
      </c>
      <c r="J106" s="26">
        <v>174</v>
      </c>
      <c r="K106" s="26" t="s">
        <v>627</v>
      </c>
      <c r="L106" s="26" t="s">
        <v>10</v>
      </c>
      <c r="M106" s="26" t="s">
        <v>10</v>
      </c>
      <c r="N106" s="26" t="s">
        <v>37</v>
      </c>
      <c r="O106" s="26" t="s">
        <v>10</v>
      </c>
      <c r="P106" s="26" t="s">
        <v>9</v>
      </c>
      <c r="Q106" s="26" t="s">
        <v>29</v>
      </c>
      <c r="R106" s="26" t="s">
        <v>10</v>
      </c>
      <c r="S106" s="26" t="s">
        <v>628</v>
      </c>
      <c r="T106" s="26" t="s">
        <v>629</v>
      </c>
      <c r="U106" s="26" t="s">
        <v>630</v>
      </c>
    </row>
    <row r="107" spans="1:21">
      <c r="A107" s="48">
        <v>80</v>
      </c>
      <c r="B107" s="81"/>
      <c r="C107" s="81"/>
      <c r="D107" s="81"/>
      <c r="E107" s="80"/>
      <c r="F107" s="80"/>
      <c r="G107" s="26" t="s">
        <v>8</v>
      </c>
      <c r="H107" s="26" t="s">
        <v>626</v>
      </c>
      <c r="I107" s="26">
        <v>31</v>
      </c>
      <c r="J107" s="26">
        <v>174</v>
      </c>
      <c r="K107" s="26" t="s">
        <v>627</v>
      </c>
      <c r="L107" s="26" t="s">
        <v>10</v>
      </c>
      <c r="M107" s="26" t="s">
        <v>10</v>
      </c>
      <c r="N107" s="26" t="s">
        <v>37</v>
      </c>
      <c r="O107" s="26" t="s">
        <v>10</v>
      </c>
      <c r="P107" s="26" t="s">
        <v>9</v>
      </c>
      <c r="Q107" s="26" t="s">
        <v>29</v>
      </c>
      <c r="R107" s="26" t="s">
        <v>10</v>
      </c>
      <c r="S107" s="26" t="s">
        <v>628</v>
      </c>
      <c r="T107" s="26" t="s">
        <v>629</v>
      </c>
      <c r="U107" s="26" t="s">
        <v>630</v>
      </c>
    </row>
    <row r="108" spans="1:21">
      <c r="A108" s="48">
        <v>242</v>
      </c>
      <c r="B108" s="86"/>
      <c r="C108" s="86"/>
      <c r="D108" s="86"/>
      <c r="G108" s="26" t="s">
        <v>8</v>
      </c>
      <c r="H108" s="26" t="s">
        <v>1315</v>
      </c>
      <c r="I108" s="26">
        <v>31</v>
      </c>
      <c r="J108" s="26">
        <v>174</v>
      </c>
      <c r="K108" s="26" t="s">
        <v>1316</v>
      </c>
      <c r="L108" s="26" t="s">
        <v>460</v>
      </c>
      <c r="M108" s="26" t="s">
        <v>34</v>
      </c>
      <c r="N108" s="26" t="s">
        <v>480</v>
      </c>
      <c r="O108" s="26" t="s">
        <v>10</v>
      </c>
      <c r="P108" s="26" t="s">
        <v>9</v>
      </c>
      <c r="Q108" s="26" t="s">
        <v>29</v>
      </c>
      <c r="R108" s="26" t="s">
        <v>10</v>
      </c>
      <c r="S108" s="26" t="s">
        <v>1317</v>
      </c>
      <c r="T108" s="26" t="s">
        <v>1318</v>
      </c>
      <c r="U108" s="26">
        <v>0</v>
      </c>
    </row>
    <row r="109" spans="1:21">
      <c r="A109" s="48">
        <v>29</v>
      </c>
      <c r="B109" s="81"/>
      <c r="C109" s="81"/>
      <c r="D109" s="81"/>
      <c r="E109" s="80"/>
      <c r="F109" s="80"/>
      <c r="G109" s="26" t="s">
        <v>8</v>
      </c>
      <c r="H109" s="26" t="s">
        <v>589</v>
      </c>
      <c r="I109" s="26">
        <v>31</v>
      </c>
      <c r="J109" s="26">
        <v>171</v>
      </c>
      <c r="K109" s="26" t="s">
        <v>590</v>
      </c>
      <c r="L109" s="26" t="s">
        <v>62</v>
      </c>
      <c r="M109" s="26" t="s">
        <v>591</v>
      </c>
      <c r="N109" s="26" t="s">
        <v>59</v>
      </c>
      <c r="O109" s="26" t="s">
        <v>592</v>
      </c>
      <c r="P109" s="26" t="s">
        <v>9</v>
      </c>
      <c r="Q109" s="26" t="s">
        <v>29</v>
      </c>
      <c r="R109" s="26" t="s">
        <v>10</v>
      </c>
      <c r="S109" s="26" t="s">
        <v>593</v>
      </c>
      <c r="T109" s="26" t="s">
        <v>594</v>
      </c>
      <c r="U109" s="26">
        <v>0</v>
      </c>
    </row>
    <row r="110" spans="1:21">
      <c r="A110" s="48">
        <v>31</v>
      </c>
      <c r="B110" s="81"/>
      <c r="C110" s="81"/>
      <c r="D110" s="81"/>
      <c r="E110" s="80"/>
      <c r="F110" s="80"/>
      <c r="G110" s="26" t="s">
        <v>8</v>
      </c>
      <c r="H110" s="26" t="s">
        <v>1027</v>
      </c>
      <c r="I110" s="26">
        <v>31</v>
      </c>
      <c r="J110" s="26">
        <v>176</v>
      </c>
      <c r="K110" s="26" t="s">
        <v>1028</v>
      </c>
      <c r="L110" s="26" t="s">
        <v>459</v>
      </c>
      <c r="M110" s="26" t="s">
        <v>34</v>
      </c>
      <c r="N110" s="26" t="s">
        <v>59</v>
      </c>
      <c r="O110" s="26" t="s">
        <v>10</v>
      </c>
      <c r="P110" s="26" t="s">
        <v>31</v>
      </c>
      <c r="Q110" s="26" t="s">
        <v>10</v>
      </c>
      <c r="R110" s="26" t="s">
        <v>10</v>
      </c>
      <c r="S110" s="26" t="s">
        <v>1029</v>
      </c>
      <c r="T110" s="26" t="s">
        <v>1030</v>
      </c>
      <c r="U110" s="26">
        <v>0</v>
      </c>
    </row>
    <row r="111" spans="1:21">
      <c r="A111" s="48">
        <v>63</v>
      </c>
      <c r="B111" s="81"/>
      <c r="C111" s="81"/>
      <c r="D111" s="81"/>
      <c r="E111" s="80"/>
      <c r="F111" s="80"/>
      <c r="G111" s="26" t="s">
        <v>8</v>
      </c>
      <c r="H111" s="26" t="s">
        <v>703</v>
      </c>
      <c r="I111" s="26">
        <v>31</v>
      </c>
      <c r="J111" s="26">
        <v>173</v>
      </c>
      <c r="K111" s="26" t="s">
        <v>704</v>
      </c>
      <c r="L111" s="26" t="s">
        <v>62</v>
      </c>
      <c r="M111" s="26" t="s">
        <v>22</v>
      </c>
      <c r="N111" s="26" t="s">
        <v>19</v>
      </c>
      <c r="O111" s="26" t="s">
        <v>10</v>
      </c>
      <c r="P111" s="26" t="s">
        <v>9</v>
      </c>
      <c r="Q111" s="26" t="s">
        <v>29</v>
      </c>
      <c r="R111" s="26" t="s">
        <v>707</v>
      </c>
      <c r="S111" s="26" t="s">
        <v>705</v>
      </c>
      <c r="T111" s="26" t="s">
        <v>706</v>
      </c>
      <c r="U111" s="26">
        <v>0</v>
      </c>
    </row>
    <row r="112" spans="1:21">
      <c r="A112" s="48">
        <v>103</v>
      </c>
      <c r="B112" s="81"/>
      <c r="C112" s="80"/>
      <c r="D112" s="80"/>
      <c r="E112" s="80"/>
      <c r="F112" s="80"/>
      <c r="G112" s="26" t="s">
        <v>8</v>
      </c>
      <c r="H112" s="26" t="s">
        <v>911</v>
      </c>
      <c r="I112" s="26">
        <v>31</v>
      </c>
      <c r="J112" s="26">
        <v>166</v>
      </c>
      <c r="K112" s="26" t="s">
        <v>913</v>
      </c>
      <c r="L112" s="26" t="s">
        <v>25</v>
      </c>
      <c r="M112" s="26" t="s">
        <v>1176</v>
      </c>
      <c r="N112" s="26" t="s">
        <v>13</v>
      </c>
      <c r="O112" s="26" t="s">
        <v>10</v>
      </c>
      <c r="P112" s="26" t="s">
        <v>9</v>
      </c>
      <c r="Q112" s="26" t="s">
        <v>10</v>
      </c>
      <c r="R112" s="26" t="s">
        <v>10</v>
      </c>
      <c r="S112" s="26" t="s">
        <v>914</v>
      </c>
      <c r="T112" s="26" t="s">
        <v>915</v>
      </c>
      <c r="U112" s="26">
        <v>0</v>
      </c>
    </row>
    <row r="113" spans="1:21">
      <c r="A113" s="48">
        <v>248</v>
      </c>
      <c r="B113" s="86"/>
      <c r="C113" s="86"/>
      <c r="D113" s="86"/>
      <c r="G113" s="26" t="s">
        <v>8</v>
      </c>
      <c r="H113" s="26" t="s">
        <v>1354</v>
      </c>
      <c r="I113" s="26">
        <v>31</v>
      </c>
      <c r="J113" s="26">
        <v>178</v>
      </c>
      <c r="K113" s="26" t="s">
        <v>1355</v>
      </c>
      <c r="L113" s="26" t="s">
        <v>460</v>
      </c>
      <c r="M113" s="26" t="s">
        <v>774</v>
      </c>
      <c r="N113" s="26" t="s">
        <v>469</v>
      </c>
      <c r="O113" s="26" t="s">
        <v>10</v>
      </c>
      <c r="P113" s="26" t="s">
        <v>9</v>
      </c>
      <c r="Q113" s="26" t="s">
        <v>10</v>
      </c>
      <c r="R113" s="26" t="s">
        <v>10</v>
      </c>
      <c r="S113" s="26" t="s">
        <v>1356</v>
      </c>
      <c r="T113" s="26" t="s">
        <v>1357</v>
      </c>
      <c r="U113" s="26"/>
    </row>
    <row r="114" spans="1:21">
      <c r="A114" s="107">
        <v>386</v>
      </c>
      <c r="B114" s="38"/>
      <c r="C114" s="79" t="s">
        <v>2883</v>
      </c>
      <c r="D114" s="79" t="s">
        <v>2883</v>
      </c>
      <c r="G114" s="26" t="s">
        <v>8</v>
      </c>
      <c r="H114" s="26" t="s">
        <v>2875</v>
      </c>
      <c r="I114" s="26">
        <v>31</v>
      </c>
      <c r="J114" s="26">
        <v>178</v>
      </c>
      <c r="K114" s="26" t="s">
        <v>2876</v>
      </c>
      <c r="L114" s="26" t="s">
        <v>460</v>
      </c>
      <c r="M114" s="26" t="s">
        <v>10</v>
      </c>
      <c r="N114" s="4" t="s">
        <v>203</v>
      </c>
      <c r="O114" s="4" t="s">
        <v>10</v>
      </c>
      <c r="P114" s="4" t="s">
        <v>9</v>
      </c>
      <c r="Q114" s="4" t="s">
        <v>63</v>
      </c>
      <c r="R114" s="4" t="s">
        <v>10</v>
      </c>
      <c r="S114" s="4" t="s">
        <v>2877</v>
      </c>
      <c r="T114" s="4" t="s">
        <v>2878</v>
      </c>
      <c r="U114" s="4">
        <v>0</v>
      </c>
    </row>
    <row r="115" spans="1:21">
      <c r="A115" s="104">
        <v>377</v>
      </c>
      <c r="B115" s="1">
        <v>1</v>
      </c>
      <c r="G115" s="26" t="s">
        <v>14</v>
      </c>
      <c r="H115" s="103" t="s">
        <v>2759</v>
      </c>
      <c r="I115" s="26">
        <v>31</v>
      </c>
      <c r="J115" s="26">
        <v>168</v>
      </c>
      <c r="K115" s="26" t="s">
        <v>2760</v>
      </c>
      <c r="L115" s="26" t="s">
        <v>82</v>
      </c>
      <c r="M115" s="26" t="s">
        <v>93</v>
      </c>
      <c r="N115" s="4" t="s">
        <v>35</v>
      </c>
      <c r="O115" s="4" t="s">
        <v>2761</v>
      </c>
      <c r="P115" s="4" t="s">
        <v>9</v>
      </c>
      <c r="Q115" s="4" t="s">
        <v>63</v>
      </c>
      <c r="R115" s="4" t="s">
        <v>11</v>
      </c>
      <c r="S115" s="4" t="s">
        <v>2762</v>
      </c>
      <c r="T115" s="4" t="s">
        <v>2763</v>
      </c>
      <c r="U115" s="4" t="s">
        <v>2071</v>
      </c>
    </row>
    <row r="116" spans="1:21">
      <c r="A116" s="48">
        <v>61</v>
      </c>
      <c r="B116" s="81">
        <v>1</v>
      </c>
      <c r="C116" s="81"/>
      <c r="D116" s="81"/>
      <c r="E116" s="80"/>
      <c r="F116" s="80"/>
      <c r="G116" s="26" t="s">
        <v>14</v>
      </c>
      <c r="H116" s="26" t="s">
        <v>926</v>
      </c>
      <c r="I116" s="26">
        <v>31</v>
      </c>
      <c r="J116" s="26">
        <v>170</v>
      </c>
      <c r="K116" s="26" t="s">
        <v>927</v>
      </c>
      <c r="L116" s="26" t="s">
        <v>25</v>
      </c>
      <c r="M116" s="26" t="s">
        <v>55</v>
      </c>
      <c r="N116" s="26" t="s">
        <v>928</v>
      </c>
      <c r="O116" s="26" t="s">
        <v>929</v>
      </c>
      <c r="P116" s="26" t="s">
        <v>9</v>
      </c>
      <c r="Q116" s="26" t="s">
        <v>10</v>
      </c>
      <c r="R116" s="26" t="s">
        <v>10</v>
      </c>
      <c r="S116" s="26" t="s">
        <v>930</v>
      </c>
      <c r="T116" s="26" t="s">
        <v>931</v>
      </c>
      <c r="U116" s="26">
        <v>0</v>
      </c>
    </row>
    <row r="117" spans="1:21">
      <c r="A117" s="48">
        <v>332</v>
      </c>
      <c r="B117" s="84">
        <v>1</v>
      </c>
      <c r="C117" s="84"/>
      <c r="D117" s="84"/>
      <c r="G117" s="26" t="s">
        <v>14</v>
      </c>
      <c r="H117" s="26" t="s">
        <v>1852</v>
      </c>
      <c r="I117" s="26">
        <v>31</v>
      </c>
      <c r="J117" s="26">
        <v>161</v>
      </c>
      <c r="K117" s="26" t="s">
        <v>1853</v>
      </c>
      <c r="L117" s="26" t="s">
        <v>25</v>
      </c>
      <c r="M117" s="26" t="s">
        <v>15</v>
      </c>
      <c r="N117" s="26" t="s">
        <v>13</v>
      </c>
      <c r="O117" s="26" t="s">
        <v>10</v>
      </c>
      <c r="P117" s="26" t="s">
        <v>31</v>
      </c>
      <c r="Q117" s="26" t="s">
        <v>29</v>
      </c>
      <c r="R117" s="26" t="s">
        <v>10</v>
      </c>
      <c r="S117" s="26" t="s">
        <v>1854</v>
      </c>
      <c r="T117" s="26" t="s">
        <v>271</v>
      </c>
      <c r="U117" s="26">
        <v>0</v>
      </c>
    </row>
    <row r="118" spans="1:21">
      <c r="A118" s="48">
        <v>290</v>
      </c>
      <c r="B118" s="84"/>
      <c r="C118" s="84"/>
      <c r="D118" s="84"/>
      <c r="G118" s="26" t="s">
        <v>14</v>
      </c>
      <c r="H118" s="26" t="s">
        <v>1558</v>
      </c>
      <c r="I118" s="26">
        <v>31</v>
      </c>
      <c r="J118" s="26">
        <v>162</v>
      </c>
      <c r="K118" s="26" t="s">
        <v>1560</v>
      </c>
      <c r="L118" s="26" t="s">
        <v>82</v>
      </c>
      <c r="M118" s="26" t="s">
        <v>15</v>
      </c>
      <c r="N118" s="26" t="s">
        <v>12</v>
      </c>
      <c r="O118" s="26" t="s">
        <v>10</v>
      </c>
      <c r="P118" s="26" t="s">
        <v>9</v>
      </c>
      <c r="Q118" s="26" t="s">
        <v>29</v>
      </c>
      <c r="R118" s="26" t="s">
        <v>60</v>
      </c>
      <c r="S118" s="26" t="s">
        <v>1561</v>
      </c>
      <c r="T118" s="26" t="s">
        <v>1562</v>
      </c>
      <c r="U118" s="26">
        <v>0</v>
      </c>
    </row>
    <row r="119" spans="1:21">
      <c r="A119" s="48">
        <v>298</v>
      </c>
      <c r="B119" s="84"/>
      <c r="C119" s="84"/>
      <c r="D119" s="84"/>
      <c r="G119" s="26" t="s">
        <v>14</v>
      </c>
      <c r="H119" s="26" t="s">
        <v>1632</v>
      </c>
      <c r="I119" s="26">
        <v>31</v>
      </c>
      <c r="J119" s="26">
        <v>160</v>
      </c>
      <c r="K119" s="26" t="s">
        <v>1633</v>
      </c>
      <c r="L119" s="26" t="s">
        <v>36</v>
      </c>
      <c r="M119" s="26" t="s">
        <v>93</v>
      </c>
      <c r="N119" s="26" t="s">
        <v>1125</v>
      </c>
      <c r="O119" s="26" t="s">
        <v>10</v>
      </c>
      <c r="P119" s="26" t="s">
        <v>9</v>
      </c>
      <c r="Q119" s="26" t="s">
        <v>10</v>
      </c>
      <c r="R119" s="26" t="s">
        <v>10</v>
      </c>
      <c r="S119" s="26" t="s">
        <v>1675</v>
      </c>
      <c r="T119" s="26" t="s">
        <v>1676</v>
      </c>
      <c r="U119" s="26">
        <v>0</v>
      </c>
    </row>
    <row r="120" spans="1:21">
      <c r="A120" s="48">
        <v>5</v>
      </c>
      <c r="B120" s="81"/>
      <c r="C120" s="81"/>
      <c r="D120" s="81"/>
      <c r="E120" s="80"/>
      <c r="F120" s="80"/>
      <c r="G120" s="5" t="s">
        <v>14</v>
      </c>
      <c r="H120" s="5" t="s">
        <v>357</v>
      </c>
      <c r="I120" s="50">
        <v>31</v>
      </c>
      <c r="J120" s="37">
        <v>158</v>
      </c>
      <c r="K120" s="4" t="s">
        <v>358</v>
      </c>
      <c r="L120" s="4" t="s">
        <v>36</v>
      </c>
      <c r="M120" s="4" t="s">
        <v>15</v>
      </c>
      <c r="N120" s="4" t="s">
        <v>12</v>
      </c>
      <c r="O120" s="4" t="s">
        <v>359</v>
      </c>
      <c r="P120" s="4" t="s">
        <v>9</v>
      </c>
      <c r="Q120" s="4" t="s">
        <v>10</v>
      </c>
      <c r="R120" s="4" t="s">
        <v>10</v>
      </c>
      <c r="S120" s="4" t="s">
        <v>360</v>
      </c>
      <c r="T120" s="4" t="s">
        <v>361</v>
      </c>
      <c r="U120" s="4">
        <v>0</v>
      </c>
    </row>
    <row r="121" spans="1:21">
      <c r="A121" s="48">
        <v>238</v>
      </c>
      <c r="B121" s="87"/>
      <c r="C121" s="87"/>
      <c r="D121" s="87"/>
      <c r="G121" s="26" t="s">
        <v>14</v>
      </c>
      <c r="H121" s="26" t="s">
        <v>1294</v>
      </c>
      <c r="I121" s="26">
        <v>31</v>
      </c>
      <c r="J121" s="26">
        <v>156</v>
      </c>
      <c r="K121" s="26" t="s">
        <v>1295</v>
      </c>
      <c r="L121" s="26" t="s">
        <v>36</v>
      </c>
      <c r="M121" s="26" t="s">
        <v>458</v>
      </c>
      <c r="N121" s="26" t="s">
        <v>71</v>
      </c>
      <c r="O121" s="26" t="s">
        <v>10</v>
      </c>
      <c r="P121" s="26" t="s">
        <v>75</v>
      </c>
      <c r="Q121" s="26" t="s">
        <v>57</v>
      </c>
      <c r="R121" s="26" t="s">
        <v>10</v>
      </c>
      <c r="S121" s="26" t="s">
        <v>1296</v>
      </c>
      <c r="T121" s="26" t="s">
        <v>1297</v>
      </c>
      <c r="U121" s="26">
        <v>0</v>
      </c>
    </row>
    <row r="122" spans="1:21">
      <c r="A122" s="48">
        <v>74</v>
      </c>
      <c r="B122" s="81"/>
      <c r="C122" s="81"/>
      <c r="D122" s="81"/>
      <c r="E122" s="80"/>
      <c r="F122" s="80"/>
      <c r="G122" s="47" t="s">
        <v>14</v>
      </c>
      <c r="H122" s="5" t="s">
        <v>560</v>
      </c>
      <c r="I122" s="50">
        <v>31</v>
      </c>
      <c r="J122" s="37">
        <v>163</v>
      </c>
      <c r="K122" s="4" t="s">
        <v>181</v>
      </c>
      <c r="L122" s="4" t="s">
        <v>82</v>
      </c>
      <c r="M122" s="4" t="s">
        <v>458</v>
      </c>
      <c r="N122" s="4" t="s">
        <v>81</v>
      </c>
      <c r="O122" s="4" t="s">
        <v>10</v>
      </c>
      <c r="P122" s="4" t="s">
        <v>9</v>
      </c>
      <c r="Q122" s="4" t="s">
        <v>10</v>
      </c>
      <c r="R122" s="4" t="s">
        <v>10</v>
      </c>
      <c r="S122" s="4" t="s">
        <v>562</v>
      </c>
      <c r="T122" s="4" t="s">
        <v>563</v>
      </c>
      <c r="U122" s="4">
        <v>0</v>
      </c>
    </row>
    <row r="123" spans="1:21">
      <c r="A123" s="48">
        <v>39</v>
      </c>
      <c r="B123" s="81"/>
      <c r="C123" s="81"/>
      <c r="D123" s="81"/>
      <c r="E123" s="80"/>
      <c r="F123" s="80"/>
      <c r="G123" s="26" t="s">
        <v>14</v>
      </c>
      <c r="H123" s="26" t="s">
        <v>800</v>
      </c>
      <c r="I123" s="26">
        <v>31</v>
      </c>
      <c r="J123" s="26">
        <v>164</v>
      </c>
      <c r="K123" s="26" t="s">
        <v>801</v>
      </c>
      <c r="L123" s="26" t="s">
        <v>36</v>
      </c>
      <c r="M123" s="26" t="s">
        <v>93</v>
      </c>
      <c r="N123" s="26" t="s">
        <v>802</v>
      </c>
      <c r="O123" s="26" t="s">
        <v>10</v>
      </c>
      <c r="P123" s="26" t="s">
        <v>75</v>
      </c>
      <c r="Q123" s="26" t="s">
        <v>29</v>
      </c>
      <c r="R123" s="26" t="s">
        <v>11</v>
      </c>
      <c r="S123" s="26" t="s">
        <v>803</v>
      </c>
      <c r="T123" s="26" t="s">
        <v>804</v>
      </c>
      <c r="U123" s="26">
        <v>0</v>
      </c>
    </row>
    <row r="124" spans="1:21">
      <c r="A124" s="48">
        <v>163</v>
      </c>
      <c r="B124" s="81"/>
      <c r="C124" s="81"/>
      <c r="D124" s="81"/>
      <c r="E124" s="80"/>
      <c r="F124" s="80"/>
      <c r="G124" s="36" t="s">
        <v>14</v>
      </c>
      <c r="H124" s="26" t="s">
        <v>675</v>
      </c>
      <c r="I124" s="26">
        <v>31</v>
      </c>
      <c r="J124" s="26">
        <v>165</v>
      </c>
      <c r="K124" s="26" t="s">
        <v>677</v>
      </c>
      <c r="L124" s="26" t="s">
        <v>764</v>
      </c>
      <c r="M124" s="26" t="s">
        <v>93</v>
      </c>
      <c r="N124" s="26" t="s">
        <v>263</v>
      </c>
      <c r="O124" s="26" t="s">
        <v>678</v>
      </c>
      <c r="P124" s="26" t="s">
        <v>31</v>
      </c>
      <c r="Q124" s="26" t="s">
        <v>29</v>
      </c>
      <c r="R124" s="26" t="s">
        <v>10</v>
      </c>
      <c r="S124" s="26" t="s">
        <v>679</v>
      </c>
      <c r="T124" s="26" t="s">
        <v>680</v>
      </c>
      <c r="U124" s="26">
        <v>0</v>
      </c>
    </row>
    <row r="125" spans="1:21">
      <c r="A125" s="48">
        <v>45</v>
      </c>
      <c r="B125" s="80"/>
      <c r="C125" s="80"/>
      <c r="D125" s="80"/>
      <c r="E125" s="80"/>
      <c r="F125" s="80"/>
      <c r="G125" s="26" t="s">
        <v>14</v>
      </c>
      <c r="H125" s="36" t="s">
        <v>487</v>
      </c>
      <c r="I125" s="26">
        <v>31</v>
      </c>
      <c r="J125" s="26">
        <v>165</v>
      </c>
      <c r="K125" s="26" t="s">
        <v>488</v>
      </c>
      <c r="L125" s="26" t="s">
        <v>82</v>
      </c>
      <c r="M125" s="26" t="s">
        <v>458</v>
      </c>
      <c r="N125" s="26" t="s">
        <v>19</v>
      </c>
      <c r="O125" s="26" t="s">
        <v>10</v>
      </c>
      <c r="P125" s="26" t="s">
        <v>31</v>
      </c>
      <c r="Q125" s="26" t="s">
        <v>10</v>
      </c>
      <c r="R125" s="26" t="s">
        <v>10</v>
      </c>
      <c r="S125" s="26" t="s">
        <v>489</v>
      </c>
      <c r="T125" s="26" t="s">
        <v>490</v>
      </c>
      <c r="U125" s="26">
        <v>0</v>
      </c>
    </row>
    <row r="126" spans="1:21">
      <c r="A126" s="48">
        <v>48</v>
      </c>
      <c r="B126" s="81"/>
      <c r="C126" s="81"/>
      <c r="D126" s="81"/>
      <c r="E126" s="80"/>
      <c r="F126" s="80"/>
      <c r="G126" s="26" t="s">
        <v>14</v>
      </c>
      <c r="H126" s="26" t="s">
        <v>998</v>
      </c>
      <c r="I126" s="26">
        <v>31</v>
      </c>
      <c r="J126" s="26">
        <v>167</v>
      </c>
      <c r="K126" s="26" t="s">
        <v>273</v>
      </c>
      <c r="L126" s="26" t="s">
        <v>25</v>
      </c>
      <c r="M126" s="26" t="s">
        <v>93</v>
      </c>
      <c r="N126" s="26" t="s">
        <v>35</v>
      </c>
      <c r="O126" s="26" t="s">
        <v>10</v>
      </c>
      <c r="P126" s="26" t="s">
        <v>20</v>
      </c>
      <c r="Q126" s="26" t="s">
        <v>10</v>
      </c>
      <c r="R126" s="26" t="s">
        <v>11</v>
      </c>
      <c r="S126" s="26" t="s">
        <v>999</v>
      </c>
      <c r="T126" s="26" t="s">
        <v>1000</v>
      </c>
      <c r="U126" s="26">
        <v>0</v>
      </c>
    </row>
    <row r="127" spans="1:21">
      <c r="A127" s="48">
        <v>217</v>
      </c>
      <c r="B127" s="88"/>
      <c r="C127" s="88"/>
      <c r="D127" s="88"/>
      <c r="E127" s="80"/>
      <c r="F127" s="80"/>
      <c r="G127" s="36" t="s">
        <v>14</v>
      </c>
      <c r="H127" s="26" t="s">
        <v>1177</v>
      </c>
      <c r="I127" s="26">
        <v>31</v>
      </c>
      <c r="J127" s="26">
        <v>167</v>
      </c>
      <c r="K127" s="26" t="s">
        <v>1179</v>
      </c>
      <c r="L127" s="26" t="s">
        <v>465</v>
      </c>
      <c r="M127" s="26" t="s">
        <v>458</v>
      </c>
      <c r="N127" s="26" t="s">
        <v>203</v>
      </c>
      <c r="O127" s="26" t="s">
        <v>35</v>
      </c>
      <c r="P127" s="26" t="s">
        <v>9</v>
      </c>
      <c r="Q127" s="26" t="s">
        <v>29</v>
      </c>
      <c r="R127" s="26" t="s">
        <v>10</v>
      </c>
      <c r="S127" s="26" t="s">
        <v>1180</v>
      </c>
      <c r="T127" s="26" t="s">
        <v>1181</v>
      </c>
      <c r="U127" s="26" t="s">
        <v>1182</v>
      </c>
    </row>
    <row r="128" spans="1:21">
      <c r="A128" s="48">
        <v>2</v>
      </c>
      <c r="B128" s="81"/>
      <c r="C128" s="81"/>
      <c r="D128" s="81"/>
      <c r="E128" s="80"/>
      <c r="F128" s="80"/>
      <c r="G128" s="26" t="s">
        <v>14</v>
      </c>
      <c r="H128" s="26" t="s">
        <v>555</v>
      </c>
      <c r="I128" s="26">
        <v>31</v>
      </c>
      <c r="J128" s="26">
        <v>169</v>
      </c>
      <c r="K128" s="26" t="s">
        <v>556</v>
      </c>
      <c r="L128" s="26" t="s">
        <v>462</v>
      </c>
      <c r="M128" s="26" t="s">
        <v>65</v>
      </c>
      <c r="N128" s="26" t="s">
        <v>557</v>
      </c>
      <c r="O128" s="26" t="s">
        <v>10</v>
      </c>
      <c r="P128" s="26" t="s">
        <v>9</v>
      </c>
      <c r="Q128" s="26" t="s">
        <v>29</v>
      </c>
      <c r="R128" s="26" t="s">
        <v>10</v>
      </c>
      <c r="S128" s="26" t="s">
        <v>558</v>
      </c>
      <c r="T128" s="26" t="s">
        <v>559</v>
      </c>
      <c r="U128" s="26">
        <v>0</v>
      </c>
    </row>
    <row r="129" spans="1:21">
      <c r="A129" s="48">
        <v>189</v>
      </c>
      <c r="B129" s="81"/>
      <c r="C129" s="81"/>
      <c r="D129" s="81"/>
      <c r="E129" s="80"/>
      <c r="F129" s="80"/>
      <c r="G129" s="26" t="s">
        <v>14</v>
      </c>
      <c r="H129" s="36" t="s">
        <v>876</v>
      </c>
      <c r="I129" s="26">
        <v>31</v>
      </c>
      <c r="J129" s="26">
        <v>161</v>
      </c>
      <c r="K129" s="26" t="s">
        <v>877</v>
      </c>
      <c r="L129" s="26" t="s">
        <v>36</v>
      </c>
      <c r="M129" s="26" t="s">
        <v>15</v>
      </c>
      <c r="N129" s="26" t="s">
        <v>878</v>
      </c>
      <c r="O129" s="26" t="s">
        <v>10</v>
      </c>
      <c r="P129" s="26" t="s">
        <v>879</v>
      </c>
      <c r="Q129" s="26" t="s">
        <v>10</v>
      </c>
      <c r="R129" s="26" t="s">
        <v>11</v>
      </c>
      <c r="S129" s="26" t="s">
        <v>880</v>
      </c>
      <c r="T129" s="26" t="s">
        <v>881</v>
      </c>
      <c r="U129" s="26">
        <v>0</v>
      </c>
    </row>
    <row r="130" spans="1:21">
      <c r="A130" s="48">
        <v>198</v>
      </c>
      <c r="B130" s="85"/>
      <c r="C130" s="85"/>
      <c r="D130" s="85"/>
      <c r="E130" s="80"/>
      <c r="F130" s="80"/>
      <c r="G130" s="36" t="s">
        <v>14</v>
      </c>
      <c r="H130" s="26" t="s">
        <v>1055</v>
      </c>
      <c r="I130" s="26">
        <v>31</v>
      </c>
      <c r="J130" s="26">
        <v>173</v>
      </c>
      <c r="K130" s="26" t="s">
        <v>1057</v>
      </c>
      <c r="L130" s="26" t="s">
        <v>36</v>
      </c>
      <c r="M130" s="26" t="s">
        <v>93</v>
      </c>
      <c r="N130" s="26" t="s">
        <v>12</v>
      </c>
      <c r="O130" s="26" t="s">
        <v>10</v>
      </c>
      <c r="P130" s="26">
        <v>0</v>
      </c>
      <c r="Q130" s="26">
        <v>0</v>
      </c>
      <c r="R130" s="26">
        <v>0</v>
      </c>
      <c r="S130" s="26" t="s">
        <v>1058</v>
      </c>
      <c r="T130" s="26" t="s">
        <v>1059</v>
      </c>
      <c r="U130" s="26" t="s">
        <v>1060</v>
      </c>
    </row>
    <row r="131" spans="1:21">
      <c r="A131" s="48">
        <v>46</v>
      </c>
      <c r="B131" s="81"/>
      <c r="C131" s="81"/>
      <c r="D131" s="81"/>
      <c r="E131" s="80"/>
      <c r="F131" s="80"/>
      <c r="G131" s="36" t="s">
        <v>14</v>
      </c>
      <c r="H131" s="36" t="s">
        <v>722</v>
      </c>
      <c r="I131" s="26">
        <v>31</v>
      </c>
      <c r="J131" s="26">
        <v>160</v>
      </c>
      <c r="K131" s="26" t="s">
        <v>723</v>
      </c>
      <c r="L131" s="26" t="s">
        <v>25</v>
      </c>
      <c r="M131" s="26" t="s">
        <v>769</v>
      </c>
      <c r="N131" s="26" t="s">
        <v>35</v>
      </c>
      <c r="O131" s="26" t="s">
        <v>10</v>
      </c>
      <c r="P131" s="26" t="s">
        <v>9</v>
      </c>
      <c r="Q131" s="26" t="s">
        <v>29</v>
      </c>
      <c r="R131" s="26" t="s">
        <v>69</v>
      </c>
      <c r="S131" s="26" t="s">
        <v>724</v>
      </c>
      <c r="T131" s="26" t="s">
        <v>725</v>
      </c>
      <c r="U131" s="26">
        <v>0</v>
      </c>
    </row>
    <row r="132" spans="1:21">
      <c r="A132" s="48">
        <v>30</v>
      </c>
      <c r="B132" s="81"/>
      <c r="C132" s="81"/>
      <c r="D132" s="81"/>
      <c r="E132" s="80"/>
      <c r="F132" s="80"/>
      <c r="G132" s="26" t="s">
        <v>14</v>
      </c>
      <c r="H132" s="26" t="s">
        <v>1079</v>
      </c>
      <c r="I132" s="26">
        <v>31</v>
      </c>
      <c r="J132" s="26">
        <v>175</v>
      </c>
      <c r="K132" s="26" t="s">
        <v>1080</v>
      </c>
      <c r="L132" s="26" t="s">
        <v>459</v>
      </c>
      <c r="M132" s="26" t="s">
        <v>65</v>
      </c>
      <c r="N132" s="26" t="s">
        <v>732</v>
      </c>
      <c r="O132" s="26" t="s">
        <v>1081</v>
      </c>
      <c r="P132" s="26">
        <v>0</v>
      </c>
      <c r="Q132" s="26">
        <v>0</v>
      </c>
      <c r="R132" s="26" t="s">
        <v>1084</v>
      </c>
      <c r="S132" s="26" t="s">
        <v>1082</v>
      </c>
      <c r="T132" s="26" t="s">
        <v>1083</v>
      </c>
      <c r="U132" s="26" t="s">
        <v>1085</v>
      </c>
    </row>
    <row r="133" spans="1:21">
      <c r="A133" s="48">
        <v>86</v>
      </c>
      <c r="B133" s="81"/>
      <c r="C133" s="81"/>
      <c r="D133" s="81"/>
      <c r="E133" s="80"/>
      <c r="F133" s="80"/>
      <c r="G133" s="36" t="s">
        <v>14</v>
      </c>
      <c r="H133" s="36" t="s">
        <v>503</v>
      </c>
      <c r="I133" s="26">
        <v>31</v>
      </c>
      <c r="J133" s="26">
        <v>161</v>
      </c>
      <c r="K133" s="26" t="s">
        <v>273</v>
      </c>
      <c r="L133" s="26" t="s">
        <v>25</v>
      </c>
      <c r="M133" s="26" t="s">
        <v>15</v>
      </c>
      <c r="N133" s="26" t="s">
        <v>70</v>
      </c>
      <c r="O133" s="26" t="s">
        <v>504</v>
      </c>
      <c r="P133" s="26" t="s">
        <v>31</v>
      </c>
      <c r="Q133" s="26" t="s">
        <v>29</v>
      </c>
      <c r="R133" s="26" t="s">
        <v>10</v>
      </c>
      <c r="S133" s="26" t="s">
        <v>505</v>
      </c>
      <c r="T133" s="26" t="s">
        <v>506</v>
      </c>
      <c r="U133" s="26" t="s">
        <v>507</v>
      </c>
    </row>
    <row r="134" spans="1:21">
      <c r="A134" s="48">
        <v>115</v>
      </c>
      <c r="B134" s="81"/>
      <c r="C134" s="81"/>
      <c r="D134" s="81"/>
      <c r="E134" s="80"/>
      <c r="F134" s="80"/>
      <c r="G134" s="36" t="s">
        <v>14</v>
      </c>
      <c r="H134" s="36" t="s">
        <v>785</v>
      </c>
      <c r="I134" s="26">
        <v>31</v>
      </c>
      <c r="J134" s="26">
        <v>158</v>
      </c>
      <c r="K134" s="26" t="s">
        <v>786</v>
      </c>
      <c r="L134" s="26" t="s">
        <v>25</v>
      </c>
      <c r="M134" s="26" t="s">
        <v>15</v>
      </c>
      <c r="N134" s="26" t="s">
        <v>30</v>
      </c>
      <c r="O134" s="26" t="s">
        <v>10</v>
      </c>
      <c r="P134" s="26" t="s">
        <v>49</v>
      </c>
      <c r="Q134" s="26" t="s">
        <v>57</v>
      </c>
      <c r="R134" s="26" t="s">
        <v>10</v>
      </c>
      <c r="S134" s="26" t="s">
        <v>787</v>
      </c>
      <c r="T134" s="26" t="s">
        <v>788</v>
      </c>
      <c r="U134" s="26">
        <v>0</v>
      </c>
    </row>
    <row r="135" spans="1:21">
      <c r="A135" s="48">
        <v>178</v>
      </c>
      <c r="B135" s="81"/>
      <c r="C135" s="81"/>
      <c r="D135" s="81"/>
      <c r="E135" s="80"/>
      <c r="F135" s="80"/>
      <c r="G135" s="26" t="s">
        <v>14</v>
      </c>
      <c r="H135" s="36" t="s">
        <v>809</v>
      </c>
      <c r="I135" s="26">
        <v>31</v>
      </c>
      <c r="J135" s="26">
        <v>155</v>
      </c>
      <c r="K135" s="26" t="s">
        <v>811</v>
      </c>
      <c r="L135" s="26" t="s">
        <v>25</v>
      </c>
      <c r="M135" s="26" t="s">
        <v>15</v>
      </c>
      <c r="N135" s="26" t="s">
        <v>18</v>
      </c>
      <c r="O135" s="26" t="s">
        <v>10</v>
      </c>
      <c r="P135" s="26" t="s">
        <v>9</v>
      </c>
      <c r="Q135" s="26" t="s">
        <v>29</v>
      </c>
      <c r="R135" s="26" t="s">
        <v>10</v>
      </c>
      <c r="S135" s="26" t="s">
        <v>812</v>
      </c>
      <c r="T135" s="26" t="s">
        <v>813</v>
      </c>
      <c r="U135" s="26" t="s">
        <v>814</v>
      </c>
    </row>
    <row r="136" spans="1:21">
      <c r="A136" s="48">
        <v>204</v>
      </c>
      <c r="B136" s="85"/>
      <c r="C136" s="85"/>
      <c r="D136" s="85"/>
      <c r="E136" s="80"/>
      <c r="F136" s="80"/>
      <c r="G136" s="26" t="s">
        <v>14</v>
      </c>
      <c r="H136" s="36" t="s">
        <v>831</v>
      </c>
      <c r="I136" s="26">
        <v>31</v>
      </c>
      <c r="J136" s="26">
        <v>165</v>
      </c>
      <c r="K136" s="26" t="s">
        <v>832</v>
      </c>
      <c r="L136" s="26" t="s">
        <v>462</v>
      </c>
      <c r="M136" s="26" t="s">
        <v>15</v>
      </c>
      <c r="N136" s="26" t="s">
        <v>480</v>
      </c>
      <c r="O136" s="26" t="s">
        <v>833</v>
      </c>
      <c r="P136" s="26" t="s">
        <v>9</v>
      </c>
      <c r="Q136" s="26" t="s">
        <v>10</v>
      </c>
      <c r="R136" s="26" t="s">
        <v>10</v>
      </c>
      <c r="S136" s="26" t="s">
        <v>834</v>
      </c>
      <c r="T136" s="26" t="s">
        <v>835</v>
      </c>
      <c r="U136" s="26" t="s">
        <v>836</v>
      </c>
    </row>
    <row r="137" spans="1:21">
      <c r="A137" s="48">
        <v>347</v>
      </c>
      <c r="G137" s="26" t="s">
        <v>14</v>
      </c>
      <c r="H137" s="26" t="s">
        <v>1943</v>
      </c>
      <c r="I137" s="26">
        <v>31</v>
      </c>
      <c r="J137" s="26">
        <v>153</v>
      </c>
      <c r="K137" s="26" t="s">
        <v>1944</v>
      </c>
      <c r="L137" s="26" t="s">
        <v>462</v>
      </c>
      <c r="M137" s="26" t="s">
        <v>55</v>
      </c>
      <c r="N137" s="26" t="s">
        <v>28</v>
      </c>
      <c r="O137" s="26" t="s">
        <v>10</v>
      </c>
      <c r="P137" s="26" t="s">
        <v>9</v>
      </c>
      <c r="Q137" s="26" t="s">
        <v>10</v>
      </c>
      <c r="R137" s="26" t="s">
        <v>1946</v>
      </c>
      <c r="S137" s="26" t="s">
        <v>1945</v>
      </c>
      <c r="T137" s="26">
        <v>0</v>
      </c>
      <c r="U137" s="26">
        <v>0</v>
      </c>
    </row>
    <row r="138" spans="1:21">
      <c r="A138" s="48">
        <v>338</v>
      </c>
      <c r="B138" s="79" t="s">
        <v>1897</v>
      </c>
      <c r="G138" s="26" t="s">
        <v>7</v>
      </c>
      <c r="H138" s="26" t="s">
        <v>1899</v>
      </c>
      <c r="I138" s="26">
        <v>32</v>
      </c>
      <c r="J138" s="26">
        <v>171</v>
      </c>
      <c r="K138" s="26" t="s">
        <v>1900</v>
      </c>
      <c r="L138" s="26" t="s">
        <v>460</v>
      </c>
      <c r="M138" s="26" t="s">
        <v>21</v>
      </c>
      <c r="N138" s="26" t="s">
        <v>30</v>
      </c>
      <c r="O138" s="26" t="s">
        <v>10</v>
      </c>
      <c r="P138" s="26" t="s">
        <v>31</v>
      </c>
      <c r="Q138" s="26" t="s">
        <v>10</v>
      </c>
      <c r="R138" s="26" t="s">
        <v>10</v>
      </c>
      <c r="S138" s="26" t="s">
        <v>1888</v>
      </c>
      <c r="T138" s="26" t="s">
        <v>1889</v>
      </c>
      <c r="U138" s="26" t="s">
        <v>1287</v>
      </c>
    </row>
    <row r="139" spans="1:21">
      <c r="A139" s="48">
        <v>338</v>
      </c>
      <c r="B139" s="84" t="s">
        <v>1121</v>
      </c>
      <c r="C139" s="84"/>
      <c r="D139" s="84"/>
      <c r="G139" s="26" t="s">
        <v>8</v>
      </c>
      <c r="H139" s="26" t="s">
        <v>1885</v>
      </c>
      <c r="I139" s="26">
        <v>32</v>
      </c>
      <c r="J139" s="26">
        <v>171</v>
      </c>
      <c r="K139" s="26" t="s">
        <v>1887</v>
      </c>
      <c r="L139" s="26" t="s">
        <v>460</v>
      </c>
      <c r="M139" s="26" t="s">
        <v>21</v>
      </c>
      <c r="N139" s="26" t="s">
        <v>30</v>
      </c>
      <c r="O139" s="26" t="s">
        <v>10</v>
      </c>
      <c r="P139" s="26" t="s">
        <v>31</v>
      </c>
      <c r="Q139" s="26" t="s">
        <v>10</v>
      </c>
      <c r="R139" s="26" t="s">
        <v>10</v>
      </c>
      <c r="S139" s="26" t="s">
        <v>1888</v>
      </c>
      <c r="T139" s="26" t="s">
        <v>1889</v>
      </c>
      <c r="U139" s="26" t="s">
        <v>1287</v>
      </c>
    </row>
    <row r="140" spans="1:21">
      <c r="A140" s="48">
        <v>251</v>
      </c>
      <c r="B140" s="86"/>
      <c r="C140" s="86"/>
      <c r="D140" s="86"/>
      <c r="G140" s="26" t="s">
        <v>8</v>
      </c>
      <c r="H140" s="26" t="s">
        <v>1368</v>
      </c>
      <c r="I140" s="26">
        <v>32</v>
      </c>
      <c r="J140" s="26">
        <v>175</v>
      </c>
      <c r="K140" s="26" t="s">
        <v>1370</v>
      </c>
      <c r="L140" s="26" t="s">
        <v>459</v>
      </c>
      <c r="M140" s="26" t="s">
        <v>591</v>
      </c>
      <c r="N140" s="26" t="s">
        <v>23</v>
      </c>
      <c r="O140" s="26" t="s">
        <v>10</v>
      </c>
      <c r="P140" s="26" t="s">
        <v>9</v>
      </c>
      <c r="Q140" s="26" t="s">
        <v>29</v>
      </c>
      <c r="R140" s="26"/>
      <c r="S140" s="26" t="s">
        <v>1371</v>
      </c>
      <c r="T140" s="26" t="s">
        <v>1372</v>
      </c>
      <c r="U140" s="26"/>
    </row>
    <row r="141" spans="1:21">
      <c r="A141" s="48">
        <v>272</v>
      </c>
      <c r="B141" s="84"/>
      <c r="C141" s="84"/>
      <c r="D141" s="84"/>
      <c r="G141" s="26" t="s">
        <v>8</v>
      </c>
      <c r="H141" s="26" t="s">
        <v>401</v>
      </c>
      <c r="I141" s="26">
        <v>32</v>
      </c>
      <c r="J141" s="26">
        <v>168</v>
      </c>
      <c r="K141" s="26" t="s">
        <v>1488</v>
      </c>
      <c r="L141" s="26" t="s">
        <v>25</v>
      </c>
      <c r="M141" s="26" t="s">
        <v>64</v>
      </c>
      <c r="N141" s="26" t="s">
        <v>252</v>
      </c>
      <c r="O141" s="26" t="s">
        <v>10</v>
      </c>
      <c r="P141" s="26" t="s">
        <v>9</v>
      </c>
      <c r="Q141" s="26" t="s">
        <v>10</v>
      </c>
      <c r="R141" s="26" t="s">
        <v>10</v>
      </c>
      <c r="S141" s="26" t="s">
        <v>1489</v>
      </c>
      <c r="T141" s="26" t="s">
        <v>1490</v>
      </c>
      <c r="U141" s="26" t="s">
        <v>1491</v>
      </c>
    </row>
    <row r="142" spans="1:21">
      <c r="A142" s="48">
        <v>325</v>
      </c>
      <c r="B142" s="81"/>
      <c r="C142" s="81"/>
      <c r="D142" s="81"/>
      <c r="E142" s="80"/>
      <c r="F142" s="80"/>
      <c r="G142" s="36" t="s">
        <v>8</v>
      </c>
      <c r="H142" s="26" t="s">
        <v>1795</v>
      </c>
      <c r="I142" s="26">
        <v>32</v>
      </c>
      <c r="J142" s="26">
        <v>173</v>
      </c>
      <c r="K142" s="26" t="s">
        <v>1796</v>
      </c>
      <c r="L142" s="26" t="s">
        <v>25</v>
      </c>
      <c r="M142" s="26" t="s">
        <v>591</v>
      </c>
      <c r="N142" s="26" t="s">
        <v>28</v>
      </c>
      <c r="O142" s="26" t="s">
        <v>10</v>
      </c>
      <c r="P142" s="26" t="s">
        <v>9</v>
      </c>
      <c r="Q142" s="26" t="s">
        <v>29</v>
      </c>
      <c r="R142" s="26" t="s">
        <v>10</v>
      </c>
      <c r="S142" s="26" t="s">
        <v>1797</v>
      </c>
      <c r="T142" s="26" t="s">
        <v>1798</v>
      </c>
      <c r="U142" s="26">
        <v>0</v>
      </c>
    </row>
    <row r="143" spans="1:21">
      <c r="A143" s="48">
        <v>288</v>
      </c>
      <c r="B143" s="84"/>
      <c r="G143" s="26" t="s">
        <v>8</v>
      </c>
      <c r="H143" s="26" t="s">
        <v>1551</v>
      </c>
      <c r="I143" s="26">
        <v>32</v>
      </c>
      <c r="J143" s="26">
        <v>185</v>
      </c>
      <c r="K143" s="26" t="s">
        <v>1552</v>
      </c>
      <c r="L143" s="26" t="s">
        <v>460</v>
      </c>
      <c r="M143" s="26" t="s">
        <v>772</v>
      </c>
      <c r="N143" s="26" t="s">
        <v>70</v>
      </c>
      <c r="O143" s="26" t="s">
        <v>10</v>
      </c>
      <c r="P143" s="26" t="s">
        <v>20</v>
      </c>
      <c r="Q143" s="26" t="s">
        <v>10</v>
      </c>
      <c r="R143" s="26" t="s">
        <v>10</v>
      </c>
      <c r="S143" s="26" t="s">
        <v>1553</v>
      </c>
      <c r="T143" s="26" t="s">
        <v>1554</v>
      </c>
      <c r="U143" s="26">
        <v>0</v>
      </c>
    </row>
    <row r="144" spans="1:21">
      <c r="A144" s="48">
        <v>280</v>
      </c>
      <c r="B144" s="84"/>
      <c r="C144" s="84"/>
      <c r="D144" s="84"/>
      <c r="G144" s="26" t="s">
        <v>8</v>
      </c>
      <c r="H144" s="26" t="s">
        <v>2056</v>
      </c>
      <c r="I144" s="26">
        <v>32</v>
      </c>
      <c r="J144" s="26">
        <v>170</v>
      </c>
      <c r="K144" s="26" t="s">
        <v>1524</v>
      </c>
      <c r="L144" s="26" t="s">
        <v>25</v>
      </c>
      <c r="M144" s="26" t="s">
        <v>22</v>
      </c>
      <c r="N144" s="26" t="s">
        <v>59</v>
      </c>
      <c r="O144" s="26" t="s">
        <v>10</v>
      </c>
      <c r="P144" s="26" t="s">
        <v>9</v>
      </c>
      <c r="Q144" s="26" t="s">
        <v>10</v>
      </c>
      <c r="R144" s="26" t="s">
        <v>11</v>
      </c>
      <c r="S144" s="26" t="s">
        <v>1525</v>
      </c>
      <c r="T144" s="26" t="s">
        <v>1526</v>
      </c>
      <c r="U144" s="26" t="s">
        <v>1527</v>
      </c>
    </row>
    <row r="145" spans="1:21">
      <c r="A145" s="48">
        <v>95</v>
      </c>
      <c r="B145" s="81"/>
      <c r="C145" s="81"/>
      <c r="D145" s="81"/>
      <c r="E145" s="80"/>
      <c r="F145" s="80"/>
      <c r="G145" s="26" t="s">
        <v>8</v>
      </c>
      <c r="H145" s="26" t="s">
        <v>524</v>
      </c>
      <c r="I145" s="26">
        <v>32</v>
      </c>
      <c r="J145" s="26">
        <v>175</v>
      </c>
      <c r="K145" s="26" t="s">
        <v>11</v>
      </c>
      <c r="L145" s="26" t="s">
        <v>62</v>
      </c>
      <c r="M145" s="26" t="s">
        <v>34</v>
      </c>
      <c r="N145" s="26" t="s">
        <v>469</v>
      </c>
      <c r="O145" s="26" t="s">
        <v>10</v>
      </c>
      <c r="P145" s="26" t="s">
        <v>9</v>
      </c>
      <c r="Q145" s="26" t="s">
        <v>10</v>
      </c>
      <c r="R145" s="26" t="s">
        <v>10</v>
      </c>
      <c r="S145" s="26" t="s">
        <v>525</v>
      </c>
      <c r="T145" s="26" t="s">
        <v>526</v>
      </c>
      <c r="U145" s="26">
        <v>0</v>
      </c>
    </row>
    <row r="146" spans="1:21">
      <c r="A146" s="48">
        <v>173</v>
      </c>
      <c r="B146" s="81"/>
      <c r="C146" s="81"/>
      <c r="D146" s="81"/>
      <c r="E146" s="80"/>
      <c r="F146" s="80"/>
      <c r="G146" s="26" t="s">
        <v>8</v>
      </c>
      <c r="H146" s="26" t="s">
        <v>615</v>
      </c>
      <c r="I146" s="26">
        <v>32</v>
      </c>
      <c r="J146" s="26">
        <v>178</v>
      </c>
      <c r="K146" s="26" t="s">
        <v>617</v>
      </c>
      <c r="L146" s="26" t="s">
        <v>36</v>
      </c>
      <c r="M146" s="26" t="s">
        <v>769</v>
      </c>
      <c r="N146" s="26" t="s">
        <v>23</v>
      </c>
      <c r="O146" s="26" t="s">
        <v>618</v>
      </c>
      <c r="P146" s="26" t="s">
        <v>9</v>
      </c>
      <c r="Q146" s="26" t="s">
        <v>29</v>
      </c>
      <c r="R146" s="26" t="s">
        <v>10</v>
      </c>
      <c r="S146" s="26" t="s">
        <v>619</v>
      </c>
      <c r="T146" s="26" t="s">
        <v>620</v>
      </c>
      <c r="U146" s="26">
        <v>0</v>
      </c>
    </row>
    <row r="147" spans="1:21">
      <c r="A147" s="48">
        <v>171</v>
      </c>
      <c r="B147" s="81"/>
      <c r="C147" s="81"/>
      <c r="D147" s="81"/>
      <c r="E147" s="80"/>
      <c r="F147" s="80"/>
      <c r="G147" s="26" t="s">
        <v>8</v>
      </c>
      <c r="H147" s="26" t="s">
        <v>138</v>
      </c>
      <c r="I147" s="26">
        <v>32</v>
      </c>
      <c r="J147" s="26">
        <v>170</v>
      </c>
      <c r="K147" s="26" t="s">
        <v>139</v>
      </c>
      <c r="L147" s="26" t="s">
        <v>25</v>
      </c>
      <c r="M147" s="26" t="s">
        <v>22</v>
      </c>
      <c r="N147" s="26" t="s">
        <v>59</v>
      </c>
      <c r="O147" s="26" t="s">
        <v>10</v>
      </c>
      <c r="P147" s="26" t="s">
        <v>9</v>
      </c>
      <c r="Q147" s="26" t="s">
        <v>29</v>
      </c>
      <c r="R147" s="26" t="s">
        <v>69</v>
      </c>
      <c r="S147" s="26" t="s">
        <v>140</v>
      </c>
      <c r="T147" s="26" t="s">
        <v>141</v>
      </c>
      <c r="U147" s="26">
        <v>0</v>
      </c>
    </row>
    <row r="148" spans="1:21">
      <c r="A148" s="48">
        <v>361</v>
      </c>
      <c r="B148" s="81"/>
      <c r="C148" s="81"/>
      <c r="D148" s="81"/>
      <c r="E148" s="80"/>
      <c r="F148" s="81"/>
      <c r="G148" s="26" t="s">
        <v>8</v>
      </c>
      <c r="H148" s="26" t="s">
        <v>2702</v>
      </c>
      <c r="I148" s="26">
        <v>32</v>
      </c>
      <c r="J148" s="26">
        <v>169</v>
      </c>
      <c r="K148" s="26" t="s">
        <v>147</v>
      </c>
      <c r="L148" s="26" t="s">
        <v>25</v>
      </c>
      <c r="M148" s="26" t="s">
        <v>10</v>
      </c>
      <c r="N148" s="4" t="s">
        <v>35</v>
      </c>
      <c r="O148" s="4" t="s">
        <v>2703</v>
      </c>
      <c r="P148" s="4" t="s">
        <v>20</v>
      </c>
      <c r="Q148" s="4" t="s">
        <v>10</v>
      </c>
      <c r="R148" s="4" t="s">
        <v>10</v>
      </c>
      <c r="S148" s="4" t="s">
        <v>2704</v>
      </c>
      <c r="T148" s="4" t="s">
        <v>808</v>
      </c>
      <c r="U148" s="4">
        <v>0</v>
      </c>
    </row>
    <row r="149" spans="1:21">
      <c r="A149" s="82">
        <v>383</v>
      </c>
      <c r="B149" s="211">
        <v>1</v>
      </c>
      <c r="C149" s="79" t="s">
        <v>2859</v>
      </c>
      <c r="D149" s="79" t="s">
        <v>2865</v>
      </c>
      <c r="E149" s="82">
        <v>1</v>
      </c>
      <c r="F149" s="82">
        <v>1</v>
      </c>
      <c r="G149" s="26" t="s">
        <v>14</v>
      </c>
      <c r="H149" s="26" t="s">
        <v>2806</v>
      </c>
      <c r="I149" s="26">
        <v>32</v>
      </c>
      <c r="J149" s="26">
        <v>164</v>
      </c>
      <c r="K149" s="26" t="s">
        <v>2807</v>
      </c>
      <c r="L149" s="26" t="s">
        <v>25</v>
      </c>
      <c r="M149" s="26" t="s">
        <v>93</v>
      </c>
      <c r="N149" s="4" t="s">
        <v>30</v>
      </c>
      <c r="O149" s="4" t="s">
        <v>2808</v>
      </c>
      <c r="P149" s="4" t="s">
        <v>9</v>
      </c>
      <c r="Q149" s="4" t="s">
        <v>63</v>
      </c>
      <c r="R149" s="4" t="s">
        <v>10</v>
      </c>
      <c r="S149" s="4" t="s">
        <v>2809</v>
      </c>
      <c r="T149" s="4" t="s">
        <v>2810</v>
      </c>
      <c r="U149" s="4">
        <v>0</v>
      </c>
    </row>
    <row r="150" spans="1:21">
      <c r="A150" s="82">
        <v>378</v>
      </c>
      <c r="B150" s="211">
        <v>1</v>
      </c>
      <c r="C150" s="79" t="s">
        <v>2860</v>
      </c>
      <c r="D150" s="79" t="s">
        <v>2860</v>
      </c>
      <c r="G150" s="26" t="s">
        <v>14</v>
      </c>
      <c r="H150" s="26" t="s">
        <v>2788</v>
      </c>
      <c r="I150" s="26">
        <v>32</v>
      </c>
      <c r="J150" s="26">
        <v>165</v>
      </c>
      <c r="K150" s="26" t="s">
        <v>2789</v>
      </c>
      <c r="L150" s="26" t="s">
        <v>36</v>
      </c>
      <c r="M150" s="26" t="s">
        <v>93</v>
      </c>
      <c r="N150" s="4" t="s">
        <v>35</v>
      </c>
      <c r="O150" s="4" t="s">
        <v>10</v>
      </c>
      <c r="P150" s="4" t="s">
        <v>9</v>
      </c>
      <c r="Q150" s="4" t="s">
        <v>63</v>
      </c>
      <c r="R150" s="4" t="s">
        <v>1367</v>
      </c>
      <c r="S150" s="4" t="s">
        <v>2790</v>
      </c>
      <c r="T150" s="4" t="s">
        <v>2791</v>
      </c>
      <c r="U150" s="4">
        <v>0</v>
      </c>
    </row>
    <row r="151" spans="1:21">
      <c r="A151" s="48">
        <v>228</v>
      </c>
      <c r="B151" s="88">
        <v>1</v>
      </c>
      <c r="C151" s="88"/>
      <c r="D151" s="88"/>
      <c r="G151" s="26" t="s">
        <v>14</v>
      </c>
      <c r="H151" s="26" t="s">
        <v>1227</v>
      </c>
      <c r="I151" s="26">
        <v>32</v>
      </c>
      <c r="J151" s="26">
        <v>158.80000000000001</v>
      </c>
      <c r="K151" s="26" t="s">
        <v>1229</v>
      </c>
      <c r="L151" s="26" t="s">
        <v>25</v>
      </c>
      <c r="M151" s="26" t="s">
        <v>91</v>
      </c>
      <c r="N151" s="26" t="s">
        <v>18</v>
      </c>
      <c r="O151" s="26" t="s">
        <v>1230</v>
      </c>
      <c r="P151" s="26" t="s">
        <v>9</v>
      </c>
      <c r="Q151" s="26" t="s">
        <v>10</v>
      </c>
      <c r="R151" s="26" t="s">
        <v>10</v>
      </c>
      <c r="S151" s="26" t="s">
        <v>1231</v>
      </c>
      <c r="T151" s="26" t="s">
        <v>1232</v>
      </c>
      <c r="U151" s="26">
        <v>0</v>
      </c>
    </row>
    <row r="152" spans="1:21">
      <c r="A152" s="48">
        <v>324</v>
      </c>
      <c r="B152" s="81">
        <v>1</v>
      </c>
      <c r="C152" s="81"/>
      <c r="D152" s="81"/>
      <c r="E152" s="80"/>
      <c r="F152" s="80"/>
      <c r="G152" s="36" t="s">
        <v>14</v>
      </c>
      <c r="H152" s="26" t="s">
        <v>1792</v>
      </c>
      <c r="I152" s="26">
        <v>32</v>
      </c>
      <c r="J152" s="26">
        <v>168</v>
      </c>
      <c r="K152" s="26" t="s">
        <v>1793</v>
      </c>
      <c r="L152" s="26" t="s">
        <v>461</v>
      </c>
      <c r="M152" s="26" t="s">
        <v>93</v>
      </c>
      <c r="N152" s="26" t="s">
        <v>66</v>
      </c>
      <c r="O152" s="26" t="s">
        <v>10</v>
      </c>
      <c r="P152" s="26" t="s">
        <v>9</v>
      </c>
      <c r="Q152" s="26" t="s">
        <v>29</v>
      </c>
      <c r="R152" s="26" t="s">
        <v>79</v>
      </c>
      <c r="S152" s="26" t="s">
        <v>1218</v>
      </c>
      <c r="T152" s="26" t="s">
        <v>1794</v>
      </c>
      <c r="U152" s="26">
        <v>0</v>
      </c>
    </row>
    <row r="153" spans="1:21">
      <c r="A153" s="48">
        <v>255</v>
      </c>
      <c r="B153" s="86"/>
      <c r="C153" s="78"/>
      <c r="D153" s="78"/>
      <c r="G153" s="26" t="s">
        <v>14</v>
      </c>
      <c r="H153" s="26" t="s">
        <v>1386</v>
      </c>
      <c r="I153" s="26">
        <v>32</v>
      </c>
      <c r="J153" s="26">
        <v>160</v>
      </c>
      <c r="K153" s="26" t="s">
        <v>1387</v>
      </c>
      <c r="L153" s="26" t="s">
        <v>25</v>
      </c>
      <c r="M153" s="26" t="s">
        <v>458</v>
      </c>
      <c r="N153" s="26" t="s">
        <v>19</v>
      </c>
      <c r="O153" s="26" t="s">
        <v>10</v>
      </c>
      <c r="P153" s="26" t="s">
        <v>9</v>
      </c>
      <c r="Q153" s="26" t="s">
        <v>29</v>
      </c>
      <c r="R153" s="26" t="s">
        <v>10</v>
      </c>
      <c r="S153" s="26" t="s">
        <v>1388</v>
      </c>
      <c r="T153" s="26" t="s">
        <v>1389</v>
      </c>
      <c r="U153" s="26"/>
    </row>
    <row r="154" spans="1:21">
      <c r="A154" s="48">
        <v>302</v>
      </c>
      <c r="B154" s="84"/>
      <c r="C154" s="84"/>
      <c r="D154" s="84"/>
      <c r="G154" s="26" t="s">
        <v>14</v>
      </c>
      <c r="H154" s="26" t="s">
        <v>989</v>
      </c>
      <c r="I154" s="26">
        <v>32</v>
      </c>
      <c r="J154" s="26">
        <v>171</v>
      </c>
      <c r="K154" s="26" t="s">
        <v>1642</v>
      </c>
      <c r="L154" s="26" t="s">
        <v>82</v>
      </c>
      <c r="M154" s="26" t="s">
        <v>458</v>
      </c>
      <c r="N154" s="26" t="s">
        <v>1684</v>
      </c>
      <c r="O154" s="26" t="s">
        <v>10</v>
      </c>
      <c r="P154" s="26" t="s">
        <v>75</v>
      </c>
      <c r="Q154" s="26" t="s">
        <v>57</v>
      </c>
      <c r="R154" s="26" t="s">
        <v>11</v>
      </c>
      <c r="S154" s="26" t="s">
        <v>1685</v>
      </c>
      <c r="T154" s="26" t="s">
        <v>1686</v>
      </c>
      <c r="U154" s="26">
        <v>0</v>
      </c>
    </row>
    <row r="155" spans="1:21">
      <c r="A155" s="48">
        <v>266</v>
      </c>
      <c r="B155" s="84"/>
      <c r="C155" s="84"/>
      <c r="D155" s="84"/>
      <c r="G155" s="26" t="s">
        <v>14</v>
      </c>
      <c r="H155" s="26" t="s">
        <v>1463</v>
      </c>
      <c r="I155" s="26">
        <v>32</v>
      </c>
      <c r="J155" s="26">
        <v>161</v>
      </c>
      <c r="K155" s="26" t="s">
        <v>1464</v>
      </c>
      <c r="L155" s="26" t="s">
        <v>25</v>
      </c>
      <c r="M155" s="26" t="s">
        <v>93</v>
      </c>
      <c r="N155" s="26" t="s">
        <v>746</v>
      </c>
      <c r="O155" s="26" t="s">
        <v>10</v>
      </c>
      <c r="P155" s="26" t="s">
        <v>31</v>
      </c>
      <c r="Q155" s="26" t="s">
        <v>10</v>
      </c>
      <c r="R155" s="26" t="s">
        <v>11</v>
      </c>
      <c r="S155" s="26" t="s">
        <v>1465</v>
      </c>
      <c r="T155" s="26" t="s">
        <v>1466</v>
      </c>
      <c r="U155" s="26">
        <v>0</v>
      </c>
    </row>
    <row r="156" spans="1:21">
      <c r="A156" s="48">
        <v>269</v>
      </c>
      <c r="B156" s="84"/>
      <c r="C156" s="84"/>
      <c r="D156" s="84"/>
      <c r="G156" s="26" t="s">
        <v>14</v>
      </c>
      <c r="H156" s="26" t="s">
        <v>1475</v>
      </c>
      <c r="I156" s="26">
        <v>32</v>
      </c>
      <c r="J156" s="26">
        <v>173</v>
      </c>
      <c r="K156" s="26" t="s">
        <v>1476</v>
      </c>
      <c r="L156" s="26" t="s">
        <v>36</v>
      </c>
      <c r="M156" s="26" t="s">
        <v>93</v>
      </c>
      <c r="N156" s="26" t="s">
        <v>480</v>
      </c>
      <c r="O156" s="26" t="s">
        <v>10</v>
      </c>
      <c r="P156" s="26" t="s">
        <v>9</v>
      </c>
      <c r="Q156" s="26" t="s">
        <v>29</v>
      </c>
      <c r="R156" s="26" t="s">
        <v>10</v>
      </c>
      <c r="S156" s="26" t="s">
        <v>1477</v>
      </c>
      <c r="T156" s="26" t="s">
        <v>1478</v>
      </c>
      <c r="U156" s="26">
        <v>0</v>
      </c>
    </row>
    <row r="157" spans="1:21">
      <c r="A157" s="48">
        <v>263</v>
      </c>
      <c r="B157" s="89"/>
      <c r="C157" s="89"/>
      <c r="D157" s="89"/>
      <c r="G157" s="26" t="s">
        <v>14</v>
      </c>
      <c r="H157" s="26" t="s">
        <v>1449</v>
      </c>
      <c r="I157" s="26">
        <v>32</v>
      </c>
      <c r="J157" s="26">
        <v>168</v>
      </c>
      <c r="K157" s="26" t="s">
        <v>1450</v>
      </c>
      <c r="L157" s="26" t="s">
        <v>25</v>
      </c>
      <c r="M157" s="26" t="s">
        <v>93</v>
      </c>
      <c r="N157" s="26" t="s">
        <v>1451</v>
      </c>
      <c r="O157" s="26" t="s">
        <v>1452</v>
      </c>
      <c r="P157" s="26" t="s">
        <v>9</v>
      </c>
      <c r="Q157" s="26" t="s">
        <v>29</v>
      </c>
      <c r="R157" s="26" t="s">
        <v>11</v>
      </c>
      <c r="S157" s="26" t="s">
        <v>1453</v>
      </c>
      <c r="T157" s="26" t="s">
        <v>1454</v>
      </c>
      <c r="U157" s="26">
        <v>0</v>
      </c>
    </row>
    <row r="158" spans="1:21">
      <c r="A158" s="48">
        <v>78</v>
      </c>
      <c r="B158" s="81"/>
      <c r="C158" s="81"/>
      <c r="D158" s="81"/>
      <c r="E158" s="80"/>
      <c r="F158" s="80"/>
      <c r="G158" s="36" t="s">
        <v>14</v>
      </c>
      <c r="H158" s="26" t="s">
        <v>348</v>
      </c>
      <c r="I158" s="26">
        <v>32</v>
      </c>
      <c r="J158" s="26">
        <v>153</v>
      </c>
      <c r="K158" s="26" t="s">
        <v>349</v>
      </c>
      <c r="L158" s="26" t="s">
        <v>62</v>
      </c>
      <c r="M158" s="26" t="s">
        <v>55</v>
      </c>
      <c r="N158" s="26" t="s">
        <v>59</v>
      </c>
      <c r="O158" s="26" t="s">
        <v>10</v>
      </c>
      <c r="P158" s="26" t="s">
        <v>9</v>
      </c>
      <c r="Q158" s="26" t="s">
        <v>10</v>
      </c>
      <c r="R158" s="26" t="s">
        <v>10</v>
      </c>
      <c r="S158" s="26" t="s">
        <v>350</v>
      </c>
      <c r="T158" s="26" t="s">
        <v>351</v>
      </c>
      <c r="U158" s="26">
        <v>0</v>
      </c>
    </row>
    <row r="159" spans="1:21">
      <c r="A159" s="48">
        <v>195</v>
      </c>
      <c r="B159" s="85"/>
      <c r="C159" s="85"/>
      <c r="D159" s="85"/>
      <c r="E159" s="80"/>
      <c r="F159" s="80"/>
      <c r="G159" s="26" t="s">
        <v>14</v>
      </c>
      <c r="H159" s="26" t="s">
        <v>206</v>
      </c>
      <c r="I159" s="26">
        <v>32</v>
      </c>
      <c r="J159" s="26">
        <v>158</v>
      </c>
      <c r="K159" s="26" t="s">
        <v>207</v>
      </c>
      <c r="L159" s="26" t="s">
        <v>36</v>
      </c>
      <c r="M159" s="26" t="s">
        <v>55</v>
      </c>
      <c r="N159" s="26" t="s">
        <v>37</v>
      </c>
      <c r="O159" s="26" t="s">
        <v>208</v>
      </c>
      <c r="P159" s="26" t="s">
        <v>75</v>
      </c>
      <c r="Q159" s="26" t="s">
        <v>29</v>
      </c>
      <c r="R159" s="26" t="s">
        <v>79</v>
      </c>
      <c r="S159" s="26" t="s">
        <v>209</v>
      </c>
      <c r="T159" s="26" t="s">
        <v>210</v>
      </c>
      <c r="U159" s="26">
        <v>0</v>
      </c>
    </row>
    <row r="160" spans="1:21">
      <c r="A160" s="48">
        <v>226</v>
      </c>
      <c r="B160" s="88"/>
      <c r="C160" s="88"/>
      <c r="D160" s="88"/>
      <c r="E160" s="80"/>
      <c r="F160" s="80"/>
      <c r="G160" s="26" t="s">
        <v>14</v>
      </c>
      <c r="H160" s="26" t="s">
        <v>1219</v>
      </c>
      <c r="I160" s="26">
        <v>32</v>
      </c>
      <c r="J160" s="26">
        <v>158</v>
      </c>
      <c r="K160" s="26" t="s">
        <v>1220</v>
      </c>
      <c r="L160" s="26" t="s">
        <v>82</v>
      </c>
      <c r="M160" s="26" t="s">
        <v>458</v>
      </c>
      <c r="N160" s="26" t="s">
        <v>80</v>
      </c>
      <c r="O160" s="26" t="s">
        <v>10</v>
      </c>
      <c r="P160" s="26" t="s">
        <v>9</v>
      </c>
      <c r="Q160" s="26" t="s">
        <v>29</v>
      </c>
      <c r="R160" s="26" t="s">
        <v>11</v>
      </c>
      <c r="S160" s="26" t="s">
        <v>1221</v>
      </c>
      <c r="T160" s="26" t="s">
        <v>1222</v>
      </c>
      <c r="U160" s="26">
        <v>0</v>
      </c>
    </row>
    <row r="161" spans="1:21">
      <c r="A161" s="48">
        <v>180</v>
      </c>
      <c r="B161" s="81"/>
      <c r="C161" s="81"/>
      <c r="D161" s="81"/>
      <c r="E161" s="80"/>
      <c r="F161" s="80"/>
      <c r="G161" s="26" t="s">
        <v>14</v>
      </c>
      <c r="H161" s="26" t="s">
        <v>231</v>
      </c>
      <c r="I161" s="26">
        <v>32</v>
      </c>
      <c r="J161" s="26">
        <v>160</v>
      </c>
      <c r="K161" s="26" t="s">
        <v>232</v>
      </c>
      <c r="L161" s="26" t="s">
        <v>25</v>
      </c>
      <c r="M161" s="26" t="s">
        <v>93</v>
      </c>
      <c r="N161" s="26" t="s">
        <v>28</v>
      </c>
      <c r="O161" s="26" t="s">
        <v>10</v>
      </c>
      <c r="P161" s="26" t="s">
        <v>9</v>
      </c>
      <c r="Q161" s="26">
        <v>0</v>
      </c>
      <c r="R161" s="26" t="s">
        <v>10</v>
      </c>
      <c r="S161" s="26" t="s">
        <v>233</v>
      </c>
      <c r="T161" s="26" t="s">
        <v>234</v>
      </c>
      <c r="U161" s="26">
        <v>0</v>
      </c>
    </row>
    <row r="162" spans="1:21">
      <c r="A162" s="48">
        <v>243</v>
      </c>
      <c r="B162" s="86"/>
      <c r="C162" s="86"/>
      <c r="D162" s="86"/>
      <c r="G162" s="26" t="s">
        <v>14</v>
      </c>
      <c r="H162" s="26" t="s">
        <v>1319</v>
      </c>
      <c r="I162" s="26">
        <v>32</v>
      </c>
      <c r="J162" s="26">
        <v>162</v>
      </c>
      <c r="K162" s="26" t="s">
        <v>1320</v>
      </c>
      <c r="L162" s="26" t="s">
        <v>36</v>
      </c>
      <c r="M162" s="26" t="s">
        <v>93</v>
      </c>
      <c r="N162" s="26" t="s">
        <v>252</v>
      </c>
      <c r="O162" s="26" t="s">
        <v>10</v>
      </c>
      <c r="P162" s="26" t="s">
        <v>75</v>
      </c>
      <c r="Q162" s="26" t="s">
        <v>10</v>
      </c>
      <c r="R162" s="26" t="s">
        <v>11</v>
      </c>
      <c r="S162" s="26" t="s">
        <v>1321</v>
      </c>
      <c r="T162" s="26" t="s">
        <v>1322</v>
      </c>
      <c r="U162" s="26">
        <v>0</v>
      </c>
    </row>
    <row r="163" spans="1:21">
      <c r="A163" s="48">
        <v>52</v>
      </c>
      <c r="B163" s="81"/>
      <c r="C163" s="81"/>
      <c r="D163" s="81"/>
      <c r="E163" s="80"/>
      <c r="F163" s="80"/>
      <c r="G163" s="36" t="s">
        <v>14</v>
      </c>
      <c r="H163" s="36" t="s">
        <v>58</v>
      </c>
      <c r="I163" s="26">
        <v>32</v>
      </c>
      <c r="J163" s="26">
        <v>163</v>
      </c>
      <c r="K163" s="26" t="s">
        <v>964</v>
      </c>
      <c r="L163" s="26" t="s">
        <v>36</v>
      </c>
      <c r="M163" s="26" t="s">
        <v>93</v>
      </c>
      <c r="N163" s="26" t="s">
        <v>965</v>
      </c>
      <c r="O163" s="26" t="s">
        <v>966</v>
      </c>
      <c r="P163" s="26" t="s">
        <v>75</v>
      </c>
      <c r="Q163" s="26" t="s">
        <v>29</v>
      </c>
      <c r="R163" s="26" t="s">
        <v>10</v>
      </c>
      <c r="S163" s="26" t="s">
        <v>967</v>
      </c>
      <c r="T163" s="26" t="s">
        <v>968</v>
      </c>
      <c r="U163" s="26">
        <v>0</v>
      </c>
    </row>
    <row r="164" spans="1:21">
      <c r="A164" s="48">
        <v>108</v>
      </c>
      <c r="B164" s="81"/>
      <c r="C164" s="81"/>
      <c r="D164" s="81"/>
      <c r="E164" s="80"/>
      <c r="F164" s="80"/>
      <c r="G164" s="36" t="s">
        <v>14</v>
      </c>
      <c r="H164" s="26" t="s">
        <v>1898</v>
      </c>
      <c r="I164" s="26">
        <v>32</v>
      </c>
      <c r="J164" s="26">
        <v>165</v>
      </c>
      <c r="K164" s="26" t="s">
        <v>883</v>
      </c>
      <c r="L164" s="26" t="s">
        <v>25</v>
      </c>
      <c r="M164" s="26" t="s">
        <v>65</v>
      </c>
      <c r="N164" s="26" t="s">
        <v>884</v>
      </c>
      <c r="O164" s="26" t="s">
        <v>885</v>
      </c>
      <c r="P164" s="26" t="s">
        <v>9</v>
      </c>
      <c r="Q164" s="26" t="s">
        <v>29</v>
      </c>
      <c r="R164" s="26" t="s">
        <v>10</v>
      </c>
      <c r="S164" s="26" t="s">
        <v>886</v>
      </c>
      <c r="T164" s="26" t="s">
        <v>887</v>
      </c>
      <c r="U164" s="26">
        <v>0</v>
      </c>
    </row>
    <row r="165" spans="1:21">
      <c r="A165" s="48">
        <v>216</v>
      </c>
      <c r="B165" s="85"/>
      <c r="C165" s="85"/>
      <c r="D165" s="85"/>
      <c r="E165" s="80"/>
      <c r="F165" s="80"/>
      <c r="G165" s="26" t="s">
        <v>14</v>
      </c>
      <c r="H165" s="26" t="s">
        <v>1169</v>
      </c>
      <c r="I165" s="26">
        <v>32</v>
      </c>
      <c r="J165" s="26">
        <v>168</v>
      </c>
      <c r="K165" s="26" t="s">
        <v>1170</v>
      </c>
      <c r="L165" s="26" t="s">
        <v>82</v>
      </c>
      <c r="M165" s="26" t="s">
        <v>93</v>
      </c>
      <c r="N165" s="26" t="s">
        <v>59</v>
      </c>
      <c r="O165" s="26" t="s">
        <v>10</v>
      </c>
      <c r="P165" s="26" t="s">
        <v>9</v>
      </c>
      <c r="Q165" s="26" t="s">
        <v>29</v>
      </c>
      <c r="R165" s="26" t="s">
        <v>10</v>
      </c>
      <c r="S165" s="26" t="s">
        <v>1175</v>
      </c>
      <c r="T165" s="26" t="s">
        <v>1172</v>
      </c>
      <c r="U165" s="26" t="s">
        <v>1127</v>
      </c>
    </row>
    <row r="166" spans="1:21">
      <c r="A166" s="48">
        <v>66</v>
      </c>
      <c r="B166" s="81"/>
      <c r="C166" s="81"/>
      <c r="D166" s="81"/>
      <c r="E166" s="80"/>
      <c r="F166" s="80"/>
      <c r="G166" s="26" t="s">
        <v>14</v>
      </c>
      <c r="H166" s="26" t="s">
        <v>265</v>
      </c>
      <c r="I166" s="26">
        <v>32</v>
      </c>
      <c r="J166" s="26">
        <v>155</v>
      </c>
      <c r="K166" s="26" t="s">
        <v>266</v>
      </c>
      <c r="L166" s="26" t="s">
        <v>36</v>
      </c>
      <c r="M166" s="26" t="s">
        <v>10</v>
      </c>
      <c r="N166" s="26" t="s">
        <v>267</v>
      </c>
      <c r="O166" s="26" t="s">
        <v>10</v>
      </c>
      <c r="P166" s="26" t="s">
        <v>9</v>
      </c>
      <c r="Q166" s="26" t="s">
        <v>10</v>
      </c>
      <c r="R166" s="26" t="s">
        <v>10</v>
      </c>
      <c r="S166" s="26" t="s">
        <v>268</v>
      </c>
      <c r="T166" s="26" t="s">
        <v>269</v>
      </c>
      <c r="U166" s="26">
        <v>0</v>
      </c>
    </row>
    <row r="167" spans="1:21">
      <c r="A167" s="48">
        <v>73</v>
      </c>
      <c r="B167" s="81"/>
      <c r="C167" s="81"/>
      <c r="D167" s="81"/>
      <c r="E167" s="80"/>
      <c r="F167" s="80"/>
      <c r="G167" s="36" t="s">
        <v>14</v>
      </c>
      <c r="H167" s="26" t="s">
        <v>867</v>
      </c>
      <c r="I167" s="26">
        <v>32</v>
      </c>
      <c r="J167" s="26">
        <v>170</v>
      </c>
      <c r="K167" s="26" t="s">
        <v>868</v>
      </c>
      <c r="L167" s="26" t="s">
        <v>36</v>
      </c>
      <c r="M167" s="26" t="s">
        <v>93</v>
      </c>
      <c r="N167" s="26" t="s">
        <v>76</v>
      </c>
      <c r="O167" s="26" t="s">
        <v>10</v>
      </c>
      <c r="P167" s="26" t="s">
        <v>20</v>
      </c>
      <c r="Q167" s="26" t="s">
        <v>29</v>
      </c>
      <c r="R167" s="26" t="s">
        <v>11</v>
      </c>
      <c r="S167" s="26" t="s">
        <v>869</v>
      </c>
      <c r="T167" s="26" t="s">
        <v>870</v>
      </c>
      <c r="U167" s="26">
        <v>0</v>
      </c>
    </row>
    <row r="168" spans="1:21">
      <c r="A168" s="48">
        <v>155</v>
      </c>
      <c r="B168" s="81"/>
      <c r="C168" s="81"/>
      <c r="D168" s="81"/>
      <c r="E168" s="80"/>
      <c r="F168" s="80"/>
      <c r="G168" s="36" t="s">
        <v>14</v>
      </c>
      <c r="H168" s="26" t="s">
        <v>920</v>
      </c>
      <c r="I168" s="26">
        <v>32</v>
      </c>
      <c r="J168" s="26">
        <v>170</v>
      </c>
      <c r="K168" s="26" t="s">
        <v>921</v>
      </c>
      <c r="L168" s="26" t="s">
        <v>465</v>
      </c>
      <c r="M168" s="26" t="s">
        <v>93</v>
      </c>
      <c r="N168" s="26" t="s">
        <v>70</v>
      </c>
      <c r="O168" s="26" t="s">
        <v>922</v>
      </c>
      <c r="P168" s="26" t="s">
        <v>31</v>
      </c>
      <c r="Q168" s="26" t="s">
        <v>57</v>
      </c>
      <c r="R168" s="26" t="s">
        <v>79</v>
      </c>
      <c r="S168" s="26" t="s">
        <v>923</v>
      </c>
      <c r="T168" s="26" t="s">
        <v>924</v>
      </c>
      <c r="U168" s="26" t="s">
        <v>925</v>
      </c>
    </row>
    <row r="169" spans="1:21">
      <c r="A169" s="48">
        <v>164</v>
      </c>
      <c r="B169" s="81"/>
      <c r="C169" s="81"/>
      <c r="D169" s="81"/>
      <c r="E169" s="80"/>
      <c r="F169" s="80"/>
      <c r="G169" s="26" t="s">
        <v>14</v>
      </c>
      <c r="H169" s="36" t="s">
        <v>1010</v>
      </c>
      <c r="I169" s="26">
        <v>32</v>
      </c>
      <c r="J169" s="26">
        <v>159</v>
      </c>
      <c r="K169" s="26" t="s">
        <v>1011</v>
      </c>
      <c r="L169" s="26" t="s">
        <v>82</v>
      </c>
      <c r="M169" s="26" t="s">
        <v>15</v>
      </c>
      <c r="N169" s="26" t="s">
        <v>85</v>
      </c>
      <c r="O169" s="26" t="s">
        <v>10</v>
      </c>
      <c r="P169" s="26" t="s">
        <v>9</v>
      </c>
      <c r="Q169" s="26" t="s">
        <v>10</v>
      </c>
      <c r="R169" s="26" t="s">
        <v>497</v>
      </c>
      <c r="S169" s="26" t="s">
        <v>1012</v>
      </c>
      <c r="T169" s="26" t="s">
        <v>1013</v>
      </c>
      <c r="U169" s="26">
        <v>0</v>
      </c>
    </row>
    <row r="170" spans="1:21">
      <c r="A170" s="48">
        <v>9</v>
      </c>
      <c r="B170" s="81"/>
      <c r="C170" s="81"/>
      <c r="D170" s="81"/>
      <c r="E170" s="80"/>
      <c r="F170" s="80"/>
      <c r="G170" s="36" t="s">
        <v>14</v>
      </c>
      <c r="H170" s="26" t="s">
        <v>305</v>
      </c>
      <c r="I170" s="26">
        <v>32</v>
      </c>
      <c r="J170" s="26">
        <v>171</v>
      </c>
      <c r="K170" s="26" t="s">
        <v>306</v>
      </c>
      <c r="L170" s="26" t="s">
        <v>25</v>
      </c>
      <c r="M170" s="26" t="s">
        <v>93</v>
      </c>
      <c r="N170" s="26" t="s">
        <v>307</v>
      </c>
      <c r="O170" s="26" t="s">
        <v>10</v>
      </c>
      <c r="P170" s="26" t="s">
        <v>9</v>
      </c>
      <c r="Q170" s="26" t="s">
        <v>29</v>
      </c>
      <c r="R170" s="26" t="s">
        <v>69</v>
      </c>
      <c r="S170" s="26" t="s">
        <v>308</v>
      </c>
      <c r="T170" s="26" t="s">
        <v>309</v>
      </c>
      <c r="U170" s="26">
        <v>0</v>
      </c>
    </row>
    <row r="171" spans="1:21">
      <c r="A171" s="48">
        <v>24</v>
      </c>
      <c r="B171" s="81"/>
      <c r="C171" s="81"/>
      <c r="D171" s="81"/>
      <c r="E171" s="80"/>
      <c r="F171" s="80"/>
      <c r="G171" s="36" t="s">
        <v>14</v>
      </c>
      <c r="H171" s="26" t="s">
        <v>989</v>
      </c>
      <c r="I171" s="26">
        <v>32</v>
      </c>
      <c r="J171" s="26">
        <v>171</v>
      </c>
      <c r="K171" s="26" t="s">
        <v>990</v>
      </c>
      <c r="L171" s="26" t="s">
        <v>82</v>
      </c>
      <c r="M171" s="26" t="s">
        <v>458</v>
      </c>
      <c r="N171" s="26" t="s">
        <v>37</v>
      </c>
      <c r="O171" s="26" t="s">
        <v>10</v>
      </c>
      <c r="P171" s="26" t="s">
        <v>49</v>
      </c>
      <c r="Q171" s="26" t="s">
        <v>10</v>
      </c>
      <c r="R171" s="26" t="s">
        <v>11</v>
      </c>
      <c r="S171" s="26" t="s">
        <v>991</v>
      </c>
      <c r="T171" s="26" t="s">
        <v>992</v>
      </c>
      <c r="U171" s="26">
        <v>0</v>
      </c>
    </row>
    <row r="172" spans="1:21">
      <c r="A172" s="48">
        <v>27</v>
      </c>
      <c r="B172" s="81"/>
      <c r="C172" s="81"/>
      <c r="D172" s="81"/>
      <c r="E172" s="80"/>
      <c r="F172" s="80"/>
      <c r="G172" s="36" t="s">
        <v>14</v>
      </c>
      <c r="H172" s="26" t="s">
        <v>246</v>
      </c>
      <c r="I172" s="26">
        <v>32</v>
      </c>
      <c r="J172" s="26">
        <v>172</v>
      </c>
      <c r="K172" s="26" t="s">
        <v>1025</v>
      </c>
      <c r="L172" s="26" t="s">
        <v>25</v>
      </c>
      <c r="M172" s="26" t="s">
        <v>65</v>
      </c>
      <c r="N172" s="26" t="s">
        <v>290</v>
      </c>
      <c r="O172" s="26" t="s">
        <v>10</v>
      </c>
      <c r="P172" s="26" t="s">
        <v>9</v>
      </c>
      <c r="Q172" s="26" t="s">
        <v>10</v>
      </c>
      <c r="R172" s="26" t="s">
        <v>73</v>
      </c>
      <c r="S172" s="26" t="s">
        <v>249</v>
      </c>
      <c r="T172" s="26" t="s">
        <v>1026</v>
      </c>
      <c r="U172" s="26">
        <v>0</v>
      </c>
    </row>
    <row r="173" spans="1:21">
      <c r="A173" s="48">
        <v>58</v>
      </c>
      <c r="B173" s="81"/>
      <c r="C173" s="81"/>
      <c r="D173" s="81"/>
      <c r="E173" s="80"/>
      <c r="F173" s="80"/>
      <c r="G173" s="26" t="s">
        <v>14</v>
      </c>
      <c r="H173" s="26" t="s">
        <v>1031</v>
      </c>
      <c r="I173" s="26">
        <v>32</v>
      </c>
      <c r="J173" s="26">
        <v>158</v>
      </c>
      <c r="K173" s="26" t="s">
        <v>1032</v>
      </c>
      <c r="L173" s="26" t="s">
        <v>25</v>
      </c>
      <c r="M173" s="26" t="s">
        <v>15</v>
      </c>
      <c r="N173" s="26" t="s">
        <v>18</v>
      </c>
      <c r="O173" s="26" t="s">
        <v>10</v>
      </c>
      <c r="P173" s="26" t="s">
        <v>9</v>
      </c>
      <c r="Q173" s="26" t="s">
        <v>10</v>
      </c>
      <c r="R173" s="26" t="s">
        <v>69</v>
      </c>
      <c r="S173" s="26" t="s">
        <v>1033</v>
      </c>
      <c r="T173" s="26" t="s">
        <v>1034</v>
      </c>
      <c r="U173" s="26">
        <v>0</v>
      </c>
    </row>
    <row r="174" spans="1:21">
      <c r="A174" s="104">
        <v>376</v>
      </c>
      <c r="B174" s="1"/>
      <c r="F174" s="82">
        <v>1</v>
      </c>
      <c r="G174" s="26" t="s">
        <v>8</v>
      </c>
      <c r="H174" s="103" t="s">
        <v>2754</v>
      </c>
      <c r="I174" s="26">
        <v>33</v>
      </c>
      <c r="J174" s="26">
        <v>176</v>
      </c>
      <c r="K174" s="26" t="s">
        <v>2755</v>
      </c>
      <c r="L174" s="26" t="s">
        <v>25</v>
      </c>
      <c r="M174" s="26" t="s">
        <v>591</v>
      </c>
      <c r="N174" s="4" t="s">
        <v>71</v>
      </c>
      <c r="O174" s="4" t="s">
        <v>2756</v>
      </c>
      <c r="P174" s="4" t="s">
        <v>9</v>
      </c>
      <c r="Q174" s="4" t="s">
        <v>63</v>
      </c>
      <c r="R174" s="4" t="s">
        <v>79</v>
      </c>
      <c r="S174" s="4" t="s">
        <v>2757</v>
      </c>
      <c r="T174" s="4" t="s">
        <v>2758</v>
      </c>
      <c r="U174" s="4" t="s">
        <v>2071</v>
      </c>
    </row>
    <row r="175" spans="1:21">
      <c r="A175" s="82">
        <v>380</v>
      </c>
      <c r="B175" s="38"/>
      <c r="D175" s="79" t="s">
        <v>2861</v>
      </c>
      <c r="G175" s="26" t="s">
        <v>8</v>
      </c>
      <c r="H175" s="26" t="s">
        <v>2796</v>
      </c>
      <c r="I175" s="26">
        <v>33</v>
      </c>
      <c r="J175" s="26">
        <v>174</v>
      </c>
      <c r="K175" s="26" t="s">
        <v>2797</v>
      </c>
      <c r="L175" s="26" t="s">
        <v>25</v>
      </c>
      <c r="M175" s="26" t="s">
        <v>22</v>
      </c>
      <c r="N175" s="4" t="s">
        <v>66</v>
      </c>
      <c r="O175" s="4" t="s">
        <v>2798</v>
      </c>
      <c r="P175" s="4" t="s">
        <v>9</v>
      </c>
      <c r="Q175" s="4" t="s">
        <v>63</v>
      </c>
      <c r="R175" s="4" t="s">
        <v>599</v>
      </c>
      <c r="S175" s="4" t="s">
        <v>2799</v>
      </c>
      <c r="T175" s="4" t="s">
        <v>2800</v>
      </c>
      <c r="U175" s="4">
        <v>0</v>
      </c>
    </row>
    <row r="176" spans="1:21">
      <c r="A176" s="48">
        <v>308</v>
      </c>
      <c r="B176" s="84" t="s">
        <v>1756</v>
      </c>
      <c r="C176" s="84"/>
      <c r="D176" s="84"/>
      <c r="G176" s="26" t="s">
        <v>8</v>
      </c>
      <c r="H176" s="26" t="s">
        <v>1065</v>
      </c>
      <c r="I176" s="26">
        <v>33</v>
      </c>
      <c r="J176" s="26">
        <v>168</v>
      </c>
      <c r="K176" s="26" t="s">
        <v>1067</v>
      </c>
      <c r="L176" s="26" t="s">
        <v>767</v>
      </c>
      <c r="M176" s="26" t="s">
        <v>21</v>
      </c>
      <c r="N176" s="26" t="s">
        <v>66</v>
      </c>
      <c r="O176" s="26" t="s">
        <v>10</v>
      </c>
      <c r="P176" s="26" t="s">
        <v>9</v>
      </c>
      <c r="Q176" s="26" t="s">
        <v>10</v>
      </c>
      <c r="R176" s="26" t="s">
        <v>10</v>
      </c>
      <c r="S176" s="26" t="s">
        <v>1698</v>
      </c>
      <c r="T176" s="26" t="s">
        <v>1699</v>
      </c>
      <c r="U176" s="26">
        <v>0</v>
      </c>
    </row>
    <row r="177" spans="1:21">
      <c r="A177" s="48">
        <v>323</v>
      </c>
      <c r="B177" s="81"/>
      <c r="C177" s="81"/>
      <c r="D177" s="81"/>
      <c r="E177" s="80"/>
      <c r="F177" s="80"/>
      <c r="G177" s="36" t="s">
        <v>8</v>
      </c>
      <c r="H177" s="26" t="s">
        <v>1789</v>
      </c>
      <c r="I177" s="26">
        <v>33</v>
      </c>
      <c r="J177" s="26">
        <v>171</v>
      </c>
      <c r="K177" s="26" t="s">
        <v>1790</v>
      </c>
      <c r="L177" s="26" t="s">
        <v>62</v>
      </c>
      <c r="M177" s="26" t="s">
        <v>22</v>
      </c>
      <c r="N177" s="26" t="s">
        <v>59</v>
      </c>
      <c r="O177" s="26" t="s">
        <v>10</v>
      </c>
      <c r="P177" s="26" t="s">
        <v>9</v>
      </c>
      <c r="Q177" s="26" t="s">
        <v>29</v>
      </c>
      <c r="R177" s="26" t="s">
        <v>10</v>
      </c>
      <c r="S177" s="26" t="s">
        <v>1791</v>
      </c>
      <c r="T177" s="26" t="s">
        <v>567</v>
      </c>
      <c r="U177" s="26">
        <v>0</v>
      </c>
    </row>
    <row r="178" spans="1:21">
      <c r="A178" s="48">
        <v>76</v>
      </c>
      <c r="B178" s="81"/>
      <c r="C178" s="81"/>
      <c r="D178" s="81"/>
      <c r="E178" s="80"/>
      <c r="F178" s="80"/>
      <c r="G178" s="26" t="s">
        <v>8</v>
      </c>
      <c r="H178" s="26" t="s">
        <v>293</v>
      </c>
      <c r="I178" s="26">
        <v>33</v>
      </c>
      <c r="J178" s="26">
        <v>179</v>
      </c>
      <c r="K178" s="26" t="s">
        <v>294</v>
      </c>
      <c r="L178" s="26" t="s">
        <v>25</v>
      </c>
      <c r="M178" s="26" t="s">
        <v>10</v>
      </c>
      <c r="N178" s="26" t="s">
        <v>71</v>
      </c>
      <c r="O178" s="26" t="s">
        <v>295</v>
      </c>
      <c r="P178" s="26" t="s">
        <v>9</v>
      </c>
      <c r="Q178" s="26" t="s">
        <v>10</v>
      </c>
      <c r="R178" s="26" t="s">
        <v>10</v>
      </c>
      <c r="S178" s="26" t="s">
        <v>296</v>
      </c>
      <c r="T178" s="26" t="s">
        <v>297</v>
      </c>
      <c r="U178" s="26">
        <v>0</v>
      </c>
    </row>
    <row r="179" spans="1:21">
      <c r="A179" s="48">
        <v>82</v>
      </c>
      <c r="B179" s="81"/>
      <c r="C179" s="81"/>
      <c r="D179" s="81"/>
      <c r="E179" s="80"/>
      <c r="F179" s="80"/>
      <c r="G179" s="26" t="s">
        <v>8</v>
      </c>
      <c r="H179" s="26" t="s">
        <v>794</v>
      </c>
      <c r="I179" s="26">
        <v>33</v>
      </c>
      <c r="J179" s="26">
        <v>173</v>
      </c>
      <c r="K179" s="26" t="s">
        <v>795</v>
      </c>
      <c r="L179" s="26" t="s">
        <v>62</v>
      </c>
      <c r="M179" s="26" t="s">
        <v>22</v>
      </c>
      <c r="N179" s="26" t="s">
        <v>796</v>
      </c>
      <c r="O179" s="26" t="s">
        <v>10</v>
      </c>
      <c r="P179" s="26" t="s">
        <v>9</v>
      </c>
      <c r="Q179" s="26" t="s">
        <v>29</v>
      </c>
      <c r="R179" s="26" t="s">
        <v>10</v>
      </c>
      <c r="S179" s="26" t="s">
        <v>797</v>
      </c>
      <c r="T179" s="26" t="s">
        <v>798</v>
      </c>
      <c r="U179" s="26" t="s">
        <v>799</v>
      </c>
    </row>
    <row r="180" spans="1:21">
      <c r="A180" s="48">
        <v>140</v>
      </c>
      <c r="B180" s="81"/>
      <c r="C180" s="81"/>
      <c r="D180" s="81"/>
      <c r="E180" s="80"/>
      <c r="F180" s="80"/>
      <c r="G180" s="26" t="s">
        <v>8</v>
      </c>
      <c r="H180" s="26" t="s">
        <v>320</v>
      </c>
      <c r="I180" s="26">
        <v>33</v>
      </c>
      <c r="J180" s="26">
        <v>185</v>
      </c>
      <c r="K180" s="26" t="s">
        <v>321</v>
      </c>
      <c r="L180" s="26" t="s">
        <v>459</v>
      </c>
      <c r="M180" s="26" t="s">
        <v>773</v>
      </c>
      <c r="N180" s="26" t="s">
        <v>59</v>
      </c>
      <c r="O180" s="26" t="s">
        <v>38</v>
      </c>
      <c r="P180" s="26" t="s">
        <v>9</v>
      </c>
      <c r="Q180" s="26" t="s">
        <v>29</v>
      </c>
      <c r="R180" s="26" t="s">
        <v>324</v>
      </c>
      <c r="S180" s="26" t="s">
        <v>322</v>
      </c>
      <c r="T180" s="26" t="s">
        <v>323</v>
      </c>
      <c r="U180" s="26" t="s">
        <v>325</v>
      </c>
    </row>
    <row r="181" spans="1:21">
      <c r="A181" s="48">
        <v>294</v>
      </c>
      <c r="B181" s="84"/>
      <c r="C181" s="84"/>
      <c r="D181" s="84"/>
      <c r="G181" s="26" t="s">
        <v>8</v>
      </c>
      <c r="H181" s="26" t="s">
        <v>1623</v>
      </c>
      <c r="I181" s="26">
        <v>33</v>
      </c>
      <c r="J181" s="26">
        <v>178</v>
      </c>
      <c r="K181" s="26" t="s">
        <v>1624</v>
      </c>
      <c r="L181" s="26" t="s">
        <v>62</v>
      </c>
      <c r="M181" s="26" t="s">
        <v>22</v>
      </c>
      <c r="N181" s="26" t="s">
        <v>23</v>
      </c>
      <c r="O181" s="26" t="s">
        <v>10</v>
      </c>
      <c r="P181" s="26" t="s">
        <v>9</v>
      </c>
      <c r="Q181" s="26" t="s">
        <v>10</v>
      </c>
      <c r="R181" s="26" t="s">
        <v>11</v>
      </c>
      <c r="S181" s="26" t="s">
        <v>1667</v>
      </c>
      <c r="T181" s="26" t="s">
        <v>1668</v>
      </c>
      <c r="U181" s="26">
        <v>0</v>
      </c>
    </row>
    <row r="182" spans="1:21">
      <c r="A182" s="48">
        <v>186</v>
      </c>
      <c r="B182" s="81">
        <v>1</v>
      </c>
      <c r="C182" s="81"/>
      <c r="D182" s="81"/>
      <c r="E182" s="80"/>
      <c r="F182" s="80"/>
      <c r="G182" s="26" t="s">
        <v>14</v>
      </c>
      <c r="H182" s="26" t="s">
        <v>387</v>
      </c>
      <c r="I182" s="26">
        <v>33</v>
      </c>
      <c r="J182" s="26">
        <v>157</v>
      </c>
      <c r="K182" s="26" t="s">
        <v>389</v>
      </c>
      <c r="L182" s="26" t="s">
        <v>25</v>
      </c>
      <c r="M182" s="26" t="s">
        <v>55</v>
      </c>
      <c r="N182" s="26" t="s">
        <v>13</v>
      </c>
      <c r="O182" s="26" t="s">
        <v>390</v>
      </c>
      <c r="P182" s="26" t="s">
        <v>9</v>
      </c>
      <c r="Q182" s="26" t="s">
        <v>10</v>
      </c>
      <c r="R182" s="26" t="s">
        <v>10</v>
      </c>
      <c r="S182" s="26" t="s">
        <v>391</v>
      </c>
      <c r="T182" s="26" t="s">
        <v>392</v>
      </c>
      <c r="U182" s="26">
        <v>0</v>
      </c>
    </row>
    <row r="183" spans="1:21">
      <c r="A183" s="48">
        <v>169</v>
      </c>
      <c r="B183" s="81"/>
      <c r="C183" s="81"/>
      <c r="D183" s="81"/>
      <c r="E183" s="80"/>
      <c r="F183" s="80"/>
      <c r="G183" s="26" t="s">
        <v>14</v>
      </c>
      <c r="H183" s="26" t="s">
        <v>1074</v>
      </c>
      <c r="I183" s="26">
        <v>33</v>
      </c>
      <c r="J183" s="26">
        <v>155</v>
      </c>
      <c r="K183" s="26" t="s">
        <v>1075</v>
      </c>
      <c r="L183" s="26" t="s">
        <v>462</v>
      </c>
      <c r="M183" s="26" t="s">
        <v>15</v>
      </c>
      <c r="N183" s="26" t="s">
        <v>85</v>
      </c>
      <c r="O183" s="26" t="s">
        <v>1076</v>
      </c>
      <c r="P183" s="26" t="s">
        <v>9</v>
      </c>
      <c r="Q183" s="26" t="s">
        <v>29</v>
      </c>
      <c r="R183" s="26" t="s">
        <v>10</v>
      </c>
      <c r="S183" s="26" t="s">
        <v>1077</v>
      </c>
      <c r="T183" s="26" t="s">
        <v>1078</v>
      </c>
      <c r="U183" s="26">
        <v>0</v>
      </c>
    </row>
    <row r="184" spans="1:21">
      <c r="A184" s="48">
        <v>121</v>
      </c>
      <c r="B184" s="81"/>
      <c r="C184" s="81"/>
      <c r="D184" s="81"/>
      <c r="E184" s="80"/>
      <c r="F184" s="80"/>
      <c r="G184" s="26" t="s">
        <v>14</v>
      </c>
      <c r="H184" s="26" t="s">
        <v>250</v>
      </c>
      <c r="I184" s="26">
        <v>33</v>
      </c>
      <c r="J184" s="26">
        <v>155</v>
      </c>
      <c r="K184" s="26" t="s">
        <v>251</v>
      </c>
      <c r="L184" s="26" t="s">
        <v>461</v>
      </c>
      <c r="M184" s="26" t="s">
        <v>55</v>
      </c>
      <c r="N184" s="26" t="s">
        <v>252</v>
      </c>
      <c r="O184" s="26" t="s">
        <v>253</v>
      </c>
      <c r="P184" s="26" t="s">
        <v>9</v>
      </c>
      <c r="Q184" s="26" t="s">
        <v>10</v>
      </c>
      <c r="R184" s="26" t="s">
        <v>10</v>
      </c>
      <c r="S184" s="26" t="s">
        <v>254</v>
      </c>
      <c r="T184" s="26" t="s">
        <v>255</v>
      </c>
      <c r="U184" s="26">
        <v>0</v>
      </c>
    </row>
    <row r="185" spans="1:21">
      <c r="A185" s="48">
        <v>277</v>
      </c>
      <c r="B185" s="84"/>
      <c r="C185" s="84"/>
      <c r="D185" s="84"/>
      <c r="G185" s="26" t="s">
        <v>14</v>
      </c>
      <c r="H185" s="26" t="s">
        <v>1508</v>
      </c>
      <c r="I185" s="26">
        <v>33</v>
      </c>
      <c r="J185" s="26">
        <v>160</v>
      </c>
      <c r="K185" s="26" t="s">
        <v>1509</v>
      </c>
      <c r="L185" s="26" t="s">
        <v>36</v>
      </c>
      <c r="M185" s="26" t="s">
        <v>15</v>
      </c>
      <c r="N185" s="26" t="s">
        <v>68</v>
      </c>
      <c r="O185" s="26" t="s">
        <v>1510</v>
      </c>
      <c r="P185" s="26" t="s">
        <v>9</v>
      </c>
      <c r="Q185" s="26" t="s">
        <v>57</v>
      </c>
      <c r="R185" s="26" t="s">
        <v>10</v>
      </c>
      <c r="S185" s="26" t="s">
        <v>1511</v>
      </c>
      <c r="T185" s="26" t="s">
        <v>1512</v>
      </c>
      <c r="U185" s="26">
        <v>0</v>
      </c>
    </row>
    <row r="186" spans="1:21">
      <c r="A186" s="48">
        <v>159</v>
      </c>
      <c r="B186" s="81"/>
      <c r="C186" s="81"/>
      <c r="D186" s="81"/>
      <c r="E186" s="80"/>
      <c r="F186" s="80"/>
      <c r="G186" s="26" t="s">
        <v>14</v>
      </c>
      <c r="H186" s="26" t="s">
        <v>362</v>
      </c>
      <c r="I186" s="26">
        <v>33</v>
      </c>
      <c r="J186" s="26">
        <v>157</v>
      </c>
      <c r="K186" s="26" t="s">
        <v>363</v>
      </c>
      <c r="L186" s="26" t="s">
        <v>36</v>
      </c>
      <c r="M186" s="26" t="s">
        <v>93</v>
      </c>
      <c r="N186" s="26" t="s">
        <v>19</v>
      </c>
      <c r="O186" s="26" t="s">
        <v>364</v>
      </c>
      <c r="P186" s="26" t="s">
        <v>9</v>
      </c>
      <c r="Q186" s="26" t="s">
        <v>10</v>
      </c>
      <c r="R186" s="26" t="s">
        <v>10</v>
      </c>
      <c r="S186" s="26" t="s">
        <v>365</v>
      </c>
      <c r="T186" s="26" t="s">
        <v>366</v>
      </c>
      <c r="U186" s="26">
        <v>0</v>
      </c>
    </row>
    <row r="187" spans="1:21">
      <c r="A187" s="48">
        <v>279</v>
      </c>
      <c r="B187" s="84"/>
      <c r="C187" s="84"/>
      <c r="D187" s="84"/>
      <c r="G187" s="26" t="s">
        <v>14</v>
      </c>
      <c r="H187" s="26" t="s">
        <v>1518</v>
      </c>
      <c r="I187" s="26">
        <v>33</v>
      </c>
      <c r="J187" s="26">
        <v>156</v>
      </c>
      <c r="K187" s="26" t="s">
        <v>1519</v>
      </c>
      <c r="L187" s="26" t="s">
        <v>36</v>
      </c>
      <c r="M187" s="26" t="s">
        <v>10</v>
      </c>
      <c r="N187" s="26" t="s">
        <v>37</v>
      </c>
      <c r="O187" s="26" t="s">
        <v>1520</v>
      </c>
      <c r="P187" s="26" t="s">
        <v>9</v>
      </c>
      <c r="Q187" s="26" t="s">
        <v>10</v>
      </c>
      <c r="R187" s="26" t="s">
        <v>10</v>
      </c>
      <c r="S187" s="26" t="s">
        <v>1521</v>
      </c>
      <c r="T187" s="26" t="s">
        <v>1522</v>
      </c>
      <c r="U187" s="26">
        <v>0</v>
      </c>
    </row>
    <row r="188" spans="1:21">
      <c r="A188" s="48">
        <v>276</v>
      </c>
      <c r="B188" s="84"/>
      <c r="C188" s="84"/>
      <c r="D188" s="84"/>
      <c r="G188" s="26" t="s">
        <v>14</v>
      </c>
      <c r="H188" s="26" t="s">
        <v>1310</v>
      </c>
      <c r="I188" s="26">
        <v>33</v>
      </c>
      <c r="J188" s="26">
        <v>163</v>
      </c>
      <c r="K188" s="26" t="s">
        <v>868</v>
      </c>
      <c r="L188" s="26" t="s">
        <v>36</v>
      </c>
      <c r="M188" s="26" t="s">
        <v>458</v>
      </c>
      <c r="N188" s="26" t="s">
        <v>557</v>
      </c>
      <c r="O188" s="26" t="s">
        <v>10</v>
      </c>
      <c r="P188" s="26" t="s">
        <v>20</v>
      </c>
      <c r="Q188" s="26" t="s">
        <v>10</v>
      </c>
      <c r="R188" s="26" t="s">
        <v>79</v>
      </c>
      <c r="S188" s="26" t="s">
        <v>1506</v>
      </c>
      <c r="T188" s="26" t="s">
        <v>1507</v>
      </c>
      <c r="U188" s="26" t="s">
        <v>1314</v>
      </c>
    </row>
    <row r="189" spans="1:21">
      <c r="A189" s="48">
        <v>43</v>
      </c>
      <c r="B189" s="81"/>
      <c r="C189" s="81"/>
      <c r="D189" s="81"/>
      <c r="E189" s="80"/>
      <c r="F189" s="80"/>
      <c r="G189" s="36" t="s">
        <v>14</v>
      </c>
      <c r="H189" s="26" t="s">
        <v>338</v>
      </c>
      <c r="I189" s="26">
        <v>33</v>
      </c>
      <c r="J189" s="26">
        <v>155</v>
      </c>
      <c r="K189" s="26" t="s">
        <v>339</v>
      </c>
      <c r="L189" s="26" t="s">
        <v>25</v>
      </c>
      <c r="M189" s="26" t="s">
        <v>93</v>
      </c>
      <c r="N189" s="26" t="s">
        <v>59</v>
      </c>
      <c r="O189" s="26" t="s">
        <v>193</v>
      </c>
      <c r="P189" s="26" t="s">
        <v>9</v>
      </c>
      <c r="Q189" s="26" t="s">
        <v>10</v>
      </c>
      <c r="R189" s="26" t="s">
        <v>11</v>
      </c>
      <c r="S189" s="26" t="s">
        <v>340</v>
      </c>
      <c r="T189" s="26" t="s">
        <v>341</v>
      </c>
      <c r="U189" s="26" t="s">
        <v>342</v>
      </c>
    </row>
    <row r="190" spans="1:21">
      <c r="A190" s="48">
        <v>199</v>
      </c>
      <c r="B190" s="85"/>
      <c r="C190" s="85"/>
      <c r="D190" s="85"/>
      <c r="E190" s="80"/>
      <c r="F190" s="80"/>
      <c r="G190" s="26" t="s">
        <v>14</v>
      </c>
      <c r="H190" s="26" t="s">
        <v>564</v>
      </c>
      <c r="I190" s="26">
        <v>33</v>
      </c>
      <c r="J190" s="26">
        <v>159</v>
      </c>
      <c r="K190" s="26" t="s">
        <v>566</v>
      </c>
      <c r="L190" s="26" t="s">
        <v>82</v>
      </c>
      <c r="M190" s="26" t="s">
        <v>458</v>
      </c>
      <c r="N190" s="26" t="s">
        <v>148</v>
      </c>
      <c r="O190" s="26" t="s">
        <v>10</v>
      </c>
      <c r="P190" s="26" t="s">
        <v>49</v>
      </c>
      <c r="Q190" s="26" t="s">
        <v>10</v>
      </c>
      <c r="R190" s="26" t="s">
        <v>569</v>
      </c>
      <c r="S190" s="26" t="s">
        <v>567</v>
      </c>
      <c r="T190" s="26" t="s">
        <v>568</v>
      </c>
      <c r="U190" s="26">
        <v>0</v>
      </c>
    </row>
    <row r="191" spans="1:21">
      <c r="A191" s="48">
        <v>241</v>
      </c>
      <c r="B191" s="86"/>
      <c r="C191" s="86"/>
      <c r="D191" s="86"/>
      <c r="G191" s="26" t="s">
        <v>14</v>
      </c>
      <c r="H191" s="26" t="s">
        <v>1310</v>
      </c>
      <c r="I191" s="26">
        <v>33</v>
      </c>
      <c r="J191" s="26">
        <v>163</v>
      </c>
      <c r="K191" s="26" t="s">
        <v>868</v>
      </c>
      <c r="L191" s="26" t="s">
        <v>36</v>
      </c>
      <c r="M191" s="26" t="s">
        <v>93</v>
      </c>
      <c r="N191" s="26" t="s">
        <v>557</v>
      </c>
      <c r="O191" s="26" t="s">
        <v>1311</v>
      </c>
      <c r="P191" s="26" t="s">
        <v>20</v>
      </c>
      <c r="Q191" s="26" t="s">
        <v>10</v>
      </c>
      <c r="R191" s="26" t="s">
        <v>79</v>
      </c>
      <c r="S191" s="26" t="s">
        <v>1312</v>
      </c>
      <c r="T191" s="26" t="s">
        <v>1313</v>
      </c>
      <c r="U191" s="26" t="s">
        <v>1314</v>
      </c>
    </row>
    <row r="192" spans="1:21">
      <c r="A192" s="48">
        <v>69</v>
      </c>
      <c r="B192" s="81"/>
      <c r="C192" s="81"/>
      <c r="D192" s="81"/>
      <c r="E192" s="80"/>
      <c r="F192" s="80"/>
      <c r="G192" s="36" t="s">
        <v>14</v>
      </c>
      <c r="H192" s="26" t="s">
        <v>689</v>
      </c>
      <c r="I192" s="26">
        <v>33</v>
      </c>
      <c r="J192" s="26">
        <v>163</v>
      </c>
      <c r="K192" s="26" t="s">
        <v>690</v>
      </c>
      <c r="L192" s="26" t="s">
        <v>462</v>
      </c>
      <c r="M192" s="26" t="s">
        <v>458</v>
      </c>
      <c r="N192" s="26" t="s">
        <v>13</v>
      </c>
      <c r="O192" s="26" t="s">
        <v>204</v>
      </c>
      <c r="P192" s="26" t="s">
        <v>9</v>
      </c>
      <c r="Q192" s="26" t="s">
        <v>29</v>
      </c>
      <c r="R192" s="26" t="s">
        <v>32</v>
      </c>
      <c r="S192" s="26" t="s">
        <v>691</v>
      </c>
      <c r="T192" s="26" t="s">
        <v>692</v>
      </c>
      <c r="U192" s="26">
        <v>0</v>
      </c>
    </row>
    <row r="193" spans="1:24">
      <c r="A193" s="48">
        <v>101</v>
      </c>
      <c r="B193" s="81"/>
      <c r="C193" s="81"/>
      <c r="D193" s="81"/>
      <c r="E193" s="80"/>
      <c r="F193" s="80"/>
      <c r="G193" s="26" t="s">
        <v>14</v>
      </c>
      <c r="H193" s="26" t="s">
        <v>740</v>
      </c>
      <c r="I193" s="26">
        <v>33</v>
      </c>
      <c r="J193" s="26">
        <v>165</v>
      </c>
      <c r="K193" s="26" t="s">
        <v>741</v>
      </c>
      <c r="L193" s="26" t="s">
        <v>25</v>
      </c>
      <c r="M193" s="26" t="s">
        <v>93</v>
      </c>
      <c r="N193" s="26" t="s">
        <v>12</v>
      </c>
      <c r="O193" s="26" t="s">
        <v>10</v>
      </c>
      <c r="P193" s="26" t="s">
        <v>9</v>
      </c>
      <c r="Q193" s="26" t="s">
        <v>10</v>
      </c>
      <c r="R193" s="26" t="s">
        <v>10</v>
      </c>
      <c r="S193" s="26" t="s">
        <v>742</v>
      </c>
      <c r="T193" s="26" t="s">
        <v>743</v>
      </c>
      <c r="U193" s="26">
        <v>0</v>
      </c>
      <c r="X193" s="26">
        <v>162</v>
      </c>
    </row>
    <row r="194" spans="1:24">
      <c r="A194" s="48">
        <v>175</v>
      </c>
      <c r="B194" s="81"/>
      <c r="C194" s="81"/>
      <c r="D194" s="81"/>
      <c r="E194" s="80"/>
      <c r="F194" s="80"/>
      <c r="G194" s="36" t="s">
        <v>14</v>
      </c>
      <c r="H194" s="26" t="s">
        <v>544</v>
      </c>
      <c r="I194" s="26">
        <v>33</v>
      </c>
      <c r="J194" s="26">
        <v>166</v>
      </c>
      <c r="K194" s="26" t="s">
        <v>545</v>
      </c>
      <c r="L194" s="26" t="s">
        <v>462</v>
      </c>
      <c r="M194" s="26" t="s">
        <v>65</v>
      </c>
      <c r="N194" s="26" t="s">
        <v>66</v>
      </c>
      <c r="O194" s="26" t="s">
        <v>546</v>
      </c>
      <c r="P194" s="26" t="s">
        <v>9</v>
      </c>
      <c r="Q194" s="26" t="s">
        <v>10</v>
      </c>
      <c r="R194" s="26" t="s">
        <v>11</v>
      </c>
      <c r="S194" s="26" t="s">
        <v>547</v>
      </c>
      <c r="T194" s="26" t="s">
        <v>548</v>
      </c>
      <c r="U194" s="26">
        <v>0</v>
      </c>
    </row>
    <row r="195" spans="1:24">
      <c r="A195" s="1">
        <v>213</v>
      </c>
      <c r="B195" s="85"/>
      <c r="C195" s="85"/>
      <c r="D195" s="85"/>
      <c r="E195" s="80"/>
      <c r="F195" s="80"/>
      <c r="G195" s="26" t="s">
        <v>14</v>
      </c>
      <c r="H195" s="26" t="s">
        <v>1138</v>
      </c>
      <c r="I195" s="26">
        <v>33</v>
      </c>
      <c r="J195" s="26">
        <v>159</v>
      </c>
      <c r="K195" s="26" t="s">
        <v>1158</v>
      </c>
      <c r="L195" s="26" t="s">
        <v>17</v>
      </c>
      <c r="M195" s="26" t="s">
        <v>15</v>
      </c>
      <c r="N195" s="26" t="s">
        <v>37</v>
      </c>
      <c r="O195" s="26" t="s">
        <v>1142</v>
      </c>
      <c r="P195" s="26" t="s">
        <v>9</v>
      </c>
      <c r="Q195" s="26" t="s">
        <v>29</v>
      </c>
      <c r="R195" s="26">
        <v>0</v>
      </c>
      <c r="S195" s="26" t="s">
        <v>1159</v>
      </c>
      <c r="T195" s="26">
        <v>0</v>
      </c>
      <c r="U195" s="26">
        <v>0</v>
      </c>
    </row>
    <row r="196" spans="1:24">
      <c r="A196" s="48">
        <v>167</v>
      </c>
      <c r="B196" s="81"/>
      <c r="C196" s="81"/>
      <c r="D196" s="81"/>
      <c r="E196" s="80"/>
      <c r="F196" s="80"/>
      <c r="G196" s="26" t="s">
        <v>14</v>
      </c>
      <c r="H196" s="26" t="s">
        <v>600</v>
      </c>
      <c r="I196" s="26">
        <v>33</v>
      </c>
      <c r="J196" s="26">
        <v>162</v>
      </c>
      <c r="K196" s="26" t="s">
        <v>601</v>
      </c>
      <c r="L196" s="26" t="s">
        <v>36</v>
      </c>
      <c r="M196" s="26" t="s">
        <v>15</v>
      </c>
      <c r="N196" s="26" t="s">
        <v>557</v>
      </c>
      <c r="O196" s="26" t="s">
        <v>10</v>
      </c>
      <c r="P196" s="26" t="s">
        <v>9</v>
      </c>
      <c r="Q196" s="26" t="s">
        <v>10</v>
      </c>
      <c r="R196" s="26" t="s">
        <v>10</v>
      </c>
      <c r="S196" s="26" t="s">
        <v>602</v>
      </c>
      <c r="T196" s="26" t="s">
        <v>603</v>
      </c>
      <c r="U196" s="26">
        <v>0</v>
      </c>
    </row>
    <row r="197" spans="1:24">
      <c r="A197" s="107">
        <v>362</v>
      </c>
      <c r="B197" s="81"/>
      <c r="C197" s="81"/>
      <c r="D197" s="81"/>
      <c r="E197" s="80"/>
      <c r="F197" s="81"/>
      <c r="G197" s="26" t="s">
        <v>14</v>
      </c>
      <c r="H197" s="26" t="s">
        <v>595</v>
      </c>
      <c r="I197" s="26">
        <v>33</v>
      </c>
      <c r="J197" s="26">
        <v>175</v>
      </c>
      <c r="K197" s="26" t="s">
        <v>2633</v>
      </c>
      <c r="L197" s="26" t="s">
        <v>465</v>
      </c>
      <c r="M197" s="26" t="s">
        <v>93</v>
      </c>
      <c r="N197" s="4" t="s">
        <v>12</v>
      </c>
      <c r="O197" s="4" t="s">
        <v>10</v>
      </c>
      <c r="P197" s="4" t="s">
        <v>31</v>
      </c>
      <c r="Q197" s="4" t="s">
        <v>10</v>
      </c>
      <c r="R197" s="4" t="s">
        <v>10</v>
      </c>
      <c r="S197" s="4" t="s">
        <v>2705</v>
      </c>
      <c r="T197" s="4" t="s">
        <v>2079</v>
      </c>
      <c r="U197" s="4">
        <v>0</v>
      </c>
    </row>
    <row r="198" spans="1:24">
      <c r="A198" s="107">
        <v>364</v>
      </c>
      <c r="B198" s="81"/>
      <c r="C198" s="81"/>
      <c r="D198" s="81"/>
      <c r="E198" s="80"/>
      <c r="F198" s="81"/>
      <c r="G198" s="26" t="s">
        <v>14</v>
      </c>
      <c r="H198" s="26" t="s">
        <v>2709</v>
      </c>
      <c r="I198" s="26">
        <v>33</v>
      </c>
      <c r="J198" s="26">
        <v>160</v>
      </c>
      <c r="K198" s="26" t="s">
        <v>273</v>
      </c>
      <c r="L198" s="26" t="s">
        <v>461</v>
      </c>
      <c r="M198" s="26" t="s">
        <v>93</v>
      </c>
      <c r="N198" s="4" t="s">
        <v>1125</v>
      </c>
      <c r="O198" s="4" t="s">
        <v>2710</v>
      </c>
      <c r="P198" s="4" t="s">
        <v>9</v>
      </c>
      <c r="Q198" s="4" t="s">
        <v>63</v>
      </c>
      <c r="R198" s="4" t="s">
        <v>707</v>
      </c>
      <c r="S198" s="4" t="s">
        <v>2711</v>
      </c>
      <c r="T198" s="4" t="s">
        <v>2712</v>
      </c>
      <c r="U198" s="4">
        <v>0</v>
      </c>
    </row>
    <row r="199" spans="1:24">
      <c r="A199" s="48">
        <v>390</v>
      </c>
      <c r="B199" s="80"/>
      <c r="C199" s="80"/>
      <c r="D199" s="80"/>
      <c r="E199" s="80"/>
      <c r="F199" s="80">
        <v>1</v>
      </c>
      <c r="G199" s="26" t="s">
        <v>8</v>
      </c>
      <c r="H199" s="26" t="s">
        <v>3069</v>
      </c>
      <c r="I199" s="26">
        <v>33</v>
      </c>
      <c r="J199" s="26">
        <v>173</v>
      </c>
      <c r="K199" s="26" t="s">
        <v>3072</v>
      </c>
      <c r="L199" s="26" t="s">
        <v>460</v>
      </c>
      <c r="M199" s="26" t="s">
        <v>21</v>
      </c>
      <c r="N199" s="26" t="s">
        <v>12</v>
      </c>
      <c r="O199" s="26" t="s">
        <v>10</v>
      </c>
      <c r="P199" s="26" t="s">
        <v>9</v>
      </c>
      <c r="Q199" s="26" t="s">
        <v>29</v>
      </c>
      <c r="R199" s="26" t="s">
        <v>10</v>
      </c>
      <c r="S199" s="26" t="s">
        <v>3074</v>
      </c>
      <c r="T199" s="26" t="s">
        <v>3075</v>
      </c>
      <c r="U199" s="26">
        <v>0</v>
      </c>
    </row>
    <row r="200" spans="1:24">
      <c r="A200" s="48">
        <v>13</v>
      </c>
      <c r="B200" s="81">
        <v>1</v>
      </c>
      <c r="C200" s="81"/>
      <c r="D200" s="81"/>
      <c r="E200" s="80"/>
      <c r="F200" s="80"/>
      <c r="G200" s="26" t="s">
        <v>8</v>
      </c>
      <c r="H200" s="26" t="s">
        <v>401</v>
      </c>
      <c r="I200" s="26">
        <v>34</v>
      </c>
      <c r="J200" s="26">
        <v>168</v>
      </c>
      <c r="K200" s="26" t="s">
        <v>472</v>
      </c>
      <c r="L200" s="4" t="s">
        <v>25</v>
      </c>
      <c r="M200" s="4" t="s">
        <v>64</v>
      </c>
      <c r="N200" s="4" t="s">
        <v>252</v>
      </c>
      <c r="O200" s="4" t="s">
        <v>10</v>
      </c>
      <c r="P200" s="4" t="s">
        <v>9</v>
      </c>
      <c r="Q200" s="4" t="s">
        <v>10</v>
      </c>
      <c r="R200" s="4" t="s">
        <v>10</v>
      </c>
      <c r="S200" s="4" t="s">
        <v>402</v>
      </c>
      <c r="T200" s="4" t="s">
        <v>403</v>
      </c>
      <c r="U200" s="4" t="s">
        <v>404</v>
      </c>
    </row>
    <row r="201" spans="1:24">
      <c r="A201" s="48">
        <v>92</v>
      </c>
      <c r="B201" s="81">
        <v>1</v>
      </c>
      <c r="C201" s="81"/>
      <c r="D201" s="81"/>
      <c r="E201" s="80"/>
      <c r="F201" s="80"/>
      <c r="G201" s="26" t="s">
        <v>8</v>
      </c>
      <c r="H201" s="26" t="s">
        <v>648</v>
      </c>
      <c r="I201" s="26">
        <v>34</v>
      </c>
      <c r="J201" s="26">
        <v>168</v>
      </c>
      <c r="K201" s="26" t="s">
        <v>649</v>
      </c>
      <c r="L201" s="26" t="s">
        <v>25</v>
      </c>
      <c r="M201" s="26" t="s">
        <v>22</v>
      </c>
      <c r="N201" s="26" t="s">
        <v>18</v>
      </c>
      <c r="O201" s="26" t="s">
        <v>10</v>
      </c>
      <c r="P201" s="26" t="s">
        <v>9</v>
      </c>
      <c r="Q201" s="26" t="s">
        <v>29</v>
      </c>
      <c r="R201" s="26" t="s">
        <v>10</v>
      </c>
      <c r="S201" s="26" t="s">
        <v>650</v>
      </c>
      <c r="T201" s="26" t="s">
        <v>651</v>
      </c>
      <c r="U201" s="26">
        <v>0</v>
      </c>
    </row>
    <row r="202" spans="1:24">
      <c r="A202" s="48">
        <v>244</v>
      </c>
      <c r="B202" s="86">
        <v>1</v>
      </c>
      <c r="C202" s="86"/>
      <c r="D202" s="86"/>
      <c r="G202" s="26" t="s">
        <v>8</v>
      </c>
      <c r="H202" s="26" t="s">
        <v>1323</v>
      </c>
      <c r="I202" s="26">
        <v>34</v>
      </c>
      <c r="J202" s="26">
        <v>173</v>
      </c>
      <c r="K202" s="26" t="s">
        <v>1324</v>
      </c>
      <c r="L202" s="26" t="s">
        <v>25</v>
      </c>
      <c r="M202" s="26" t="s">
        <v>21</v>
      </c>
      <c r="N202" s="26" t="s">
        <v>252</v>
      </c>
      <c r="O202" s="26" t="s">
        <v>10</v>
      </c>
      <c r="P202" s="26" t="s">
        <v>31</v>
      </c>
      <c r="Q202" s="26" t="s">
        <v>10</v>
      </c>
      <c r="R202" s="26" t="s">
        <v>10</v>
      </c>
      <c r="S202" s="26" t="s">
        <v>1325</v>
      </c>
      <c r="T202" s="26" t="s">
        <v>1326</v>
      </c>
      <c r="U202" s="26" t="s">
        <v>1327</v>
      </c>
    </row>
    <row r="203" spans="1:24">
      <c r="A203" s="48">
        <v>158</v>
      </c>
      <c r="B203" s="81">
        <v>1</v>
      </c>
      <c r="C203" s="81"/>
      <c r="D203" s="81"/>
      <c r="E203" s="80"/>
      <c r="F203" s="80"/>
      <c r="G203" s="26" t="s">
        <v>8</v>
      </c>
      <c r="H203" s="26" t="s">
        <v>1001</v>
      </c>
      <c r="I203" s="26">
        <v>34</v>
      </c>
      <c r="J203" s="26">
        <v>173</v>
      </c>
      <c r="K203" s="26" t="s">
        <v>1003</v>
      </c>
      <c r="L203" s="26" t="s">
        <v>10</v>
      </c>
      <c r="M203" s="26" t="s">
        <v>91</v>
      </c>
      <c r="N203" s="26" t="s">
        <v>252</v>
      </c>
      <c r="O203" s="26" t="s">
        <v>1004</v>
      </c>
      <c r="P203" s="26" t="s">
        <v>9</v>
      </c>
      <c r="Q203" s="26" t="s">
        <v>10</v>
      </c>
      <c r="R203" s="26" t="s">
        <v>10</v>
      </c>
      <c r="S203" s="26" t="s">
        <v>1005</v>
      </c>
      <c r="T203" s="26" t="s">
        <v>1006</v>
      </c>
      <c r="U203" s="26">
        <v>0</v>
      </c>
    </row>
    <row r="204" spans="1:24">
      <c r="A204" s="48">
        <v>315</v>
      </c>
      <c r="B204" s="84" t="s">
        <v>1752</v>
      </c>
      <c r="C204" s="84"/>
      <c r="D204" s="84"/>
      <c r="G204" s="26" t="s">
        <v>8</v>
      </c>
      <c r="H204" s="26" t="s">
        <v>1664</v>
      </c>
      <c r="I204" s="26">
        <v>34</v>
      </c>
      <c r="J204" s="26">
        <v>170</v>
      </c>
      <c r="K204" s="26" t="s">
        <v>273</v>
      </c>
      <c r="L204" s="26" t="s">
        <v>462</v>
      </c>
      <c r="M204" s="26" t="s">
        <v>21</v>
      </c>
      <c r="N204" s="26" t="s">
        <v>13</v>
      </c>
      <c r="O204" s="26" t="s">
        <v>10</v>
      </c>
      <c r="P204" s="26" t="s">
        <v>9</v>
      </c>
      <c r="Q204" s="26" t="s">
        <v>10</v>
      </c>
      <c r="R204" s="26" t="s">
        <v>10</v>
      </c>
      <c r="S204" s="26" t="s">
        <v>1711</v>
      </c>
      <c r="T204" s="26" t="s">
        <v>1712</v>
      </c>
      <c r="U204" s="26" t="s">
        <v>1713</v>
      </c>
    </row>
    <row r="205" spans="1:24">
      <c r="A205" s="48">
        <v>268</v>
      </c>
      <c r="B205" s="84"/>
      <c r="C205" s="84"/>
      <c r="D205" s="84"/>
      <c r="G205" s="26" t="s">
        <v>8</v>
      </c>
      <c r="H205" s="26" t="s">
        <v>1471</v>
      </c>
      <c r="I205" s="26">
        <v>34</v>
      </c>
      <c r="J205" s="26">
        <v>173</v>
      </c>
      <c r="K205" s="26" t="s">
        <v>1472</v>
      </c>
      <c r="L205" s="26" t="s">
        <v>25</v>
      </c>
      <c r="M205" s="26" t="s">
        <v>772</v>
      </c>
      <c r="N205" s="26" t="s">
        <v>35</v>
      </c>
      <c r="O205" s="26" t="s">
        <v>10</v>
      </c>
      <c r="P205" s="26" t="s">
        <v>9</v>
      </c>
      <c r="Q205" s="26" t="s">
        <v>10</v>
      </c>
      <c r="R205" s="26" t="s">
        <v>10</v>
      </c>
      <c r="S205" s="26" t="s">
        <v>1473</v>
      </c>
      <c r="T205" s="26" t="s">
        <v>1474</v>
      </c>
      <c r="U205" s="26">
        <v>0</v>
      </c>
    </row>
    <row r="206" spans="1:24">
      <c r="A206" s="48">
        <v>292</v>
      </c>
      <c r="G206" s="26" t="s">
        <v>8</v>
      </c>
      <c r="H206" s="26" t="s">
        <v>270</v>
      </c>
      <c r="I206" s="26">
        <v>34</v>
      </c>
      <c r="J206" s="26">
        <v>177</v>
      </c>
      <c r="K206" s="26" t="s">
        <v>147</v>
      </c>
      <c r="L206" s="26" t="s">
        <v>25</v>
      </c>
      <c r="M206" s="26" t="s">
        <v>34</v>
      </c>
      <c r="N206" s="26" t="s">
        <v>18</v>
      </c>
      <c r="O206" s="26" t="s">
        <v>1434</v>
      </c>
      <c r="P206" s="26" t="s">
        <v>9</v>
      </c>
      <c r="Q206" s="26" t="s">
        <v>10</v>
      </c>
      <c r="R206" s="26" t="s">
        <v>10</v>
      </c>
      <c r="S206" s="26" t="s">
        <v>1565</v>
      </c>
      <c r="T206" s="26" t="s">
        <v>1566</v>
      </c>
      <c r="U206" s="26">
        <v>0</v>
      </c>
    </row>
    <row r="207" spans="1:24">
      <c r="A207" s="48">
        <v>314</v>
      </c>
      <c r="G207" s="26" t="s">
        <v>8</v>
      </c>
      <c r="H207" s="26" t="s">
        <v>1662</v>
      </c>
      <c r="I207" s="26">
        <v>34</v>
      </c>
      <c r="J207" s="26">
        <v>172</v>
      </c>
      <c r="K207" s="26" t="s">
        <v>1663</v>
      </c>
      <c r="L207" s="26" t="s">
        <v>462</v>
      </c>
      <c r="M207" s="26" t="s">
        <v>10</v>
      </c>
      <c r="N207" s="26" t="s">
        <v>19</v>
      </c>
      <c r="O207" s="26" t="s">
        <v>10</v>
      </c>
      <c r="P207" s="26" t="s">
        <v>9</v>
      </c>
      <c r="Q207" s="26" t="s">
        <v>10</v>
      </c>
      <c r="R207" s="26" t="s">
        <v>10</v>
      </c>
      <c r="S207" s="26" t="s">
        <v>1710</v>
      </c>
      <c r="T207" s="26" t="s">
        <v>923</v>
      </c>
      <c r="U207" s="26">
        <v>0</v>
      </c>
    </row>
    <row r="208" spans="1:24">
      <c r="A208" s="48">
        <v>1</v>
      </c>
      <c r="B208" s="81"/>
      <c r="C208" s="81"/>
      <c r="D208" s="81"/>
      <c r="E208" s="80"/>
      <c r="F208" s="80"/>
      <c r="G208" s="26" t="s">
        <v>8</v>
      </c>
      <c r="H208" s="26" t="s">
        <v>953</v>
      </c>
      <c r="I208" s="26">
        <v>34</v>
      </c>
      <c r="J208" s="26">
        <v>178</v>
      </c>
      <c r="K208" s="26" t="s">
        <v>955</v>
      </c>
      <c r="L208" s="26" t="s">
        <v>25</v>
      </c>
      <c r="M208" s="26" t="s">
        <v>10</v>
      </c>
      <c r="N208" s="26" t="s">
        <v>37</v>
      </c>
      <c r="O208" s="26" t="s">
        <v>956</v>
      </c>
      <c r="P208" s="26" t="s">
        <v>9</v>
      </c>
      <c r="Q208" s="26" t="s">
        <v>29</v>
      </c>
      <c r="R208" s="26" t="s">
        <v>10</v>
      </c>
      <c r="S208" s="26" t="s">
        <v>957</v>
      </c>
      <c r="T208" s="26" t="s">
        <v>958</v>
      </c>
      <c r="U208" s="26">
        <v>0</v>
      </c>
    </row>
    <row r="209" spans="1:21">
      <c r="A209" s="48">
        <v>123</v>
      </c>
      <c r="B209" s="81"/>
      <c r="C209" s="81"/>
      <c r="D209" s="81"/>
      <c r="E209" s="80"/>
      <c r="F209" s="80"/>
      <c r="G209" s="26" t="s">
        <v>8</v>
      </c>
      <c r="H209" s="26" t="s">
        <v>84</v>
      </c>
      <c r="I209" s="26">
        <v>34</v>
      </c>
      <c r="J209" s="26">
        <v>179</v>
      </c>
      <c r="K209" s="26" t="s">
        <v>162</v>
      </c>
      <c r="L209" s="26" t="s">
        <v>25</v>
      </c>
      <c r="M209" s="26" t="s">
        <v>772</v>
      </c>
      <c r="N209" s="26" t="s">
        <v>66</v>
      </c>
      <c r="O209" s="26" t="s">
        <v>10</v>
      </c>
      <c r="P209" s="26" t="s">
        <v>9</v>
      </c>
      <c r="Q209" s="26" t="s">
        <v>57</v>
      </c>
      <c r="R209" s="26" t="s">
        <v>10</v>
      </c>
      <c r="S209" s="26" t="s">
        <v>163</v>
      </c>
      <c r="T209" s="26" t="s">
        <v>164</v>
      </c>
      <c r="U209" s="26">
        <v>0</v>
      </c>
    </row>
    <row r="210" spans="1:21">
      <c r="A210" s="48">
        <v>283</v>
      </c>
      <c r="B210" s="84"/>
      <c r="C210" s="84"/>
      <c r="D210" s="84"/>
      <c r="G210" s="26" t="s">
        <v>8</v>
      </c>
      <c r="H210" s="26" t="s">
        <v>1323</v>
      </c>
      <c r="I210" s="26">
        <v>34</v>
      </c>
      <c r="J210" s="26">
        <v>173</v>
      </c>
      <c r="K210" s="26" t="s">
        <v>1537</v>
      </c>
      <c r="L210" s="26" t="s">
        <v>25</v>
      </c>
      <c r="M210" s="26" t="s">
        <v>21</v>
      </c>
      <c r="N210" s="26" t="s">
        <v>252</v>
      </c>
      <c r="O210" s="26" t="s">
        <v>10</v>
      </c>
      <c r="P210" s="26" t="s">
        <v>31</v>
      </c>
      <c r="Q210" s="26" t="s">
        <v>10</v>
      </c>
      <c r="R210" s="26" t="s">
        <v>10</v>
      </c>
      <c r="S210" s="26" t="s">
        <v>1538</v>
      </c>
      <c r="T210" s="26" t="s">
        <v>1539</v>
      </c>
      <c r="U210" s="26">
        <v>0</v>
      </c>
    </row>
    <row r="211" spans="1:21">
      <c r="A211" s="48">
        <v>56</v>
      </c>
      <c r="B211" s="81"/>
      <c r="C211" s="81"/>
      <c r="D211" s="81"/>
      <c r="E211" s="80"/>
      <c r="F211" s="80"/>
      <c r="G211" s="26" t="s">
        <v>8</v>
      </c>
      <c r="H211" s="26" t="s">
        <v>978</v>
      </c>
      <c r="I211" s="26">
        <v>34</v>
      </c>
      <c r="J211" s="26">
        <v>170</v>
      </c>
      <c r="K211" s="26" t="s">
        <v>980</v>
      </c>
      <c r="L211" s="26" t="s">
        <v>25</v>
      </c>
      <c r="M211" s="26" t="s">
        <v>21</v>
      </c>
      <c r="N211" s="26" t="s">
        <v>37</v>
      </c>
      <c r="O211" s="26" t="s">
        <v>981</v>
      </c>
      <c r="P211" s="26" t="s">
        <v>31</v>
      </c>
      <c r="Q211" s="26" t="s">
        <v>10</v>
      </c>
      <c r="R211" s="26">
        <v>0</v>
      </c>
      <c r="S211" s="26" t="s">
        <v>982</v>
      </c>
      <c r="T211" s="26" t="s">
        <v>983</v>
      </c>
      <c r="U211" s="26">
        <v>0</v>
      </c>
    </row>
    <row r="212" spans="1:21">
      <c r="A212" s="48">
        <v>229</v>
      </c>
      <c r="B212" s="108"/>
      <c r="C212" s="88"/>
      <c r="D212" s="88"/>
      <c r="G212" s="26" t="s">
        <v>8</v>
      </c>
      <c r="H212" s="26" t="s">
        <v>1233</v>
      </c>
      <c r="I212" s="26">
        <v>34</v>
      </c>
      <c r="J212" s="26">
        <v>167</v>
      </c>
      <c r="K212" s="26" t="s">
        <v>1234</v>
      </c>
      <c r="L212" s="26" t="s">
        <v>459</v>
      </c>
      <c r="M212" s="26" t="s">
        <v>10</v>
      </c>
      <c r="N212" s="26" t="s">
        <v>66</v>
      </c>
      <c r="O212" s="26" t="s">
        <v>10</v>
      </c>
      <c r="P212" s="26" t="s">
        <v>20</v>
      </c>
      <c r="Q212" s="26" t="s">
        <v>10</v>
      </c>
      <c r="R212" s="26" t="s">
        <v>10</v>
      </c>
      <c r="S212" s="26" t="s">
        <v>1235</v>
      </c>
      <c r="T212" s="26" t="s">
        <v>1236</v>
      </c>
      <c r="U212" s="26" t="s">
        <v>1237</v>
      </c>
    </row>
    <row r="213" spans="1:21">
      <c r="A213" s="48">
        <v>49</v>
      </c>
      <c r="B213" s="90"/>
      <c r="C213" s="81"/>
      <c r="D213" s="81"/>
      <c r="E213" s="80"/>
      <c r="F213" s="80"/>
      <c r="G213" s="26" t="s">
        <v>8</v>
      </c>
      <c r="H213" s="26" t="s">
        <v>378</v>
      </c>
      <c r="I213" s="26">
        <v>34</v>
      </c>
      <c r="J213" s="26">
        <v>174</v>
      </c>
      <c r="K213" s="26" t="s">
        <v>379</v>
      </c>
      <c r="L213" s="26" t="s">
        <v>775</v>
      </c>
      <c r="M213" s="26" t="s">
        <v>21</v>
      </c>
      <c r="N213" s="26" t="s">
        <v>380</v>
      </c>
      <c r="O213" s="26" t="s">
        <v>10</v>
      </c>
      <c r="P213" s="26" t="s">
        <v>9</v>
      </c>
      <c r="Q213" s="26" t="s">
        <v>10</v>
      </c>
      <c r="R213" s="26" t="s">
        <v>10</v>
      </c>
      <c r="S213" s="26" t="s">
        <v>381</v>
      </c>
      <c r="T213" s="26" t="s">
        <v>382</v>
      </c>
      <c r="U213" s="26">
        <v>0</v>
      </c>
    </row>
    <row r="214" spans="1:21">
      <c r="A214" s="48">
        <v>124</v>
      </c>
      <c r="B214" s="90"/>
      <c r="C214" s="81"/>
      <c r="D214" s="81"/>
      <c r="E214" s="80"/>
      <c r="F214" s="80"/>
      <c r="G214" s="26" t="s">
        <v>8</v>
      </c>
      <c r="H214" s="26" t="s">
        <v>1022</v>
      </c>
      <c r="I214" s="26">
        <v>34</v>
      </c>
      <c r="J214" s="26">
        <v>183</v>
      </c>
      <c r="K214" s="26" t="s">
        <v>1023</v>
      </c>
      <c r="L214" s="26" t="s">
        <v>25</v>
      </c>
      <c r="M214" s="26" t="s">
        <v>773</v>
      </c>
      <c r="N214" s="26" t="s">
        <v>66</v>
      </c>
      <c r="O214" s="26" t="s">
        <v>10</v>
      </c>
      <c r="P214" s="26" t="s">
        <v>9</v>
      </c>
      <c r="Q214" s="26" t="s">
        <v>10</v>
      </c>
      <c r="R214" s="26" t="s">
        <v>10</v>
      </c>
      <c r="S214" s="26" t="s">
        <v>1024</v>
      </c>
      <c r="T214" s="26">
        <v>0</v>
      </c>
      <c r="U214" s="26">
        <v>0</v>
      </c>
    </row>
    <row r="215" spans="1:21">
      <c r="A215" s="48">
        <v>130</v>
      </c>
      <c r="B215" s="90"/>
      <c r="C215" s="81"/>
      <c r="D215" s="81"/>
      <c r="E215" s="80"/>
      <c r="F215" s="80"/>
      <c r="G215" s="26" t="s">
        <v>8</v>
      </c>
      <c r="H215" s="26" t="s">
        <v>663</v>
      </c>
      <c r="I215" s="26">
        <v>34</v>
      </c>
      <c r="J215" s="26">
        <v>185</v>
      </c>
      <c r="K215" s="26" t="s">
        <v>664</v>
      </c>
      <c r="L215" s="26" t="s">
        <v>25</v>
      </c>
      <c r="M215" s="26" t="s">
        <v>34</v>
      </c>
      <c r="N215" s="26" t="s">
        <v>13</v>
      </c>
      <c r="O215" s="26" t="s">
        <v>10</v>
      </c>
      <c r="P215" s="26" t="s">
        <v>9</v>
      </c>
      <c r="Q215" s="26" t="s">
        <v>29</v>
      </c>
      <c r="R215" s="26" t="s">
        <v>10</v>
      </c>
      <c r="S215" s="26" t="s">
        <v>665</v>
      </c>
      <c r="T215" s="26" t="s">
        <v>666</v>
      </c>
      <c r="U215" s="26">
        <v>0</v>
      </c>
    </row>
    <row r="216" spans="1:21">
      <c r="A216" s="48">
        <v>139</v>
      </c>
      <c r="B216" s="90"/>
      <c r="C216" s="81"/>
      <c r="D216" s="81"/>
      <c r="E216" s="80"/>
      <c r="F216" s="80"/>
      <c r="G216" s="26" t="s">
        <v>8</v>
      </c>
      <c r="H216" s="26" t="s">
        <v>821</v>
      </c>
      <c r="I216" s="26">
        <v>34</v>
      </c>
      <c r="J216" s="26">
        <v>173</v>
      </c>
      <c r="K216" s="26" t="s">
        <v>686</v>
      </c>
      <c r="L216" s="26" t="s">
        <v>25</v>
      </c>
      <c r="M216" s="26" t="s">
        <v>22</v>
      </c>
      <c r="N216" s="26" t="s">
        <v>28</v>
      </c>
      <c r="O216" s="26" t="s">
        <v>10</v>
      </c>
      <c r="P216" s="26" t="s">
        <v>9</v>
      </c>
      <c r="Q216" s="26" t="s">
        <v>29</v>
      </c>
      <c r="R216" s="26" t="s">
        <v>10</v>
      </c>
      <c r="S216" s="26" t="s">
        <v>92</v>
      </c>
      <c r="T216" s="26" t="s">
        <v>822</v>
      </c>
      <c r="U216" s="26">
        <v>0</v>
      </c>
    </row>
    <row r="217" spans="1:21">
      <c r="A217" s="48">
        <v>203</v>
      </c>
      <c r="B217" s="96"/>
      <c r="C217" s="85"/>
      <c r="D217" s="85"/>
      <c r="E217" s="80"/>
      <c r="F217" s="80"/>
      <c r="G217" s="26" t="s">
        <v>8</v>
      </c>
      <c r="H217" s="26" t="s">
        <v>270</v>
      </c>
      <c r="I217" s="26">
        <v>34</v>
      </c>
      <c r="J217" s="26">
        <v>177</v>
      </c>
      <c r="K217" s="26" t="s">
        <v>147</v>
      </c>
      <c r="L217" s="26" t="s">
        <v>25</v>
      </c>
      <c r="M217" s="26" t="s">
        <v>34</v>
      </c>
      <c r="N217" s="26" t="s">
        <v>18</v>
      </c>
      <c r="O217" s="26" t="s">
        <v>10</v>
      </c>
      <c r="P217" s="26" t="s">
        <v>9</v>
      </c>
      <c r="Q217" s="26" t="s">
        <v>29</v>
      </c>
      <c r="R217" s="26" t="s">
        <v>10</v>
      </c>
      <c r="S217" s="26" t="s">
        <v>271</v>
      </c>
      <c r="T217" s="26" t="s">
        <v>272</v>
      </c>
      <c r="U217" s="26">
        <v>0</v>
      </c>
    </row>
    <row r="218" spans="1:21">
      <c r="A218" s="48">
        <v>247</v>
      </c>
      <c r="B218" s="97"/>
      <c r="C218" s="86"/>
      <c r="D218" s="86"/>
      <c r="G218" s="26" t="s">
        <v>8</v>
      </c>
      <c r="H218" s="26" t="s">
        <v>1338</v>
      </c>
      <c r="I218" s="26">
        <v>34</v>
      </c>
      <c r="J218" s="26">
        <v>186</v>
      </c>
      <c r="K218" s="26" t="s">
        <v>1339</v>
      </c>
      <c r="L218" s="26" t="s">
        <v>25</v>
      </c>
      <c r="M218" s="26" t="s">
        <v>34</v>
      </c>
      <c r="N218" s="26" t="s">
        <v>12</v>
      </c>
      <c r="O218" s="26" t="s">
        <v>10</v>
      </c>
      <c r="P218" s="26" t="s">
        <v>20</v>
      </c>
      <c r="Q218" s="26" t="s">
        <v>10</v>
      </c>
      <c r="R218" s="26" t="s">
        <v>10</v>
      </c>
      <c r="S218" s="26" t="s">
        <v>1340</v>
      </c>
      <c r="T218" s="26">
        <v>0</v>
      </c>
      <c r="U218" s="26">
        <v>0</v>
      </c>
    </row>
    <row r="219" spans="1:21">
      <c r="A219" s="48">
        <v>345</v>
      </c>
      <c r="B219" s="110"/>
      <c r="C219" s="84"/>
      <c r="D219" s="84"/>
      <c r="G219" s="26" t="s">
        <v>8</v>
      </c>
      <c r="H219" s="26" t="s">
        <v>1935</v>
      </c>
      <c r="I219" s="26">
        <v>34</v>
      </c>
      <c r="J219" s="26">
        <v>171</v>
      </c>
      <c r="K219" s="26" t="s">
        <v>1936</v>
      </c>
      <c r="L219" s="26" t="s">
        <v>25</v>
      </c>
      <c r="M219" s="26" t="s">
        <v>21</v>
      </c>
      <c r="N219" s="26" t="s">
        <v>68</v>
      </c>
      <c r="O219" s="26" t="s">
        <v>10</v>
      </c>
      <c r="P219" s="26" t="s">
        <v>9</v>
      </c>
      <c r="Q219" s="26" t="s">
        <v>10</v>
      </c>
      <c r="R219" s="26" t="s">
        <v>10</v>
      </c>
      <c r="S219" s="26" t="s">
        <v>1937</v>
      </c>
      <c r="T219" s="26" t="s">
        <v>1938</v>
      </c>
      <c r="U219" s="26">
        <v>0</v>
      </c>
    </row>
    <row r="220" spans="1:21">
      <c r="A220" s="48">
        <v>188</v>
      </c>
      <c r="B220" s="90">
        <v>1</v>
      </c>
      <c r="C220" s="81"/>
      <c r="D220" s="81"/>
      <c r="E220" s="80"/>
      <c r="F220" s="80"/>
      <c r="G220" s="26" t="s">
        <v>14</v>
      </c>
      <c r="H220" s="26" t="s">
        <v>681</v>
      </c>
      <c r="I220" s="26">
        <v>34</v>
      </c>
      <c r="J220" s="26">
        <v>166</v>
      </c>
      <c r="K220" s="26" t="s">
        <v>682</v>
      </c>
      <c r="L220" s="26" t="s">
        <v>465</v>
      </c>
      <c r="M220" s="26" t="s">
        <v>93</v>
      </c>
      <c r="N220" s="26" t="s">
        <v>12</v>
      </c>
      <c r="O220" s="26" t="s">
        <v>10</v>
      </c>
      <c r="P220" s="26" t="s">
        <v>9</v>
      </c>
      <c r="Q220" s="26" t="s">
        <v>10</v>
      </c>
      <c r="R220" s="26" t="s">
        <v>10</v>
      </c>
      <c r="S220" s="26" t="s">
        <v>683</v>
      </c>
      <c r="T220" s="26" t="s">
        <v>684</v>
      </c>
      <c r="U220" s="26">
        <v>0</v>
      </c>
    </row>
    <row r="221" spans="1:21">
      <c r="A221" s="48">
        <v>278</v>
      </c>
      <c r="B221" s="110"/>
      <c r="G221" s="26" t="s">
        <v>14</v>
      </c>
      <c r="H221" s="26" t="s">
        <v>1513</v>
      </c>
      <c r="I221" s="26">
        <v>34</v>
      </c>
      <c r="J221" s="26">
        <v>167</v>
      </c>
      <c r="K221" s="26" t="s">
        <v>1515</v>
      </c>
      <c r="L221" s="26" t="s">
        <v>462</v>
      </c>
      <c r="M221" s="26" t="s">
        <v>93</v>
      </c>
      <c r="N221" s="26" t="s">
        <v>24</v>
      </c>
      <c r="O221" s="26" t="s">
        <v>10</v>
      </c>
      <c r="P221" s="26" t="s">
        <v>20</v>
      </c>
      <c r="Q221" s="26" t="s">
        <v>10</v>
      </c>
      <c r="R221" s="26" t="s">
        <v>10</v>
      </c>
      <c r="S221" s="26" t="s">
        <v>1516</v>
      </c>
      <c r="T221" s="26" t="s">
        <v>1517</v>
      </c>
      <c r="U221" s="26">
        <v>0</v>
      </c>
    </row>
    <row r="222" spans="1:21">
      <c r="A222" s="48">
        <v>318</v>
      </c>
      <c r="B222" s="90"/>
      <c r="C222" s="81"/>
      <c r="D222" s="81"/>
      <c r="E222" s="80"/>
      <c r="F222" s="80"/>
      <c r="G222" s="36" t="s">
        <v>14</v>
      </c>
      <c r="H222" s="26" t="s">
        <v>1769</v>
      </c>
      <c r="I222" s="26">
        <v>34</v>
      </c>
      <c r="J222" s="26">
        <v>170</v>
      </c>
      <c r="K222" s="26" t="s">
        <v>1770</v>
      </c>
      <c r="L222" s="26" t="s">
        <v>462</v>
      </c>
      <c r="M222" s="26" t="s">
        <v>93</v>
      </c>
      <c r="N222" s="26" t="s">
        <v>28</v>
      </c>
      <c r="O222" s="26" t="s">
        <v>10</v>
      </c>
      <c r="P222" s="26" t="s">
        <v>9</v>
      </c>
      <c r="Q222" s="26" t="s">
        <v>10</v>
      </c>
      <c r="R222" s="26" t="s">
        <v>11</v>
      </c>
      <c r="S222" s="26" t="s">
        <v>1771</v>
      </c>
      <c r="T222" s="26" t="s">
        <v>1772</v>
      </c>
      <c r="U222" s="26" t="s">
        <v>1773</v>
      </c>
    </row>
    <row r="223" spans="1:21">
      <c r="A223" s="48">
        <v>293</v>
      </c>
      <c r="B223" s="110"/>
      <c r="C223" s="84"/>
      <c r="D223" s="84"/>
      <c r="G223" s="26" t="s">
        <v>14</v>
      </c>
      <c r="H223" s="26" t="s">
        <v>1567</v>
      </c>
      <c r="I223" s="26">
        <v>34</v>
      </c>
      <c r="J223" s="26">
        <v>162</v>
      </c>
      <c r="K223" s="26" t="s">
        <v>1569</v>
      </c>
      <c r="L223" s="26" t="s">
        <v>1620</v>
      </c>
      <c r="M223" s="26" t="s">
        <v>93</v>
      </c>
      <c r="N223" s="26" t="s">
        <v>68</v>
      </c>
      <c r="O223" s="26" t="s">
        <v>10</v>
      </c>
      <c r="P223" s="26" t="s">
        <v>9</v>
      </c>
      <c r="Q223" s="26" t="s">
        <v>29</v>
      </c>
      <c r="R223" s="26" t="s">
        <v>11</v>
      </c>
      <c r="S223" s="26" t="s">
        <v>1570</v>
      </c>
      <c r="T223" s="26" t="s">
        <v>1571</v>
      </c>
      <c r="U223" s="26">
        <v>0</v>
      </c>
    </row>
    <row r="224" spans="1:21">
      <c r="A224" s="48">
        <v>291</v>
      </c>
      <c r="B224" s="110"/>
      <c r="C224" s="84"/>
      <c r="D224" s="84"/>
      <c r="G224" s="26" t="s">
        <v>14</v>
      </c>
      <c r="H224" s="26" t="s">
        <v>1563</v>
      </c>
      <c r="I224" s="26">
        <v>34</v>
      </c>
      <c r="J224" s="26">
        <v>164</v>
      </c>
      <c r="K224" s="26" t="s">
        <v>11</v>
      </c>
      <c r="L224" s="26" t="s">
        <v>82</v>
      </c>
      <c r="M224" s="26" t="s">
        <v>93</v>
      </c>
      <c r="N224" s="26" t="s">
        <v>203</v>
      </c>
      <c r="O224" s="26" t="s">
        <v>10</v>
      </c>
      <c r="P224" s="26" t="s">
        <v>9</v>
      </c>
      <c r="Q224" s="26" t="s">
        <v>29</v>
      </c>
      <c r="R224" s="26" t="s">
        <v>10</v>
      </c>
      <c r="S224" s="26" t="s">
        <v>1564</v>
      </c>
      <c r="T224" s="26">
        <v>0</v>
      </c>
      <c r="U224" s="26">
        <v>0</v>
      </c>
    </row>
    <row r="225" spans="1:21">
      <c r="A225" s="48">
        <v>109</v>
      </c>
      <c r="B225" s="90"/>
      <c r="C225" s="81"/>
      <c r="D225" s="81"/>
      <c r="E225" s="80"/>
      <c r="F225" s="80"/>
      <c r="G225" s="26" t="s">
        <v>14</v>
      </c>
      <c r="H225" s="26" t="s">
        <v>657</v>
      </c>
      <c r="I225" s="26">
        <v>34</v>
      </c>
      <c r="J225" s="26">
        <v>158</v>
      </c>
      <c r="K225" s="26" t="s">
        <v>658</v>
      </c>
      <c r="L225" s="26" t="s">
        <v>465</v>
      </c>
      <c r="M225" s="26" t="s">
        <v>55</v>
      </c>
      <c r="N225" s="26" t="s">
        <v>148</v>
      </c>
      <c r="O225" s="26" t="s">
        <v>659</v>
      </c>
      <c r="P225" s="26" t="s">
        <v>9</v>
      </c>
      <c r="Q225" s="26" t="s">
        <v>29</v>
      </c>
      <c r="R225" s="26" t="s">
        <v>69</v>
      </c>
      <c r="S225" s="26" t="s">
        <v>660</v>
      </c>
      <c r="T225" s="26" t="s">
        <v>661</v>
      </c>
      <c r="U225" s="26" t="s">
        <v>662</v>
      </c>
    </row>
    <row r="226" spans="1:21">
      <c r="A226" s="48">
        <v>260</v>
      </c>
      <c r="B226" s="208"/>
      <c r="C226" s="89"/>
      <c r="D226" s="89"/>
      <c r="G226" s="26" t="s">
        <v>14</v>
      </c>
      <c r="H226" s="26" t="s">
        <v>1436</v>
      </c>
      <c r="I226" s="26">
        <v>34</v>
      </c>
      <c r="J226" s="26">
        <v>161</v>
      </c>
      <c r="K226" s="26" t="s">
        <v>1437</v>
      </c>
      <c r="L226" s="26" t="s">
        <v>36</v>
      </c>
      <c r="M226" s="26" t="s">
        <v>93</v>
      </c>
      <c r="N226" s="26" t="s">
        <v>23</v>
      </c>
      <c r="O226" s="26" t="s">
        <v>1004</v>
      </c>
      <c r="P226" s="26" t="s">
        <v>9</v>
      </c>
      <c r="Q226" s="26" t="s">
        <v>10</v>
      </c>
      <c r="R226" s="26" t="s">
        <v>10</v>
      </c>
      <c r="S226" s="26" t="s">
        <v>1438</v>
      </c>
      <c r="T226" s="26" t="s">
        <v>1439</v>
      </c>
      <c r="U226" s="26" t="s">
        <v>1440</v>
      </c>
    </row>
    <row r="227" spans="1:21">
      <c r="A227" s="48">
        <v>250</v>
      </c>
      <c r="B227" s="97"/>
      <c r="C227" s="86"/>
      <c r="D227" s="86"/>
      <c r="G227" s="26" t="s">
        <v>14</v>
      </c>
      <c r="H227" s="26" t="s">
        <v>1362</v>
      </c>
      <c r="I227" s="26">
        <v>34</v>
      </c>
      <c r="J227" s="26">
        <v>165</v>
      </c>
      <c r="K227" s="26" t="s">
        <v>1363</v>
      </c>
      <c r="L227" s="26" t="s">
        <v>36</v>
      </c>
      <c r="M227" s="26" t="s">
        <v>93</v>
      </c>
      <c r="N227" s="26" t="s">
        <v>469</v>
      </c>
      <c r="O227" s="26" t="s">
        <v>1364</v>
      </c>
      <c r="P227" s="26" t="s">
        <v>9</v>
      </c>
      <c r="Q227" s="26" t="s">
        <v>57</v>
      </c>
      <c r="R227" s="26" t="s">
        <v>1367</v>
      </c>
      <c r="S227" s="26" t="s">
        <v>1365</v>
      </c>
      <c r="T227" s="26" t="s">
        <v>1366</v>
      </c>
      <c r="U227" s="26"/>
    </row>
    <row r="228" spans="1:21">
      <c r="A228" s="48">
        <v>8</v>
      </c>
      <c r="B228" s="90"/>
      <c r="C228" s="81"/>
      <c r="D228" s="81"/>
      <c r="E228" s="80"/>
      <c r="F228" s="80"/>
      <c r="G228" s="26" t="s">
        <v>14</v>
      </c>
      <c r="H228" s="26" t="s">
        <v>698</v>
      </c>
      <c r="I228" s="26">
        <v>34</v>
      </c>
      <c r="J228" s="26">
        <v>158</v>
      </c>
      <c r="K228" s="26" t="s">
        <v>699</v>
      </c>
      <c r="L228" s="26" t="s">
        <v>36</v>
      </c>
      <c r="M228" s="26" t="s">
        <v>458</v>
      </c>
      <c r="N228" s="26" t="s">
        <v>30</v>
      </c>
      <c r="O228" s="26" t="s">
        <v>10</v>
      </c>
      <c r="P228" s="26" t="s">
        <v>49</v>
      </c>
      <c r="Q228" s="26" t="s">
        <v>10</v>
      </c>
      <c r="R228" s="26" t="s">
        <v>702</v>
      </c>
      <c r="S228" s="26" t="s">
        <v>700</v>
      </c>
      <c r="T228" s="26" t="s">
        <v>701</v>
      </c>
      <c r="U228" s="26">
        <v>0</v>
      </c>
    </row>
    <row r="229" spans="1:21">
      <c r="A229" s="48">
        <v>177</v>
      </c>
      <c r="B229" s="81"/>
      <c r="C229" s="81"/>
      <c r="D229" s="81"/>
      <c r="E229" s="80"/>
      <c r="F229" s="80"/>
      <c r="G229" s="36" t="s">
        <v>14</v>
      </c>
      <c r="H229" s="26" t="s">
        <v>815</v>
      </c>
      <c r="I229" s="26">
        <v>34</v>
      </c>
      <c r="J229" s="26">
        <v>160</v>
      </c>
      <c r="K229" s="26" t="s">
        <v>816</v>
      </c>
      <c r="L229" s="26" t="s">
        <v>36</v>
      </c>
      <c r="M229" s="26" t="s">
        <v>93</v>
      </c>
      <c r="N229" s="26" t="s">
        <v>105</v>
      </c>
      <c r="O229" s="26" t="s">
        <v>817</v>
      </c>
      <c r="P229" s="26" t="s">
        <v>9</v>
      </c>
      <c r="Q229" s="26" t="s">
        <v>57</v>
      </c>
      <c r="R229" s="26" t="s">
        <v>11</v>
      </c>
      <c r="S229" s="26" t="s">
        <v>818</v>
      </c>
      <c r="T229" s="26" t="s">
        <v>819</v>
      </c>
      <c r="U229" s="26">
        <v>0</v>
      </c>
    </row>
    <row r="230" spans="1:21">
      <c r="A230" s="48">
        <v>136</v>
      </c>
      <c r="B230" s="81"/>
      <c r="C230" s="81"/>
      <c r="D230" s="81"/>
      <c r="E230" s="80"/>
      <c r="F230" s="80"/>
      <c r="G230" s="36" t="s">
        <v>14</v>
      </c>
      <c r="H230" s="26" t="s">
        <v>750</v>
      </c>
      <c r="I230" s="26">
        <v>34</v>
      </c>
      <c r="J230" s="26">
        <v>163</v>
      </c>
      <c r="K230" s="26" t="s">
        <v>79</v>
      </c>
      <c r="L230" s="26" t="s">
        <v>765</v>
      </c>
      <c r="M230" s="26" t="s">
        <v>93</v>
      </c>
      <c r="N230" s="26" t="s">
        <v>469</v>
      </c>
      <c r="O230" s="26" t="s">
        <v>10</v>
      </c>
      <c r="P230" s="26" t="s">
        <v>9</v>
      </c>
      <c r="Q230" s="26" t="s">
        <v>10</v>
      </c>
      <c r="R230" s="26" t="s">
        <v>10</v>
      </c>
      <c r="S230" s="26" t="s">
        <v>751</v>
      </c>
      <c r="T230" s="26" t="s">
        <v>752</v>
      </c>
      <c r="U230" s="26" t="s">
        <v>753</v>
      </c>
    </row>
    <row r="231" spans="1:21">
      <c r="A231" s="1">
        <v>211</v>
      </c>
      <c r="B231" s="85"/>
      <c r="C231" s="85"/>
      <c r="D231" s="85"/>
      <c r="E231" s="80"/>
      <c r="F231" s="80"/>
      <c r="G231" s="26" t="s">
        <v>14</v>
      </c>
      <c r="H231" s="26" t="s">
        <v>1130</v>
      </c>
      <c r="I231" s="26">
        <v>34</v>
      </c>
      <c r="J231" s="26">
        <v>165</v>
      </c>
      <c r="K231" s="26" t="s">
        <v>1152</v>
      </c>
      <c r="L231" s="26" t="s">
        <v>82</v>
      </c>
      <c r="M231" s="26" t="s">
        <v>93</v>
      </c>
      <c r="N231" s="26" t="s">
        <v>28</v>
      </c>
      <c r="O231" s="26" t="s">
        <v>10</v>
      </c>
      <c r="P231" s="26" t="s">
        <v>9</v>
      </c>
      <c r="Q231" s="26" t="s">
        <v>29</v>
      </c>
      <c r="R231" s="26" t="s">
        <v>11</v>
      </c>
      <c r="S231" s="26" t="s">
        <v>1153</v>
      </c>
      <c r="T231" s="26" t="s">
        <v>1154</v>
      </c>
      <c r="U231" s="26" t="s">
        <v>1127</v>
      </c>
    </row>
    <row r="232" spans="1:21">
      <c r="A232" s="48">
        <v>81</v>
      </c>
      <c r="B232" s="81"/>
      <c r="C232" s="81"/>
      <c r="D232" s="81"/>
      <c r="E232" s="80"/>
      <c r="F232" s="80"/>
      <c r="G232" s="36" t="s">
        <v>14</v>
      </c>
      <c r="H232" s="26" t="s">
        <v>367</v>
      </c>
      <c r="I232" s="26">
        <v>34</v>
      </c>
      <c r="J232" s="26">
        <v>168</v>
      </c>
      <c r="K232" s="26" t="s">
        <v>368</v>
      </c>
      <c r="L232" s="26" t="s">
        <v>36</v>
      </c>
      <c r="M232" s="26" t="s">
        <v>93</v>
      </c>
      <c r="N232" s="26" t="s">
        <v>13</v>
      </c>
      <c r="O232" s="26" t="s">
        <v>369</v>
      </c>
      <c r="P232" s="26" t="s">
        <v>31</v>
      </c>
      <c r="Q232" s="26" t="s">
        <v>10</v>
      </c>
      <c r="R232" s="26" t="s">
        <v>372</v>
      </c>
      <c r="S232" s="26" t="s">
        <v>370</v>
      </c>
      <c r="T232" s="26" t="s">
        <v>371</v>
      </c>
      <c r="U232" s="26">
        <v>0</v>
      </c>
    </row>
    <row r="233" spans="1:21">
      <c r="A233" s="48">
        <v>7</v>
      </c>
      <c r="B233" s="81"/>
      <c r="C233" s="81"/>
      <c r="D233" s="81"/>
      <c r="E233" s="80"/>
      <c r="F233" s="80"/>
      <c r="G233" s="36" t="s">
        <v>14</v>
      </c>
      <c r="H233" s="26" t="s">
        <v>77</v>
      </c>
      <c r="I233" s="26">
        <v>34</v>
      </c>
      <c r="J233" s="26">
        <v>160</v>
      </c>
      <c r="K233" s="26" t="s">
        <v>150</v>
      </c>
      <c r="L233" s="26" t="s">
        <v>461</v>
      </c>
      <c r="M233" s="26" t="s">
        <v>15</v>
      </c>
      <c r="N233" s="26" t="s">
        <v>35</v>
      </c>
      <c r="O233" s="26" t="s">
        <v>10</v>
      </c>
      <c r="P233" s="26" t="s">
        <v>75</v>
      </c>
      <c r="Q233" s="26" t="s">
        <v>29</v>
      </c>
      <c r="R233" s="26" t="s">
        <v>133</v>
      </c>
      <c r="S233" s="26" t="s">
        <v>78</v>
      </c>
      <c r="T233" s="26" t="s">
        <v>151</v>
      </c>
      <c r="U233" s="26" t="s">
        <v>152</v>
      </c>
    </row>
    <row r="234" spans="1:21">
      <c r="A234" s="48">
        <v>116</v>
      </c>
      <c r="B234" s="81"/>
      <c r="C234" s="81"/>
      <c r="D234" s="81"/>
      <c r="E234" s="80"/>
      <c r="F234" s="80"/>
      <c r="G234" s="26" t="s">
        <v>14</v>
      </c>
      <c r="H234" s="26" t="s">
        <v>637</v>
      </c>
      <c r="I234" s="26">
        <v>34</v>
      </c>
      <c r="J234" s="26">
        <v>174</v>
      </c>
      <c r="K234" s="26" t="s">
        <v>638</v>
      </c>
      <c r="L234" s="26" t="s">
        <v>36</v>
      </c>
      <c r="M234" s="26" t="s">
        <v>65</v>
      </c>
      <c r="N234" s="26" t="s">
        <v>68</v>
      </c>
      <c r="O234" s="26" t="s">
        <v>639</v>
      </c>
      <c r="P234" s="26" t="s">
        <v>9</v>
      </c>
      <c r="Q234" s="26" t="s">
        <v>10</v>
      </c>
      <c r="R234" s="26" t="s">
        <v>10</v>
      </c>
      <c r="S234" s="26" t="s">
        <v>640</v>
      </c>
      <c r="T234" s="26" t="s">
        <v>641</v>
      </c>
      <c r="U234" s="26">
        <v>0</v>
      </c>
    </row>
    <row r="235" spans="1:21">
      <c r="A235" s="48">
        <v>182</v>
      </c>
      <c r="B235" s="81"/>
      <c r="C235" s="81"/>
      <c r="D235" s="81"/>
      <c r="E235" s="80"/>
      <c r="F235" s="80"/>
      <c r="G235" s="26" t="s">
        <v>14</v>
      </c>
      <c r="H235" s="26" t="s">
        <v>326</v>
      </c>
      <c r="I235" s="26">
        <v>34</v>
      </c>
      <c r="J235" s="26">
        <v>160</v>
      </c>
      <c r="K235" s="26" t="s">
        <v>328</v>
      </c>
      <c r="L235" s="26" t="s">
        <v>462</v>
      </c>
      <c r="M235" s="26" t="s">
        <v>463</v>
      </c>
      <c r="N235" s="26" t="s">
        <v>329</v>
      </c>
      <c r="O235" s="26" t="s">
        <v>330</v>
      </c>
      <c r="P235" s="26" t="s">
        <v>61</v>
      </c>
      <c r="Q235" s="26" t="s">
        <v>10</v>
      </c>
      <c r="R235" s="26" t="s">
        <v>333</v>
      </c>
      <c r="S235" s="26" t="s">
        <v>331</v>
      </c>
      <c r="T235" s="26" t="s">
        <v>332</v>
      </c>
      <c r="U235" s="26">
        <v>0</v>
      </c>
    </row>
    <row r="236" spans="1:21">
      <c r="A236" s="48">
        <v>185</v>
      </c>
      <c r="B236" s="81"/>
      <c r="C236" s="81"/>
      <c r="D236" s="81"/>
      <c r="E236" s="80"/>
      <c r="F236" s="80"/>
      <c r="G236" s="36" t="s">
        <v>14</v>
      </c>
      <c r="H236" s="26" t="s">
        <v>1101</v>
      </c>
      <c r="I236" s="26">
        <v>34</v>
      </c>
      <c r="J236" s="26">
        <v>160</v>
      </c>
      <c r="K236" s="26" t="s">
        <v>1102</v>
      </c>
      <c r="L236" s="26" t="s">
        <v>25</v>
      </c>
      <c r="M236" s="26" t="s">
        <v>15</v>
      </c>
      <c r="N236" s="26" t="s">
        <v>18</v>
      </c>
      <c r="O236" s="26" t="s">
        <v>10</v>
      </c>
      <c r="P236" s="26" t="s">
        <v>75</v>
      </c>
      <c r="Q236" s="26" t="s">
        <v>57</v>
      </c>
      <c r="R236" s="26" t="s">
        <v>11</v>
      </c>
      <c r="S236" s="26" t="s">
        <v>1103</v>
      </c>
      <c r="T236" s="26" t="s">
        <v>1104</v>
      </c>
      <c r="U236" s="26">
        <v>0</v>
      </c>
    </row>
    <row r="237" spans="1:21">
      <c r="A237" s="48">
        <v>339</v>
      </c>
      <c r="B237" s="84"/>
      <c r="C237" s="84"/>
      <c r="D237" s="84"/>
      <c r="G237" s="36" t="s">
        <v>14</v>
      </c>
      <c r="H237" s="26" t="s">
        <v>1902</v>
      </c>
      <c r="I237" s="26">
        <v>34</v>
      </c>
      <c r="J237" s="26">
        <v>164</v>
      </c>
      <c r="K237" s="26" t="s">
        <v>1906</v>
      </c>
      <c r="L237" s="26" t="s">
        <v>1903</v>
      </c>
      <c r="M237" s="26" t="s">
        <v>55</v>
      </c>
      <c r="N237" s="26" t="s">
        <v>59</v>
      </c>
      <c r="O237" s="26" t="s">
        <v>10</v>
      </c>
      <c r="P237" s="26" t="s">
        <v>56</v>
      </c>
      <c r="Q237" s="26" t="s">
        <v>57</v>
      </c>
      <c r="R237" s="26">
        <v>0</v>
      </c>
      <c r="S237" s="26" t="s">
        <v>1905</v>
      </c>
      <c r="T237" s="26" t="s">
        <v>1904</v>
      </c>
      <c r="U237" s="26">
        <v>0</v>
      </c>
    </row>
    <row r="238" spans="1:21">
      <c r="A238" s="104">
        <v>374</v>
      </c>
      <c r="B238" s="1"/>
      <c r="D238" s="79" t="s">
        <v>2786</v>
      </c>
      <c r="G238" s="26" t="s">
        <v>8</v>
      </c>
      <c r="H238" s="26" t="s">
        <v>2744</v>
      </c>
      <c r="I238" s="26">
        <v>35</v>
      </c>
      <c r="J238" s="26">
        <v>167</v>
      </c>
      <c r="K238" s="26" t="s">
        <v>2746</v>
      </c>
      <c r="L238" s="26" t="s">
        <v>462</v>
      </c>
      <c r="M238" s="26" t="s">
        <v>21</v>
      </c>
      <c r="N238" s="4" t="s">
        <v>557</v>
      </c>
      <c r="O238" s="4" t="s">
        <v>10</v>
      </c>
      <c r="P238" s="4" t="s">
        <v>9</v>
      </c>
      <c r="Q238" s="4" t="s">
        <v>10</v>
      </c>
      <c r="R238" s="4" t="s">
        <v>2749</v>
      </c>
      <c r="S238" s="4" t="s">
        <v>2747</v>
      </c>
      <c r="T238" s="4" t="s">
        <v>2748</v>
      </c>
      <c r="U238" s="4">
        <v>0</v>
      </c>
    </row>
    <row r="239" spans="1:21">
      <c r="A239" s="82">
        <v>384</v>
      </c>
      <c r="B239" s="38"/>
      <c r="C239" s="79" t="s">
        <v>2864</v>
      </c>
      <c r="G239" s="26" t="s">
        <v>8</v>
      </c>
      <c r="H239" s="26" t="s">
        <v>2811</v>
      </c>
      <c r="I239" s="26">
        <v>35</v>
      </c>
      <c r="J239" s="26">
        <v>173</v>
      </c>
      <c r="K239" s="26" t="s">
        <v>2812</v>
      </c>
      <c r="L239" s="26" t="s">
        <v>460</v>
      </c>
      <c r="M239" s="26" t="s">
        <v>21</v>
      </c>
      <c r="N239" s="4" t="s">
        <v>480</v>
      </c>
      <c r="O239" s="4" t="s">
        <v>2813</v>
      </c>
      <c r="P239" s="4" t="s">
        <v>9</v>
      </c>
      <c r="Q239" s="4" t="s">
        <v>2814</v>
      </c>
      <c r="R239" s="4" t="s">
        <v>10</v>
      </c>
      <c r="S239" s="4" t="s">
        <v>2815</v>
      </c>
      <c r="T239" s="4" t="s">
        <v>2816</v>
      </c>
      <c r="U239" s="4" t="s">
        <v>2817</v>
      </c>
    </row>
    <row r="240" spans="1:21">
      <c r="A240" s="48">
        <v>65</v>
      </c>
      <c r="B240" s="81">
        <v>1</v>
      </c>
      <c r="C240" s="81"/>
      <c r="D240" s="81"/>
      <c r="E240" s="80"/>
      <c r="F240" s="80"/>
      <c r="G240" s="26" t="s">
        <v>8</v>
      </c>
      <c r="H240" s="26" t="s">
        <v>685</v>
      </c>
      <c r="I240" s="26">
        <v>35</v>
      </c>
      <c r="J240" s="26">
        <v>175</v>
      </c>
      <c r="K240" s="26" t="s">
        <v>686</v>
      </c>
      <c r="L240" s="26" t="s">
        <v>36</v>
      </c>
      <c r="M240" s="26" t="s">
        <v>591</v>
      </c>
      <c r="N240" s="26" t="s">
        <v>480</v>
      </c>
      <c r="O240" s="26" t="s">
        <v>10</v>
      </c>
      <c r="P240" s="26" t="s">
        <v>49</v>
      </c>
      <c r="Q240" s="26" t="s">
        <v>10</v>
      </c>
      <c r="R240" s="26">
        <v>0</v>
      </c>
      <c r="S240" s="26" t="s">
        <v>687</v>
      </c>
      <c r="T240" s="26" t="s">
        <v>688</v>
      </c>
      <c r="U240" s="26">
        <v>0</v>
      </c>
    </row>
    <row r="241" spans="1:22">
      <c r="A241" s="48">
        <v>313</v>
      </c>
      <c r="B241" s="84"/>
      <c r="C241" s="84"/>
      <c r="D241" s="84"/>
      <c r="G241" s="26" t="s">
        <v>8</v>
      </c>
      <c r="H241" s="26" t="s">
        <v>1660</v>
      </c>
      <c r="I241" s="26">
        <v>35</v>
      </c>
      <c r="J241" s="26">
        <v>176</v>
      </c>
      <c r="K241" s="26" t="s">
        <v>1661</v>
      </c>
      <c r="L241" s="26" t="s">
        <v>25</v>
      </c>
      <c r="M241" s="26" t="s">
        <v>1764</v>
      </c>
      <c r="N241" s="26" t="s">
        <v>19</v>
      </c>
      <c r="O241" s="26" t="s">
        <v>10</v>
      </c>
      <c r="P241" s="26" t="s">
        <v>20</v>
      </c>
      <c r="Q241" s="26" t="s">
        <v>10</v>
      </c>
      <c r="R241" s="26" t="s">
        <v>10</v>
      </c>
      <c r="S241" s="26" t="s">
        <v>1708</v>
      </c>
      <c r="T241" s="26" t="s">
        <v>1709</v>
      </c>
      <c r="U241" s="26">
        <v>0</v>
      </c>
    </row>
    <row r="242" spans="1:22">
      <c r="A242" s="48">
        <v>336</v>
      </c>
      <c r="B242" s="84"/>
      <c r="C242" s="84"/>
      <c r="D242" s="84"/>
      <c r="G242" s="26" t="s">
        <v>8</v>
      </c>
      <c r="H242" s="26" t="s">
        <v>1877</v>
      </c>
      <c r="I242" s="26">
        <v>35</v>
      </c>
      <c r="J242" s="26">
        <v>177</v>
      </c>
      <c r="K242" s="26" t="s">
        <v>1878</v>
      </c>
      <c r="L242" s="26" t="s">
        <v>25</v>
      </c>
      <c r="M242" s="26" t="s">
        <v>21</v>
      </c>
      <c r="N242" s="26" t="s">
        <v>252</v>
      </c>
      <c r="O242" s="26" t="s">
        <v>837</v>
      </c>
      <c r="P242" s="26" t="s">
        <v>20</v>
      </c>
      <c r="Q242" s="26" t="s">
        <v>10</v>
      </c>
      <c r="R242" s="26" t="s">
        <v>10</v>
      </c>
      <c r="S242" s="26" t="s">
        <v>1879</v>
      </c>
      <c r="T242" s="26" t="s">
        <v>1880</v>
      </c>
      <c r="U242" s="26">
        <v>0</v>
      </c>
    </row>
    <row r="243" spans="1:22">
      <c r="A243" s="48">
        <v>122</v>
      </c>
      <c r="B243" s="81"/>
      <c r="C243" s="81"/>
      <c r="D243" s="81"/>
      <c r="E243" s="80"/>
      <c r="F243" s="80"/>
      <c r="G243" s="26" t="s">
        <v>8</v>
      </c>
      <c r="H243" s="26" t="s">
        <v>726</v>
      </c>
      <c r="I243" s="26">
        <v>35</v>
      </c>
      <c r="J243" s="26">
        <v>174</v>
      </c>
      <c r="K243" s="26" t="s">
        <v>727</v>
      </c>
      <c r="L243" s="26" t="s">
        <v>459</v>
      </c>
      <c r="M243" s="26" t="s">
        <v>34</v>
      </c>
      <c r="N243" s="26" t="s">
        <v>24</v>
      </c>
      <c r="O243" s="26" t="s">
        <v>10</v>
      </c>
      <c r="P243" s="26" t="s">
        <v>31</v>
      </c>
      <c r="Q243" s="26" t="s">
        <v>57</v>
      </c>
      <c r="R243" s="26" t="s">
        <v>10</v>
      </c>
      <c r="S243" s="26" t="s">
        <v>728</v>
      </c>
      <c r="T243" s="26" t="s">
        <v>271</v>
      </c>
      <c r="U243" s="26" t="s">
        <v>729</v>
      </c>
    </row>
    <row r="244" spans="1:22">
      <c r="A244" s="104">
        <v>375</v>
      </c>
      <c r="B244" s="1"/>
      <c r="D244" s="79" t="s">
        <v>2787</v>
      </c>
      <c r="F244" s="82">
        <v>1</v>
      </c>
      <c r="G244" s="26" t="s">
        <v>14</v>
      </c>
      <c r="H244" s="26" t="s">
        <v>2750</v>
      </c>
      <c r="I244" s="26">
        <v>35</v>
      </c>
      <c r="J244" s="26">
        <v>168</v>
      </c>
      <c r="K244" s="26" t="s">
        <v>2751</v>
      </c>
      <c r="L244" s="26" t="s">
        <v>461</v>
      </c>
      <c r="M244" s="26" t="s">
        <v>15</v>
      </c>
      <c r="N244" s="4" t="s">
        <v>13</v>
      </c>
      <c r="O244" s="4" t="s">
        <v>10</v>
      </c>
      <c r="P244" s="4" t="s">
        <v>9</v>
      </c>
      <c r="Q244" s="4" t="s">
        <v>63</v>
      </c>
      <c r="R244" s="4" t="s">
        <v>10</v>
      </c>
      <c r="S244" s="4" t="s">
        <v>2752</v>
      </c>
      <c r="T244" s="4" t="s">
        <v>2753</v>
      </c>
      <c r="U244" s="4">
        <v>0</v>
      </c>
    </row>
    <row r="245" spans="1:22">
      <c r="A245" s="48">
        <v>44</v>
      </c>
      <c r="B245" s="81">
        <v>1</v>
      </c>
      <c r="C245" s="81"/>
      <c r="D245" s="81"/>
      <c r="E245" s="80"/>
      <c r="F245" s="80"/>
      <c r="G245" s="26" t="s">
        <v>14</v>
      </c>
      <c r="H245" s="26" t="s">
        <v>1115</v>
      </c>
      <c r="I245" s="26">
        <v>35</v>
      </c>
      <c r="J245" s="26">
        <v>160</v>
      </c>
      <c r="K245" s="26" t="s">
        <v>1116</v>
      </c>
      <c r="L245" s="26" t="s">
        <v>465</v>
      </c>
      <c r="M245" s="26" t="s">
        <v>93</v>
      </c>
      <c r="N245" s="26" t="s">
        <v>37</v>
      </c>
      <c r="O245" s="26" t="s">
        <v>10</v>
      </c>
      <c r="P245" s="26" t="s">
        <v>31</v>
      </c>
      <c r="Q245" s="26" t="s">
        <v>29</v>
      </c>
      <c r="R245" s="26" t="s">
        <v>10</v>
      </c>
      <c r="S245" s="26" t="s">
        <v>1117</v>
      </c>
      <c r="T245" s="26" t="s">
        <v>1118</v>
      </c>
      <c r="U245" s="26">
        <v>0</v>
      </c>
    </row>
    <row r="246" spans="1:22">
      <c r="A246" s="48">
        <v>371</v>
      </c>
      <c r="B246" s="81">
        <v>1</v>
      </c>
      <c r="C246" s="81"/>
      <c r="D246" s="81"/>
      <c r="E246" s="80"/>
      <c r="F246" s="81"/>
      <c r="G246" s="26" t="s">
        <v>14</v>
      </c>
      <c r="H246" s="26" t="s">
        <v>904</v>
      </c>
      <c r="I246" s="26">
        <v>35</v>
      </c>
      <c r="J246" s="26">
        <v>160.30000000000001</v>
      </c>
      <c r="K246" s="26" t="s">
        <v>79</v>
      </c>
      <c r="L246" s="26" t="s">
        <v>466</v>
      </c>
      <c r="M246" s="26" t="s">
        <v>15</v>
      </c>
      <c r="N246" s="4" t="s">
        <v>76</v>
      </c>
      <c r="O246" s="4" t="s">
        <v>10</v>
      </c>
      <c r="P246" s="4" t="s">
        <v>9</v>
      </c>
      <c r="Q246" s="4" t="s">
        <v>10</v>
      </c>
      <c r="R246" s="4" t="s">
        <v>10</v>
      </c>
      <c r="S246" s="4" t="s">
        <v>1404</v>
      </c>
      <c r="T246" s="4" t="s">
        <v>2733</v>
      </c>
      <c r="U246" s="4">
        <v>0</v>
      </c>
    </row>
    <row r="247" spans="1:22">
      <c r="A247" s="48">
        <v>310</v>
      </c>
      <c r="B247" s="84" t="s">
        <v>1756</v>
      </c>
      <c r="C247" s="84"/>
      <c r="D247" s="84"/>
      <c r="G247" s="26" t="s">
        <v>14</v>
      </c>
      <c r="H247" s="26" t="s">
        <v>1656</v>
      </c>
      <c r="I247" s="26">
        <v>35</v>
      </c>
      <c r="J247" s="26">
        <v>153</v>
      </c>
      <c r="K247" s="26" t="s">
        <v>1657</v>
      </c>
      <c r="L247" s="26" t="s">
        <v>461</v>
      </c>
      <c r="M247" s="26" t="s">
        <v>93</v>
      </c>
      <c r="N247" s="26" t="s">
        <v>81</v>
      </c>
      <c r="O247" s="26" t="s">
        <v>10</v>
      </c>
      <c r="P247" s="26" t="s">
        <v>9</v>
      </c>
      <c r="Q247" s="26" t="s">
        <v>29</v>
      </c>
      <c r="R247" s="26" t="s">
        <v>10</v>
      </c>
      <c r="S247" s="26" t="s">
        <v>1701</v>
      </c>
      <c r="T247" s="26" t="s">
        <v>1702</v>
      </c>
      <c r="U247" s="26">
        <v>0</v>
      </c>
    </row>
    <row r="248" spans="1:22">
      <c r="A248" s="48">
        <v>306</v>
      </c>
      <c r="B248" s="84" t="s">
        <v>1752</v>
      </c>
      <c r="C248" s="84"/>
      <c r="D248" s="84"/>
      <c r="G248" s="26" t="s">
        <v>14</v>
      </c>
      <c r="H248" s="26" t="s">
        <v>1650</v>
      </c>
      <c r="I248" s="26">
        <v>35</v>
      </c>
      <c r="J248" s="26">
        <v>167</v>
      </c>
      <c r="K248" s="26" t="s">
        <v>1651</v>
      </c>
      <c r="L248" s="26" t="s">
        <v>82</v>
      </c>
      <c r="M248" s="26" t="s">
        <v>55</v>
      </c>
      <c r="N248" s="26" t="s">
        <v>1749</v>
      </c>
      <c r="O248" s="26" t="s">
        <v>1692</v>
      </c>
      <c r="P248" s="26" t="s">
        <v>9</v>
      </c>
      <c r="Q248" s="26" t="s">
        <v>10</v>
      </c>
      <c r="R248" s="26" t="s">
        <v>69</v>
      </c>
      <c r="S248" s="26" t="s">
        <v>1693</v>
      </c>
      <c r="T248" s="26" t="s">
        <v>1694</v>
      </c>
      <c r="U248" s="26" t="s">
        <v>1695</v>
      </c>
    </row>
    <row r="249" spans="1:22">
      <c r="A249" s="48">
        <v>309</v>
      </c>
      <c r="B249" s="84"/>
      <c r="C249" s="84"/>
      <c r="D249" s="84"/>
      <c r="G249" s="26" t="s">
        <v>14</v>
      </c>
      <c r="H249" s="26" t="s">
        <v>1654</v>
      </c>
      <c r="I249" s="26">
        <v>35</v>
      </c>
      <c r="J249" s="26">
        <v>160</v>
      </c>
      <c r="K249" s="26" t="s">
        <v>1655</v>
      </c>
      <c r="L249" s="26" t="s">
        <v>36</v>
      </c>
      <c r="M249" s="26" t="s">
        <v>15</v>
      </c>
      <c r="N249" s="26" t="s">
        <v>76</v>
      </c>
      <c r="O249" s="26" t="s">
        <v>10</v>
      </c>
      <c r="P249" s="26" t="s">
        <v>9</v>
      </c>
      <c r="Q249" s="26" t="s">
        <v>29</v>
      </c>
      <c r="R249" s="26" t="s">
        <v>73</v>
      </c>
      <c r="S249" s="26" t="s">
        <v>1404</v>
      </c>
      <c r="T249" s="26" t="s">
        <v>1700</v>
      </c>
      <c r="U249" s="26">
        <v>0</v>
      </c>
    </row>
    <row r="250" spans="1:22">
      <c r="A250" s="48">
        <v>299</v>
      </c>
      <c r="B250" s="84"/>
      <c r="C250" s="84"/>
      <c r="D250" s="84"/>
      <c r="G250" s="26" t="s">
        <v>14</v>
      </c>
      <c r="H250" s="26" t="s">
        <v>1634</v>
      </c>
      <c r="I250" s="26">
        <v>35</v>
      </c>
      <c r="J250" s="26">
        <v>160</v>
      </c>
      <c r="K250" s="26" t="s">
        <v>1636</v>
      </c>
      <c r="L250" s="26" t="s">
        <v>36</v>
      </c>
      <c r="M250" s="26" t="s">
        <v>93</v>
      </c>
      <c r="N250" s="26" t="s">
        <v>28</v>
      </c>
      <c r="O250" s="26" t="s">
        <v>10</v>
      </c>
      <c r="P250" s="26" t="s">
        <v>9</v>
      </c>
      <c r="Q250" s="26" t="s">
        <v>10</v>
      </c>
      <c r="R250" s="26" t="s">
        <v>10</v>
      </c>
      <c r="S250" s="26" t="s">
        <v>1677</v>
      </c>
      <c r="T250" s="26">
        <v>0</v>
      </c>
      <c r="U250" s="26">
        <v>0</v>
      </c>
    </row>
    <row r="251" spans="1:22">
      <c r="A251" s="48">
        <v>303</v>
      </c>
      <c r="B251" s="84"/>
      <c r="C251" s="84"/>
      <c r="D251" s="84"/>
      <c r="G251" s="26" t="s">
        <v>14</v>
      </c>
      <c r="H251" s="26" t="s">
        <v>1643</v>
      </c>
      <c r="I251" s="26">
        <v>35</v>
      </c>
      <c r="J251" s="26">
        <v>170</v>
      </c>
      <c r="K251" s="26" t="s">
        <v>1644</v>
      </c>
      <c r="L251" s="26" t="s">
        <v>36</v>
      </c>
      <c r="M251" s="26" t="s">
        <v>93</v>
      </c>
      <c r="N251" s="26" t="s">
        <v>59</v>
      </c>
      <c r="O251" s="26" t="s">
        <v>10</v>
      </c>
      <c r="P251" s="26" t="s">
        <v>9</v>
      </c>
      <c r="Q251" s="26" t="s">
        <v>29</v>
      </c>
      <c r="R251" s="26" t="s">
        <v>10</v>
      </c>
      <c r="S251" s="26" t="s">
        <v>1687</v>
      </c>
      <c r="T251" s="26" t="s">
        <v>845</v>
      </c>
      <c r="U251" s="26">
        <v>0</v>
      </c>
    </row>
    <row r="252" spans="1:22">
      <c r="A252" s="48">
        <v>40</v>
      </c>
      <c r="B252" s="81"/>
      <c r="C252" s="81"/>
      <c r="D252" s="81"/>
      <c r="E252" s="80"/>
      <c r="F252" s="80"/>
      <c r="G252" s="26" t="s">
        <v>14</v>
      </c>
      <c r="H252" s="26" t="s">
        <v>576</v>
      </c>
      <c r="I252" s="26">
        <v>35</v>
      </c>
      <c r="J252" s="26">
        <v>166</v>
      </c>
      <c r="K252" s="26" t="s">
        <v>577</v>
      </c>
      <c r="L252" s="26" t="s">
        <v>36</v>
      </c>
      <c r="M252" s="26" t="s">
        <v>93</v>
      </c>
      <c r="N252" s="26" t="s">
        <v>51</v>
      </c>
      <c r="O252" s="26" t="s">
        <v>253</v>
      </c>
      <c r="P252" s="26" t="s">
        <v>9</v>
      </c>
      <c r="Q252" s="26" t="s">
        <v>10</v>
      </c>
      <c r="R252" s="26" t="s">
        <v>11</v>
      </c>
      <c r="S252" s="26" t="s">
        <v>578</v>
      </c>
      <c r="T252" s="26" t="s">
        <v>579</v>
      </c>
      <c r="U252" s="26">
        <v>0</v>
      </c>
    </row>
    <row r="253" spans="1:22">
      <c r="A253" s="48">
        <v>67</v>
      </c>
      <c r="B253" s="81"/>
      <c r="C253" s="81"/>
      <c r="D253" s="81"/>
      <c r="E253" s="80"/>
      <c r="F253" s="80"/>
      <c r="G253" s="26" t="s">
        <v>14</v>
      </c>
      <c r="H253" s="26" t="s">
        <v>535</v>
      </c>
      <c r="I253" s="26">
        <v>35</v>
      </c>
      <c r="J253" s="26">
        <v>167</v>
      </c>
      <c r="K253" s="26" t="s">
        <v>536</v>
      </c>
      <c r="L253" s="26" t="s">
        <v>36</v>
      </c>
      <c r="M253" s="26" t="s">
        <v>93</v>
      </c>
      <c r="N253" s="26" t="s">
        <v>537</v>
      </c>
      <c r="O253" s="26" t="s">
        <v>10</v>
      </c>
      <c r="P253" s="26" t="s">
        <v>9</v>
      </c>
      <c r="Q253" s="26" t="s">
        <v>10</v>
      </c>
      <c r="R253" s="26" t="s">
        <v>79</v>
      </c>
      <c r="S253" s="26" t="s">
        <v>538</v>
      </c>
      <c r="T253" s="26" t="s">
        <v>539</v>
      </c>
      <c r="U253" s="26">
        <v>0</v>
      </c>
    </row>
    <row r="254" spans="1:22">
      <c r="A254" s="48">
        <v>15</v>
      </c>
      <c r="B254" s="81"/>
      <c r="C254" s="81"/>
      <c r="D254" s="81"/>
      <c r="E254" s="80"/>
      <c r="F254" s="80"/>
      <c r="G254" s="26" t="s">
        <v>14</v>
      </c>
      <c r="H254" s="26" t="s">
        <v>414</v>
      </c>
      <c r="I254" s="26">
        <v>35</v>
      </c>
      <c r="J254" s="26">
        <v>152</v>
      </c>
      <c r="K254" s="26" t="s">
        <v>415</v>
      </c>
      <c r="L254" s="26" t="s">
        <v>36</v>
      </c>
      <c r="M254" s="26" t="s">
        <v>55</v>
      </c>
      <c r="N254" s="26" t="s">
        <v>70</v>
      </c>
      <c r="O254" s="26" t="s">
        <v>10</v>
      </c>
      <c r="P254" s="26" t="s">
        <v>9</v>
      </c>
      <c r="Q254" s="26" t="s">
        <v>57</v>
      </c>
      <c r="R254" s="26" t="s">
        <v>10</v>
      </c>
      <c r="S254" s="26" t="s">
        <v>416</v>
      </c>
      <c r="T254" s="26" t="s">
        <v>417</v>
      </c>
      <c r="U254" s="26" t="s">
        <v>418</v>
      </c>
    </row>
    <row r="255" spans="1:22">
      <c r="A255" s="48">
        <v>25</v>
      </c>
      <c r="B255" s="91"/>
      <c r="C255" s="81"/>
      <c r="D255" s="81"/>
      <c r="E255" s="80"/>
      <c r="F255" s="80"/>
      <c r="G255" s="36" t="s">
        <v>14</v>
      </c>
      <c r="H255" s="26" t="s">
        <v>276</v>
      </c>
      <c r="I255" s="26">
        <v>35</v>
      </c>
      <c r="J255" s="26">
        <v>156</v>
      </c>
      <c r="K255" s="26" t="s">
        <v>277</v>
      </c>
      <c r="L255" s="26" t="s">
        <v>36</v>
      </c>
      <c r="M255" s="26" t="s">
        <v>55</v>
      </c>
      <c r="N255" s="26" t="s">
        <v>105</v>
      </c>
      <c r="O255" s="26" t="s">
        <v>10</v>
      </c>
      <c r="P255" s="26" t="s">
        <v>20</v>
      </c>
      <c r="Q255" s="26" t="s">
        <v>57</v>
      </c>
      <c r="R255" s="26" t="s">
        <v>10</v>
      </c>
      <c r="S255" s="26" t="s">
        <v>278</v>
      </c>
      <c r="T255" s="26" t="s">
        <v>279</v>
      </c>
      <c r="U255" s="26">
        <v>0</v>
      </c>
      <c r="V255" s="26"/>
    </row>
    <row r="256" spans="1:22">
      <c r="A256" s="48">
        <v>252</v>
      </c>
      <c r="B256" s="37"/>
      <c r="C256" s="86"/>
      <c r="D256" s="86"/>
      <c r="G256" s="26" t="s">
        <v>14</v>
      </c>
      <c r="H256" s="26" t="s">
        <v>1373</v>
      </c>
      <c r="I256" s="26">
        <v>35</v>
      </c>
      <c r="J256" s="26">
        <v>158</v>
      </c>
      <c r="K256" s="26" t="s">
        <v>1374</v>
      </c>
      <c r="L256" s="26" t="s">
        <v>36</v>
      </c>
      <c r="M256" s="26" t="s">
        <v>93</v>
      </c>
      <c r="N256" s="26" t="s">
        <v>12</v>
      </c>
      <c r="O256" s="26" t="s">
        <v>1375</v>
      </c>
      <c r="P256" s="26" t="s">
        <v>9</v>
      </c>
      <c r="Q256" s="26" t="s">
        <v>29</v>
      </c>
      <c r="R256" s="26" t="s">
        <v>10</v>
      </c>
      <c r="S256" s="26" t="s">
        <v>1376</v>
      </c>
      <c r="T256" s="26" t="s">
        <v>1377</v>
      </c>
      <c r="U256" s="26"/>
      <c r="V256" s="26"/>
    </row>
    <row r="257" spans="1:22">
      <c r="A257" s="48">
        <v>104</v>
      </c>
      <c r="B257" s="91"/>
      <c r="C257" s="81"/>
      <c r="D257" s="81"/>
      <c r="E257" s="80"/>
      <c r="F257" s="80"/>
      <c r="G257" s="26" t="s">
        <v>14</v>
      </c>
      <c r="H257" s="26" t="s">
        <v>693</v>
      </c>
      <c r="I257" s="26">
        <v>35</v>
      </c>
      <c r="J257" s="26">
        <v>159</v>
      </c>
      <c r="K257" s="26" t="s">
        <v>694</v>
      </c>
      <c r="L257" s="26" t="s">
        <v>36</v>
      </c>
      <c r="M257" s="26" t="s">
        <v>93</v>
      </c>
      <c r="N257" s="26" t="s">
        <v>695</v>
      </c>
      <c r="O257" s="26" t="s">
        <v>696</v>
      </c>
      <c r="P257" s="26" t="s">
        <v>9</v>
      </c>
      <c r="Q257" s="26" t="s">
        <v>29</v>
      </c>
      <c r="R257" s="26" t="s">
        <v>10</v>
      </c>
      <c r="S257" s="26" t="s">
        <v>336</v>
      </c>
      <c r="T257" s="26" t="s">
        <v>697</v>
      </c>
      <c r="U257" s="26">
        <v>0</v>
      </c>
      <c r="V257" s="26"/>
    </row>
    <row r="258" spans="1:22">
      <c r="A258" s="48">
        <v>68</v>
      </c>
      <c r="B258" s="91"/>
      <c r="C258" s="81"/>
      <c r="D258" s="81"/>
      <c r="E258" s="80"/>
      <c r="F258" s="80"/>
      <c r="G258" s="36" t="s">
        <v>14</v>
      </c>
      <c r="H258" s="26" t="s">
        <v>256</v>
      </c>
      <c r="I258" s="26">
        <v>35</v>
      </c>
      <c r="J258" s="26">
        <v>160</v>
      </c>
      <c r="K258" s="26" t="s">
        <v>257</v>
      </c>
      <c r="L258" s="26" t="s">
        <v>462</v>
      </c>
      <c r="M258" s="26" t="s">
        <v>93</v>
      </c>
      <c r="N258" s="26" t="s">
        <v>35</v>
      </c>
      <c r="O258" s="26" t="s">
        <v>10</v>
      </c>
      <c r="P258" s="26" t="s">
        <v>9</v>
      </c>
      <c r="Q258" s="26" t="s">
        <v>10</v>
      </c>
      <c r="R258" s="26" t="s">
        <v>10</v>
      </c>
      <c r="S258" s="26" t="s">
        <v>258</v>
      </c>
      <c r="T258" s="26" t="s">
        <v>259</v>
      </c>
      <c r="U258" s="26" t="s">
        <v>260</v>
      </c>
      <c r="V258" s="26"/>
    </row>
    <row r="259" spans="1:22" ht="17.25" thickBot="1">
      <c r="A259" s="48">
        <v>54</v>
      </c>
      <c r="B259" s="91"/>
      <c r="C259" s="81"/>
      <c r="D259" s="81"/>
      <c r="E259" s="80"/>
      <c r="F259" s="80"/>
      <c r="G259" s="5" t="s">
        <v>14</v>
      </c>
      <c r="H259" s="5" t="s">
        <v>94</v>
      </c>
      <c r="I259" s="50">
        <v>35</v>
      </c>
      <c r="J259" s="37">
        <v>160</v>
      </c>
      <c r="K259" s="4" t="s">
        <v>95</v>
      </c>
      <c r="L259" s="4" t="s">
        <v>36</v>
      </c>
      <c r="M259" s="4" t="s">
        <v>458</v>
      </c>
      <c r="N259" s="4" t="s">
        <v>83</v>
      </c>
      <c r="O259" s="4" t="s">
        <v>96</v>
      </c>
      <c r="P259" s="4" t="s">
        <v>9</v>
      </c>
      <c r="Q259" s="4" t="s">
        <v>29</v>
      </c>
      <c r="R259" s="4" t="s">
        <v>10</v>
      </c>
      <c r="S259" s="4" t="s">
        <v>97</v>
      </c>
      <c r="T259" s="4" t="s">
        <v>98</v>
      </c>
      <c r="U259" s="4">
        <v>0</v>
      </c>
      <c r="V259" s="26"/>
    </row>
    <row r="260" spans="1:22" ht="16.5" customHeight="1" thickBot="1">
      <c r="A260" s="48">
        <v>150</v>
      </c>
      <c r="B260" s="81"/>
      <c r="C260" s="81"/>
      <c r="D260" s="81"/>
      <c r="E260" s="80"/>
      <c r="F260" s="80"/>
      <c r="G260" s="36" t="s">
        <v>14</v>
      </c>
      <c r="H260" s="26" t="s">
        <v>298</v>
      </c>
      <c r="I260" s="26">
        <v>35</v>
      </c>
      <c r="J260" s="26">
        <v>167</v>
      </c>
      <c r="K260" s="26" t="s">
        <v>299</v>
      </c>
      <c r="L260" s="26" t="s">
        <v>36</v>
      </c>
      <c r="M260" s="26" t="s">
        <v>93</v>
      </c>
      <c r="N260" s="26" t="s">
        <v>12</v>
      </c>
      <c r="O260" s="26" t="s">
        <v>19</v>
      </c>
      <c r="P260" s="26" t="s">
        <v>9</v>
      </c>
      <c r="Q260" s="26" t="s">
        <v>10</v>
      </c>
      <c r="R260" s="26" t="s">
        <v>10</v>
      </c>
      <c r="S260" s="26" t="s">
        <v>300</v>
      </c>
      <c r="T260" s="26" t="s">
        <v>301</v>
      </c>
      <c r="U260" s="26">
        <v>0</v>
      </c>
      <c r="V260" s="71"/>
    </row>
    <row r="261" spans="1:22" ht="16.5" customHeight="1" thickBot="1">
      <c r="A261" s="48">
        <v>89</v>
      </c>
      <c r="B261" s="81"/>
      <c r="C261" s="81"/>
      <c r="D261" s="81"/>
      <c r="E261" s="80"/>
      <c r="F261" s="80"/>
      <c r="G261" s="36" t="s">
        <v>14</v>
      </c>
      <c r="H261" s="26" t="s">
        <v>1091</v>
      </c>
      <c r="I261" s="26">
        <v>35</v>
      </c>
      <c r="J261" s="26">
        <v>168</v>
      </c>
      <c r="K261" s="26" t="s">
        <v>1092</v>
      </c>
      <c r="L261" s="26" t="s">
        <v>461</v>
      </c>
      <c r="M261" s="26" t="s">
        <v>93</v>
      </c>
      <c r="N261" s="26" t="s">
        <v>72</v>
      </c>
      <c r="O261" s="26" t="s">
        <v>1093</v>
      </c>
      <c r="P261" s="26" t="s">
        <v>9</v>
      </c>
      <c r="Q261" s="26" t="s">
        <v>10</v>
      </c>
      <c r="R261" s="26" t="s">
        <v>10</v>
      </c>
      <c r="S261" s="26" t="s">
        <v>1094</v>
      </c>
      <c r="T261" s="26" t="s">
        <v>1095</v>
      </c>
      <c r="U261" s="26">
        <v>0</v>
      </c>
      <c r="V261" s="73"/>
    </row>
    <row r="262" spans="1:22" ht="16.5" customHeight="1" thickBot="1">
      <c r="A262" s="48">
        <v>59</v>
      </c>
      <c r="B262" s="81"/>
      <c r="C262" s="81"/>
      <c r="D262" s="81"/>
      <c r="E262" s="80"/>
      <c r="F262" s="80"/>
      <c r="G262" s="26" t="s">
        <v>14</v>
      </c>
      <c r="H262" s="26" t="s">
        <v>549</v>
      </c>
      <c r="I262" s="26">
        <v>35</v>
      </c>
      <c r="J262" s="26">
        <v>158</v>
      </c>
      <c r="K262" s="26" t="s">
        <v>551</v>
      </c>
      <c r="L262" s="26" t="s">
        <v>461</v>
      </c>
      <c r="M262" s="26" t="s">
        <v>15</v>
      </c>
      <c r="N262" s="26" t="s">
        <v>35</v>
      </c>
      <c r="O262" s="26" t="s">
        <v>552</v>
      </c>
      <c r="P262" s="26" t="s">
        <v>9</v>
      </c>
      <c r="Q262" s="26" t="s">
        <v>29</v>
      </c>
      <c r="R262" s="26" t="s">
        <v>79</v>
      </c>
      <c r="S262" s="26" t="s">
        <v>553</v>
      </c>
      <c r="T262" s="26" t="s">
        <v>554</v>
      </c>
      <c r="U262" s="26">
        <v>0</v>
      </c>
      <c r="V262" s="75"/>
    </row>
    <row r="263" spans="1:22" ht="16.5" customHeight="1" thickBot="1">
      <c r="A263" s="48">
        <v>42</v>
      </c>
      <c r="B263" s="81"/>
      <c r="C263" s="81"/>
      <c r="D263" s="81"/>
      <c r="E263" s="80"/>
      <c r="F263" s="80"/>
      <c r="G263" s="36" t="s">
        <v>14</v>
      </c>
      <c r="H263" s="26" t="s">
        <v>904</v>
      </c>
      <c r="I263" s="26">
        <v>35</v>
      </c>
      <c r="J263" s="26">
        <v>170</v>
      </c>
      <c r="K263" s="26" t="s">
        <v>906</v>
      </c>
      <c r="L263" s="26" t="s">
        <v>36</v>
      </c>
      <c r="M263" s="26" t="s">
        <v>15</v>
      </c>
      <c r="N263" s="26" t="s">
        <v>907</v>
      </c>
      <c r="O263" s="26" t="s">
        <v>908</v>
      </c>
      <c r="P263" s="26" t="s">
        <v>75</v>
      </c>
      <c r="Q263" s="26" t="s">
        <v>29</v>
      </c>
      <c r="R263" s="26" t="s">
        <v>11</v>
      </c>
      <c r="S263" s="26" t="s">
        <v>909</v>
      </c>
      <c r="T263" s="26" t="s">
        <v>910</v>
      </c>
      <c r="U263" s="26">
        <v>0</v>
      </c>
      <c r="V263" s="73"/>
    </row>
    <row r="264" spans="1:22" ht="16.5" customHeight="1" thickBot="1">
      <c r="A264" s="48">
        <v>360</v>
      </c>
      <c r="B264" s="81"/>
      <c r="C264" s="80"/>
      <c r="D264" s="80"/>
      <c r="G264" s="26" t="s">
        <v>14</v>
      </c>
      <c r="H264" s="26" t="s">
        <v>2072</v>
      </c>
      <c r="I264" s="26">
        <v>35</v>
      </c>
      <c r="J264" s="26">
        <v>163</v>
      </c>
      <c r="K264" s="26" t="s">
        <v>2073</v>
      </c>
      <c r="L264" s="4" t="s">
        <v>461</v>
      </c>
      <c r="M264" s="4" t="s">
        <v>15</v>
      </c>
      <c r="N264" s="4" t="s">
        <v>19</v>
      </c>
      <c r="O264" s="4" t="s">
        <v>10</v>
      </c>
      <c r="P264" s="4" t="s">
        <v>31</v>
      </c>
      <c r="Q264" s="4" t="s">
        <v>10</v>
      </c>
      <c r="R264" s="4" t="s">
        <v>10</v>
      </c>
      <c r="S264" s="4" t="s">
        <v>2074</v>
      </c>
      <c r="T264" s="4" t="s">
        <v>2075</v>
      </c>
      <c r="U264" s="4">
        <v>0</v>
      </c>
      <c r="V264" s="75"/>
    </row>
    <row r="265" spans="1:22" ht="16.5" customHeight="1" thickBot="1">
      <c r="A265" s="48">
        <v>246</v>
      </c>
      <c r="B265" s="86">
        <v>1</v>
      </c>
      <c r="C265" s="86"/>
      <c r="D265" s="86"/>
      <c r="G265" s="26" t="s">
        <v>8</v>
      </c>
      <c r="H265" s="26" t="s">
        <v>1333</v>
      </c>
      <c r="I265" s="26">
        <v>36</v>
      </c>
      <c r="J265" s="26">
        <v>176</v>
      </c>
      <c r="K265" s="26" t="s">
        <v>1334</v>
      </c>
      <c r="L265" s="26" t="s">
        <v>82</v>
      </c>
      <c r="M265" s="26" t="s">
        <v>591</v>
      </c>
      <c r="N265" s="26" t="s">
        <v>1335</v>
      </c>
      <c r="O265" s="26" t="s">
        <v>219</v>
      </c>
      <c r="P265" s="26" t="s">
        <v>9</v>
      </c>
      <c r="Q265" s="26" t="s">
        <v>10</v>
      </c>
      <c r="R265" s="26" t="s">
        <v>10</v>
      </c>
      <c r="S265" s="26" t="s">
        <v>1336</v>
      </c>
      <c r="T265" s="26" t="s">
        <v>1337</v>
      </c>
      <c r="U265" s="26">
        <v>0</v>
      </c>
      <c r="V265" s="73"/>
    </row>
    <row r="266" spans="1:22" ht="16.5" customHeight="1" thickBot="1">
      <c r="A266" s="48">
        <v>282</v>
      </c>
      <c r="B266" s="84"/>
      <c r="C266" s="84"/>
      <c r="D266" s="84"/>
      <c r="G266" s="26" t="s">
        <v>8</v>
      </c>
      <c r="H266" s="26" t="s">
        <v>1532</v>
      </c>
      <c r="I266" s="26">
        <v>36</v>
      </c>
      <c r="J266" s="26">
        <v>177</v>
      </c>
      <c r="K266" s="26" t="s">
        <v>1533</v>
      </c>
      <c r="L266" s="26" t="s">
        <v>25</v>
      </c>
      <c r="M266" s="26" t="s">
        <v>21</v>
      </c>
      <c r="N266" s="26" t="s">
        <v>35</v>
      </c>
      <c r="O266" s="26" t="s">
        <v>10</v>
      </c>
      <c r="P266" s="26" t="s">
        <v>9</v>
      </c>
      <c r="Q266" s="26" t="s">
        <v>29</v>
      </c>
      <c r="R266" s="26" t="s">
        <v>1536</v>
      </c>
      <c r="S266" s="26" t="s">
        <v>1534</v>
      </c>
      <c r="T266" s="26" t="s">
        <v>1535</v>
      </c>
      <c r="U266" s="26">
        <v>0</v>
      </c>
      <c r="V266" s="75"/>
    </row>
    <row r="267" spans="1:22" ht="16.5" customHeight="1" thickBot="1">
      <c r="A267" s="48">
        <v>284</v>
      </c>
      <c r="B267" s="84"/>
      <c r="C267" s="84"/>
      <c r="D267" s="84"/>
      <c r="G267" s="26" t="s">
        <v>8</v>
      </c>
      <c r="H267" s="26" t="s">
        <v>1540</v>
      </c>
      <c r="I267" s="26">
        <v>36</v>
      </c>
      <c r="J267" s="26">
        <v>185</v>
      </c>
      <c r="K267" s="26" t="s">
        <v>1541</v>
      </c>
      <c r="L267" s="26" t="s">
        <v>460</v>
      </c>
      <c r="M267" s="26" t="s">
        <v>1621</v>
      </c>
      <c r="N267" s="26" t="s">
        <v>28</v>
      </c>
      <c r="O267" s="26" t="s">
        <v>10</v>
      </c>
      <c r="P267" s="26" t="s">
        <v>9</v>
      </c>
      <c r="Q267" s="26" t="s">
        <v>10</v>
      </c>
      <c r="R267" s="26" t="s">
        <v>10</v>
      </c>
      <c r="S267" s="26" t="s">
        <v>1542</v>
      </c>
      <c r="T267" s="26" t="s">
        <v>1543</v>
      </c>
      <c r="U267" s="26">
        <v>0</v>
      </c>
      <c r="V267" s="73"/>
    </row>
    <row r="268" spans="1:22" ht="16.5" customHeight="1" thickBot="1">
      <c r="A268" s="48">
        <v>346</v>
      </c>
      <c r="B268" s="84"/>
      <c r="C268" s="84"/>
      <c r="D268" s="84"/>
      <c r="G268" s="26" t="s">
        <v>8</v>
      </c>
      <c r="H268" s="26" t="s">
        <v>1939</v>
      </c>
      <c r="I268" s="26">
        <v>36</v>
      </c>
      <c r="J268" s="26">
        <v>174</v>
      </c>
      <c r="K268" s="26" t="s">
        <v>1940</v>
      </c>
      <c r="L268" s="26" t="s">
        <v>25</v>
      </c>
      <c r="M268" s="26" t="s">
        <v>22</v>
      </c>
      <c r="N268" s="26" t="s">
        <v>19</v>
      </c>
      <c r="O268" s="26" t="s">
        <v>10</v>
      </c>
      <c r="P268" s="26" t="s">
        <v>9</v>
      </c>
      <c r="Q268" s="26" t="s">
        <v>29</v>
      </c>
      <c r="R268" s="26" t="s">
        <v>10</v>
      </c>
      <c r="S268" s="26" t="s">
        <v>1941</v>
      </c>
      <c r="T268" s="26" t="s">
        <v>1942</v>
      </c>
      <c r="U268" s="26">
        <v>0</v>
      </c>
      <c r="V268" s="74" t="s">
        <v>1491</v>
      </c>
    </row>
    <row r="269" spans="1:22" ht="16.5" customHeight="1" thickBot="1">
      <c r="A269" s="82">
        <v>382</v>
      </c>
      <c r="B269" s="38"/>
      <c r="C269" s="79" t="s">
        <v>2863</v>
      </c>
      <c r="E269" s="82">
        <v>1</v>
      </c>
      <c r="F269" s="82">
        <v>1</v>
      </c>
      <c r="G269" s="26" t="s">
        <v>14</v>
      </c>
      <c r="H269" s="26" t="s">
        <v>1035</v>
      </c>
      <c r="I269" s="26">
        <v>36</v>
      </c>
      <c r="J269" s="26">
        <v>156</v>
      </c>
      <c r="K269" s="26" t="s">
        <v>277</v>
      </c>
      <c r="L269" s="26" t="s">
        <v>36</v>
      </c>
      <c r="M269" s="26" t="s">
        <v>15</v>
      </c>
      <c r="N269" s="4" t="s">
        <v>907</v>
      </c>
      <c r="O269" s="4" t="s">
        <v>10</v>
      </c>
      <c r="P269" s="4" t="s">
        <v>31</v>
      </c>
      <c r="Q269" s="4" t="s">
        <v>10</v>
      </c>
      <c r="R269" s="4" t="s">
        <v>190</v>
      </c>
      <c r="S269" s="4" t="s">
        <v>2804</v>
      </c>
      <c r="T269" s="4" t="s">
        <v>2805</v>
      </c>
      <c r="U269" s="4">
        <v>0</v>
      </c>
      <c r="V269" s="73"/>
    </row>
    <row r="270" spans="1:22" ht="16.5" customHeight="1" thickBot="1">
      <c r="A270" s="48">
        <v>85</v>
      </c>
      <c r="B270" s="81">
        <v>1</v>
      </c>
      <c r="C270" s="81"/>
      <c r="D270" s="81"/>
      <c r="E270" s="80"/>
      <c r="F270" s="80"/>
      <c r="G270" s="26" t="s">
        <v>14</v>
      </c>
      <c r="H270" s="26" t="s">
        <v>280</v>
      </c>
      <c r="I270" s="26">
        <v>36</v>
      </c>
      <c r="J270" s="26">
        <v>154</v>
      </c>
      <c r="K270" s="26" t="s">
        <v>281</v>
      </c>
      <c r="L270" s="26" t="s">
        <v>36</v>
      </c>
      <c r="M270" s="26" t="s">
        <v>93</v>
      </c>
      <c r="N270" s="26" t="s">
        <v>68</v>
      </c>
      <c r="O270" s="26" t="s">
        <v>10</v>
      </c>
      <c r="P270" s="26" t="s">
        <v>9</v>
      </c>
      <c r="Q270" s="26" t="s">
        <v>29</v>
      </c>
      <c r="R270" s="26" t="s">
        <v>10</v>
      </c>
      <c r="S270" s="26" t="s">
        <v>282</v>
      </c>
      <c r="T270" s="26" t="s">
        <v>283</v>
      </c>
      <c r="U270" s="26">
        <v>0</v>
      </c>
      <c r="V270" s="75"/>
    </row>
    <row r="271" spans="1:22" ht="16.5" customHeight="1" thickBot="1">
      <c r="A271" s="48">
        <v>231</v>
      </c>
      <c r="B271" s="88">
        <v>1</v>
      </c>
      <c r="C271" s="88"/>
      <c r="D271" s="88"/>
      <c r="G271" s="26" t="s">
        <v>14</v>
      </c>
      <c r="H271" s="26" t="s">
        <v>1242</v>
      </c>
      <c r="I271" s="26">
        <v>36</v>
      </c>
      <c r="J271" s="26">
        <v>161</v>
      </c>
      <c r="K271" s="26" t="s">
        <v>1243</v>
      </c>
      <c r="L271" s="26" t="s">
        <v>461</v>
      </c>
      <c r="M271" s="26" t="s">
        <v>458</v>
      </c>
      <c r="N271" s="26" t="s">
        <v>13</v>
      </c>
      <c r="O271" s="26" t="s">
        <v>10</v>
      </c>
      <c r="P271" s="26" t="s">
        <v>9</v>
      </c>
      <c r="Q271" s="26" t="s">
        <v>10</v>
      </c>
      <c r="R271" s="26" t="s">
        <v>10</v>
      </c>
      <c r="S271" s="26" t="s">
        <v>1244</v>
      </c>
      <c r="T271" s="26" t="s">
        <v>1245</v>
      </c>
      <c r="U271" s="26">
        <v>0</v>
      </c>
      <c r="V271" s="72" t="s">
        <v>1505</v>
      </c>
    </row>
    <row r="272" spans="1:22" ht="16.5" customHeight="1" thickBot="1">
      <c r="A272" s="48">
        <v>135</v>
      </c>
      <c r="B272" s="81"/>
      <c r="C272" s="81"/>
      <c r="D272" s="81"/>
      <c r="E272" s="80"/>
      <c r="F272" s="80"/>
      <c r="G272" s="36" t="s">
        <v>14</v>
      </c>
      <c r="H272" s="26" t="s">
        <v>859</v>
      </c>
      <c r="I272" s="26">
        <v>36</v>
      </c>
      <c r="J272" s="26">
        <v>155</v>
      </c>
      <c r="K272" s="26" t="s">
        <v>860</v>
      </c>
      <c r="L272" s="26" t="s">
        <v>36</v>
      </c>
      <c r="M272" s="26" t="s">
        <v>458</v>
      </c>
      <c r="N272" s="26" t="s">
        <v>80</v>
      </c>
      <c r="O272" s="26" t="s">
        <v>10</v>
      </c>
      <c r="P272" s="26" t="s">
        <v>9</v>
      </c>
      <c r="Q272" s="26" t="s">
        <v>10</v>
      </c>
      <c r="R272" s="26" t="s">
        <v>10</v>
      </c>
      <c r="S272" s="26" t="s">
        <v>861</v>
      </c>
      <c r="T272" s="26" t="s">
        <v>862</v>
      </c>
      <c r="U272" s="26">
        <v>0</v>
      </c>
      <c r="V272" s="73"/>
    </row>
    <row r="273" spans="1:22" ht="16.5" customHeight="1" thickBot="1">
      <c r="A273" s="48">
        <v>181</v>
      </c>
      <c r="B273" s="81"/>
      <c r="C273" s="81"/>
      <c r="D273" s="81"/>
      <c r="E273" s="80"/>
      <c r="F273" s="80"/>
      <c r="G273" s="26" t="s">
        <v>14</v>
      </c>
      <c r="H273" s="26" t="s">
        <v>580</v>
      </c>
      <c r="I273" s="26">
        <v>36</v>
      </c>
      <c r="J273" s="26">
        <v>156</v>
      </c>
      <c r="K273" s="26" t="s">
        <v>581</v>
      </c>
      <c r="L273" s="26" t="s">
        <v>466</v>
      </c>
      <c r="M273" s="26" t="s">
        <v>55</v>
      </c>
      <c r="N273" s="26" t="s">
        <v>582</v>
      </c>
      <c r="O273" s="26" t="s">
        <v>10</v>
      </c>
      <c r="P273" s="26" t="s">
        <v>56</v>
      </c>
      <c r="Q273" s="26" t="s">
        <v>10</v>
      </c>
      <c r="R273" s="26" t="s">
        <v>10</v>
      </c>
      <c r="S273" s="26" t="s">
        <v>583</v>
      </c>
      <c r="T273" s="26" t="s">
        <v>584</v>
      </c>
      <c r="U273" s="26">
        <v>0</v>
      </c>
      <c r="V273" s="75"/>
    </row>
    <row r="274" spans="1:22" ht="16.5" customHeight="1" thickBot="1">
      <c r="A274" s="48">
        <v>111</v>
      </c>
      <c r="B274" s="81"/>
      <c r="C274" s="81"/>
      <c r="D274" s="81"/>
      <c r="E274" s="80"/>
      <c r="F274" s="80"/>
      <c r="G274" s="36" t="s">
        <v>14</v>
      </c>
      <c r="H274" s="26" t="s">
        <v>1035</v>
      </c>
      <c r="I274" s="26">
        <v>36</v>
      </c>
      <c r="J274" s="26">
        <v>156</v>
      </c>
      <c r="K274" s="26" t="s">
        <v>1036</v>
      </c>
      <c r="L274" s="26" t="s">
        <v>36</v>
      </c>
      <c r="M274" s="26" t="s">
        <v>458</v>
      </c>
      <c r="N274" s="26" t="s">
        <v>1037</v>
      </c>
      <c r="O274" s="26" t="s">
        <v>10</v>
      </c>
      <c r="P274" s="26" t="s">
        <v>31</v>
      </c>
      <c r="Q274" s="26" t="s">
        <v>10</v>
      </c>
      <c r="R274" s="26" t="s">
        <v>196</v>
      </c>
      <c r="S274" s="26" t="s">
        <v>1038</v>
      </c>
      <c r="T274" s="26" t="s">
        <v>1039</v>
      </c>
      <c r="U274" s="26">
        <v>0</v>
      </c>
      <c r="V274" s="73"/>
    </row>
    <row r="275" spans="1:22" ht="16.5" customHeight="1" thickBot="1">
      <c r="A275" s="48">
        <v>259</v>
      </c>
      <c r="B275" s="86"/>
      <c r="C275" s="86"/>
      <c r="D275" s="86"/>
      <c r="G275" s="26" t="s">
        <v>14</v>
      </c>
      <c r="H275" s="26" t="s">
        <v>1402</v>
      </c>
      <c r="I275" s="26">
        <v>36</v>
      </c>
      <c r="J275" s="26">
        <v>160</v>
      </c>
      <c r="K275" s="26" t="s">
        <v>196</v>
      </c>
      <c r="L275" s="26" t="s">
        <v>466</v>
      </c>
      <c r="M275" s="26" t="s">
        <v>93</v>
      </c>
      <c r="N275" s="26" t="s">
        <v>148</v>
      </c>
      <c r="O275" s="26" t="s">
        <v>1403</v>
      </c>
      <c r="P275" s="26" t="s">
        <v>9</v>
      </c>
      <c r="Q275" s="26" t="s">
        <v>29</v>
      </c>
      <c r="R275" s="26" t="s">
        <v>11</v>
      </c>
      <c r="S275" s="26" t="s">
        <v>1404</v>
      </c>
      <c r="T275" s="26" t="s">
        <v>1405</v>
      </c>
      <c r="U275" s="26"/>
      <c r="V275" s="74" t="s">
        <v>1527</v>
      </c>
    </row>
    <row r="276" spans="1:22" ht="16.5" customHeight="1" thickBot="1">
      <c r="A276" s="48">
        <v>141</v>
      </c>
      <c r="B276" s="81"/>
      <c r="C276" s="81"/>
      <c r="D276" s="81"/>
      <c r="E276" s="80"/>
      <c r="F276" s="80"/>
      <c r="G276" s="26" t="s">
        <v>14</v>
      </c>
      <c r="H276" s="26" t="s">
        <v>512</v>
      </c>
      <c r="I276" s="26">
        <v>36</v>
      </c>
      <c r="J276" s="26">
        <v>160</v>
      </c>
      <c r="K276" s="26" t="s">
        <v>513</v>
      </c>
      <c r="L276" s="26" t="s">
        <v>461</v>
      </c>
      <c r="M276" s="26" t="s">
        <v>458</v>
      </c>
      <c r="N276" s="26" t="s">
        <v>66</v>
      </c>
      <c r="O276" s="26" t="s">
        <v>10</v>
      </c>
      <c r="P276" s="26" t="s">
        <v>75</v>
      </c>
      <c r="Q276" s="26" t="s">
        <v>29</v>
      </c>
      <c r="R276" s="26" t="s">
        <v>10</v>
      </c>
      <c r="S276" s="26" t="s">
        <v>514</v>
      </c>
      <c r="T276" s="26" t="s">
        <v>271</v>
      </c>
      <c r="U276" s="26">
        <v>0</v>
      </c>
      <c r="V276" s="73"/>
    </row>
    <row r="277" spans="1:22" ht="16.5" customHeight="1" thickBot="1">
      <c r="A277" s="48">
        <v>166</v>
      </c>
      <c r="B277" s="81"/>
      <c r="C277" s="81"/>
      <c r="D277" s="81"/>
      <c r="E277" s="80"/>
      <c r="F277" s="80"/>
      <c r="G277" s="36" t="s">
        <v>14</v>
      </c>
      <c r="H277" s="26" t="s">
        <v>895</v>
      </c>
      <c r="I277" s="26">
        <v>36</v>
      </c>
      <c r="J277" s="26">
        <v>161</v>
      </c>
      <c r="K277" s="26" t="s">
        <v>896</v>
      </c>
      <c r="L277" s="26" t="s">
        <v>466</v>
      </c>
      <c r="M277" s="26" t="s">
        <v>93</v>
      </c>
      <c r="N277" s="26" t="s">
        <v>59</v>
      </c>
      <c r="O277" s="26" t="s">
        <v>204</v>
      </c>
      <c r="P277" s="26" t="s">
        <v>9</v>
      </c>
      <c r="Q277" s="26" t="s">
        <v>29</v>
      </c>
      <c r="R277" s="26" t="s">
        <v>10</v>
      </c>
      <c r="S277" s="26" t="s">
        <v>897</v>
      </c>
      <c r="T277" s="26" t="s">
        <v>898</v>
      </c>
      <c r="U277" s="26">
        <v>0</v>
      </c>
      <c r="V277" s="73"/>
    </row>
    <row r="278" spans="1:22" ht="16.5" customHeight="1" thickBot="1">
      <c r="A278" s="48">
        <v>91</v>
      </c>
      <c r="B278" s="81"/>
      <c r="C278" s="81"/>
      <c r="D278" s="81"/>
      <c r="E278" s="80"/>
      <c r="F278" s="80"/>
      <c r="G278" s="26" t="s">
        <v>14</v>
      </c>
      <c r="H278" s="26" t="s">
        <v>405</v>
      </c>
      <c r="I278" s="26">
        <v>36</v>
      </c>
      <c r="J278" s="26">
        <v>164</v>
      </c>
      <c r="K278" s="26" t="s">
        <v>406</v>
      </c>
      <c r="L278" s="26" t="s">
        <v>466</v>
      </c>
      <c r="M278" s="26" t="s">
        <v>93</v>
      </c>
      <c r="N278" s="26" t="s">
        <v>252</v>
      </c>
      <c r="O278" s="26" t="s">
        <v>10</v>
      </c>
      <c r="P278" s="26" t="s">
        <v>9</v>
      </c>
      <c r="Q278" s="26" t="s">
        <v>29</v>
      </c>
      <c r="R278" s="26" t="s">
        <v>50</v>
      </c>
      <c r="S278" s="26" t="s">
        <v>407</v>
      </c>
      <c r="T278" s="26" t="s">
        <v>408</v>
      </c>
      <c r="U278" s="26">
        <v>0</v>
      </c>
      <c r="V278" s="75"/>
    </row>
    <row r="279" spans="1:22" ht="16.5" customHeight="1" thickBot="1">
      <c r="A279" s="48">
        <v>132</v>
      </c>
      <c r="B279" s="81"/>
      <c r="C279" s="81"/>
      <c r="D279" s="81"/>
      <c r="E279" s="80"/>
      <c r="F279" s="80"/>
      <c r="G279" s="36" t="s">
        <v>14</v>
      </c>
      <c r="H279" s="26" t="s">
        <v>595</v>
      </c>
      <c r="I279" s="26">
        <v>36</v>
      </c>
      <c r="J279" s="26">
        <v>155</v>
      </c>
      <c r="K279" s="26" t="s">
        <v>597</v>
      </c>
      <c r="L279" s="26" t="s">
        <v>36</v>
      </c>
      <c r="M279" s="26" t="s">
        <v>15</v>
      </c>
      <c r="N279" s="26" t="s">
        <v>59</v>
      </c>
      <c r="O279" s="26" t="s">
        <v>10</v>
      </c>
      <c r="P279" s="26" t="s">
        <v>20</v>
      </c>
      <c r="Q279" s="26" t="s">
        <v>10</v>
      </c>
      <c r="R279" s="26" t="s">
        <v>599</v>
      </c>
      <c r="S279" s="26" t="s">
        <v>598</v>
      </c>
      <c r="T279" s="26">
        <v>0</v>
      </c>
      <c r="U279" s="26">
        <v>0</v>
      </c>
      <c r="V279" s="73"/>
    </row>
    <row r="280" spans="1:22" ht="16.5" customHeight="1" thickBot="1">
      <c r="A280" s="48">
        <v>172</v>
      </c>
      <c r="B280" s="81"/>
      <c r="C280" s="81"/>
      <c r="D280" s="81"/>
      <c r="E280" s="80"/>
      <c r="F280" s="80"/>
      <c r="G280" s="26" t="s">
        <v>14</v>
      </c>
      <c r="H280" s="26" t="s">
        <v>74</v>
      </c>
      <c r="I280" s="26">
        <v>36</v>
      </c>
      <c r="J280" s="26">
        <v>156</v>
      </c>
      <c r="K280" s="26" t="s">
        <v>1123</v>
      </c>
      <c r="L280" s="26" t="s">
        <v>464</v>
      </c>
      <c r="M280" s="26" t="s">
        <v>15</v>
      </c>
      <c r="N280" s="26" t="s">
        <v>68</v>
      </c>
      <c r="O280" s="26" t="s">
        <v>10</v>
      </c>
      <c r="P280" s="26" t="s">
        <v>9</v>
      </c>
      <c r="Q280" s="26" t="s">
        <v>29</v>
      </c>
      <c r="R280" s="26" t="s">
        <v>10</v>
      </c>
      <c r="S280" s="26" t="s">
        <v>89</v>
      </c>
      <c r="T280" s="26" t="s">
        <v>90</v>
      </c>
      <c r="U280" s="26">
        <v>0</v>
      </c>
      <c r="V280" s="75"/>
    </row>
    <row r="281" spans="1:22" ht="16.5" customHeight="1" thickBot="1">
      <c r="A281" s="48">
        <v>118</v>
      </c>
      <c r="B281" s="81"/>
      <c r="C281" s="81"/>
      <c r="D281" s="81"/>
      <c r="E281" s="80"/>
      <c r="F281" s="80"/>
      <c r="G281" s="36" t="s">
        <v>14</v>
      </c>
      <c r="H281" s="26" t="s">
        <v>158</v>
      </c>
      <c r="I281" s="26">
        <v>36</v>
      </c>
      <c r="J281" s="26">
        <v>170</v>
      </c>
      <c r="K281" s="26" t="s">
        <v>159</v>
      </c>
      <c r="L281" s="26" t="s">
        <v>465</v>
      </c>
      <c r="M281" s="26" t="s">
        <v>458</v>
      </c>
      <c r="N281" s="26" t="s">
        <v>148</v>
      </c>
      <c r="O281" s="26" t="s">
        <v>35</v>
      </c>
      <c r="P281" s="26" t="s">
        <v>9</v>
      </c>
      <c r="Q281" s="26" t="s">
        <v>10</v>
      </c>
      <c r="R281" s="26" t="s">
        <v>11</v>
      </c>
      <c r="S281" s="26" t="s">
        <v>160</v>
      </c>
      <c r="T281" s="26" t="s">
        <v>161</v>
      </c>
      <c r="U281" s="26">
        <v>0</v>
      </c>
      <c r="V281" s="73"/>
    </row>
    <row r="282" spans="1:22" ht="16.5" customHeight="1" thickBot="1">
      <c r="A282" s="48">
        <v>119</v>
      </c>
      <c r="B282" s="81"/>
      <c r="C282" s="81"/>
      <c r="D282" s="81"/>
      <c r="E282" s="80"/>
      <c r="F282" s="80"/>
      <c r="G282" s="36" t="s">
        <v>14</v>
      </c>
      <c r="H282" s="26" t="s">
        <v>508</v>
      </c>
      <c r="I282" s="26">
        <v>36</v>
      </c>
      <c r="J282" s="26">
        <v>160</v>
      </c>
      <c r="K282" s="26" t="s">
        <v>509</v>
      </c>
      <c r="L282" s="26" t="s">
        <v>461</v>
      </c>
      <c r="M282" s="26" t="s">
        <v>15</v>
      </c>
      <c r="N282" s="26" t="s">
        <v>13</v>
      </c>
      <c r="O282" s="26" t="s">
        <v>10</v>
      </c>
      <c r="P282" s="26" t="s">
        <v>9</v>
      </c>
      <c r="Q282" s="26" t="s">
        <v>10</v>
      </c>
      <c r="R282" s="26" t="s">
        <v>10</v>
      </c>
      <c r="S282" s="26" t="s">
        <v>510</v>
      </c>
      <c r="T282" s="26" t="s">
        <v>511</v>
      </c>
      <c r="U282" s="26">
        <v>0</v>
      </c>
      <c r="V282" s="75"/>
    </row>
    <row r="283" spans="1:22" ht="16.5" customHeight="1" thickBot="1">
      <c r="A283" s="48">
        <v>205</v>
      </c>
      <c r="B283" s="85"/>
      <c r="C283" s="85"/>
      <c r="D283" s="85"/>
      <c r="E283" s="80"/>
      <c r="F283" s="80"/>
      <c r="G283" s="36" t="s">
        <v>14</v>
      </c>
      <c r="H283" s="26" t="s">
        <v>197</v>
      </c>
      <c r="I283" s="26">
        <v>36</v>
      </c>
      <c r="J283" s="26">
        <v>161</v>
      </c>
      <c r="K283" s="26" t="s">
        <v>198</v>
      </c>
      <c r="L283" s="26" t="s">
        <v>36</v>
      </c>
      <c r="M283" s="26" t="s">
        <v>15</v>
      </c>
      <c r="N283" s="26" t="s">
        <v>80</v>
      </c>
      <c r="O283" s="26" t="s">
        <v>10</v>
      </c>
      <c r="P283" s="26" t="s">
        <v>9</v>
      </c>
      <c r="Q283" s="26" t="s">
        <v>10</v>
      </c>
      <c r="R283" s="26" t="s">
        <v>11</v>
      </c>
      <c r="S283" s="26" t="s">
        <v>199</v>
      </c>
      <c r="T283" s="26" t="s">
        <v>200</v>
      </c>
      <c r="U283" s="26">
        <v>0</v>
      </c>
      <c r="V283" s="73"/>
    </row>
    <row r="284" spans="1:22" ht="16.5" customHeight="1" thickBot="1">
      <c r="A284" s="48">
        <v>98</v>
      </c>
      <c r="B284" s="81"/>
      <c r="C284" s="81"/>
      <c r="D284" s="81"/>
      <c r="E284" s="80"/>
      <c r="F284" s="80"/>
      <c r="G284" s="47" t="s">
        <v>14</v>
      </c>
      <c r="H284" s="5" t="s">
        <v>211</v>
      </c>
      <c r="I284" s="50">
        <v>36</v>
      </c>
      <c r="J284" s="37">
        <v>166</v>
      </c>
      <c r="K284" s="4" t="s">
        <v>212</v>
      </c>
      <c r="L284" s="4" t="s">
        <v>36</v>
      </c>
      <c r="M284" s="4" t="s">
        <v>15</v>
      </c>
      <c r="N284" s="4" t="s">
        <v>71</v>
      </c>
      <c r="O284" s="4" t="s">
        <v>10</v>
      </c>
      <c r="P284" s="4" t="s">
        <v>9</v>
      </c>
      <c r="Q284" s="4" t="s">
        <v>29</v>
      </c>
      <c r="R284" s="4" t="s">
        <v>73</v>
      </c>
      <c r="S284" s="4" t="s">
        <v>213</v>
      </c>
      <c r="T284" s="4" t="s">
        <v>214</v>
      </c>
      <c r="U284" s="4" t="s">
        <v>215</v>
      </c>
      <c r="V284" s="75"/>
    </row>
    <row r="285" spans="1:22" ht="16.5" customHeight="1" thickBot="1">
      <c r="A285" s="48">
        <v>50</v>
      </c>
      <c r="B285" s="81"/>
      <c r="C285" s="81"/>
      <c r="D285" s="81"/>
      <c r="E285" s="80"/>
      <c r="F285" s="80"/>
      <c r="G285" s="36" t="s">
        <v>14</v>
      </c>
      <c r="H285" s="26" t="s">
        <v>498</v>
      </c>
      <c r="I285" s="26">
        <v>36</v>
      </c>
      <c r="J285" s="26">
        <v>168</v>
      </c>
      <c r="K285" s="26" t="s">
        <v>499</v>
      </c>
      <c r="L285" s="26" t="s">
        <v>462</v>
      </c>
      <c r="M285" s="26" t="s">
        <v>15</v>
      </c>
      <c r="N285" s="26" t="s">
        <v>81</v>
      </c>
      <c r="O285" s="26" t="s">
        <v>500</v>
      </c>
      <c r="P285" s="26" t="s">
        <v>9</v>
      </c>
      <c r="Q285" s="26" t="s">
        <v>10</v>
      </c>
      <c r="R285" s="26" t="s">
        <v>10</v>
      </c>
      <c r="S285" s="26" t="s">
        <v>501</v>
      </c>
      <c r="T285" s="26" t="s">
        <v>502</v>
      </c>
      <c r="U285" s="26">
        <v>0</v>
      </c>
      <c r="V285" s="73"/>
    </row>
    <row r="286" spans="1:22" ht="16.5" customHeight="1" thickBot="1">
      <c r="A286" s="48">
        <v>353</v>
      </c>
      <c r="B286" s="84"/>
      <c r="G286" s="26" t="s">
        <v>14</v>
      </c>
      <c r="H286" s="26" t="s">
        <v>2020</v>
      </c>
      <c r="I286" s="26">
        <v>36</v>
      </c>
      <c r="J286" s="26">
        <v>164</v>
      </c>
      <c r="K286" s="26" t="s">
        <v>2021</v>
      </c>
      <c r="L286" s="26" t="s">
        <v>465</v>
      </c>
      <c r="M286" s="26" t="s">
        <v>93</v>
      </c>
      <c r="N286" s="26" t="s">
        <v>18</v>
      </c>
      <c r="O286" s="26" t="s">
        <v>10</v>
      </c>
      <c r="P286" s="26" t="s">
        <v>9</v>
      </c>
      <c r="Q286" s="26" t="s">
        <v>29</v>
      </c>
      <c r="R286" s="26" t="s">
        <v>11</v>
      </c>
      <c r="S286" s="26" t="s">
        <v>2022</v>
      </c>
      <c r="T286" s="26" t="s">
        <v>2023</v>
      </c>
      <c r="U286" s="26">
        <v>0</v>
      </c>
      <c r="V286" s="75"/>
    </row>
    <row r="287" spans="1:22" ht="16.5" customHeight="1" thickBot="1">
      <c r="A287" s="107">
        <v>387</v>
      </c>
      <c r="B287" s="38"/>
      <c r="D287" s="79" t="s">
        <v>2883</v>
      </c>
      <c r="G287" s="26" t="s">
        <v>14</v>
      </c>
      <c r="H287" s="26" t="s">
        <v>405</v>
      </c>
      <c r="I287" s="26">
        <v>36</v>
      </c>
      <c r="J287" s="26">
        <v>164</v>
      </c>
      <c r="K287" s="26" t="s">
        <v>2879</v>
      </c>
      <c r="L287" s="26" t="s">
        <v>466</v>
      </c>
      <c r="M287" s="26" t="s">
        <v>93</v>
      </c>
      <c r="N287" s="4" t="s">
        <v>252</v>
      </c>
      <c r="O287" s="4" t="s">
        <v>10</v>
      </c>
      <c r="P287" s="4" t="s">
        <v>9</v>
      </c>
      <c r="Q287" s="4" t="s">
        <v>63</v>
      </c>
      <c r="R287" s="4" t="s">
        <v>2882</v>
      </c>
      <c r="S287" s="4" t="s">
        <v>2880</v>
      </c>
      <c r="T287" s="4" t="s">
        <v>2881</v>
      </c>
      <c r="U287" s="4">
        <v>0</v>
      </c>
      <c r="V287" s="76"/>
    </row>
    <row r="288" spans="1:22" ht="16.5" customHeight="1">
      <c r="A288" s="82">
        <v>379</v>
      </c>
      <c r="B288" s="38"/>
      <c r="D288" s="79" t="s">
        <v>2860</v>
      </c>
      <c r="G288" s="26" t="s">
        <v>8</v>
      </c>
      <c r="H288" s="26" t="s">
        <v>2792</v>
      </c>
      <c r="I288" s="26">
        <v>37</v>
      </c>
      <c r="J288" s="26">
        <v>170</v>
      </c>
      <c r="K288" s="26" t="s">
        <v>2793</v>
      </c>
      <c r="L288" s="26" t="s">
        <v>462</v>
      </c>
      <c r="M288" s="26" t="s">
        <v>21</v>
      </c>
      <c r="N288" s="4" t="s">
        <v>68</v>
      </c>
      <c r="O288" s="4" t="s">
        <v>10</v>
      </c>
      <c r="P288" s="4" t="s">
        <v>31</v>
      </c>
      <c r="Q288" s="4" t="s">
        <v>10</v>
      </c>
      <c r="R288" s="4" t="s">
        <v>10</v>
      </c>
      <c r="S288" s="4" t="s">
        <v>2794</v>
      </c>
      <c r="T288" s="4" t="s">
        <v>2795</v>
      </c>
      <c r="U288" s="4">
        <v>0</v>
      </c>
    </row>
    <row r="289" spans="1:21">
      <c r="A289" s="48">
        <v>261</v>
      </c>
      <c r="B289" s="89"/>
      <c r="C289" s="89"/>
      <c r="D289" s="89"/>
      <c r="G289" s="26" t="s">
        <v>8</v>
      </c>
      <c r="H289" s="26" t="s">
        <v>1441</v>
      </c>
      <c r="I289" s="26">
        <v>37</v>
      </c>
      <c r="J289" s="26">
        <v>183</v>
      </c>
      <c r="K289" s="26" t="s">
        <v>1032</v>
      </c>
      <c r="L289" s="26" t="s">
        <v>462</v>
      </c>
      <c r="M289" s="26" t="s">
        <v>773</v>
      </c>
      <c r="N289" s="26" t="s">
        <v>66</v>
      </c>
      <c r="O289" s="26" t="s">
        <v>10</v>
      </c>
      <c r="P289" s="26" t="s">
        <v>9</v>
      </c>
      <c r="Q289" s="26" t="s">
        <v>29</v>
      </c>
      <c r="R289" s="26" t="s">
        <v>10</v>
      </c>
      <c r="S289" s="26" t="s">
        <v>1442</v>
      </c>
      <c r="T289" s="26" t="s">
        <v>1443</v>
      </c>
      <c r="U289" s="26">
        <v>0</v>
      </c>
    </row>
    <row r="290" spans="1:21">
      <c r="A290" s="48">
        <v>22</v>
      </c>
      <c r="B290" s="81"/>
      <c r="C290" s="81"/>
      <c r="D290" s="81"/>
      <c r="E290" s="80"/>
      <c r="F290" s="80"/>
      <c r="G290" s="26" t="s">
        <v>8</v>
      </c>
      <c r="H290" s="26" t="s">
        <v>1105</v>
      </c>
      <c r="I290" s="26">
        <v>37</v>
      </c>
      <c r="J290" s="26">
        <v>174</v>
      </c>
      <c r="K290" s="26" t="s">
        <v>1106</v>
      </c>
      <c r="L290" s="26" t="s">
        <v>462</v>
      </c>
      <c r="M290" s="26" t="s">
        <v>34</v>
      </c>
      <c r="N290" s="26" t="s">
        <v>19</v>
      </c>
      <c r="O290" s="26" t="s">
        <v>10</v>
      </c>
      <c r="P290" s="26" t="s">
        <v>20</v>
      </c>
      <c r="Q290" s="26" t="s">
        <v>10</v>
      </c>
      <c r="R290" s="26" t="s">
        <v>10</v>
      </c>
      <c r="S290" s="26" t="s">
        <v>1107</v>
      </c>
      <c r="T290" s="26" t="s">
        <v>1108</v>
      </c>
      <c r="U290" s="26">
        <v>0</v>
      </c>
    </row>
    <row r="291" spans="1:21">
      <c r="A291" s="48">
        <v>230</v>
      </c>
      <c r="B291" s="88">
        <v>1</v>
      </c>
      <c r="C291" s="88"/>
      <c r="D291" s="88"/>
      <c r="G291" s="26" t="s">
        <v>14</v>
      </c>
      <c r="H291" s="26" t="s">
        <v>1238</v>
      </c>
      <c r="I291" s="26">
        <v>37</v>
      </c>
      <c r="J291" s="26">
        <v>167</v>
      </c>
      <c r="K291" s="26" t="s">
        <v>1239</v>
      </c>
      <c r="L291" s="26" t="s">
        <v>466</v>
      </c>
      <c r="M291" s="26" t="s">
        <v>93</v>
      </c>
      <c r="N291" s="26" t="s">
        <v>71</v>
      </c>
      <c r="O291" s="26" t="s">
        <v>10</v>
      </c>
      <c r="P291" s="26" t="s">
        <v>9</v>
      </c>
      <c r="Q291" s="26" t="s">
        <v>29</v>
      </c>
      <c r="R291" s="26" t="s">
        <v>11</v>
      </c>
      <c r="S291" s="26" t="s">
        <v>1240</v>
      </c>
      <c r="T291" s="26" t="s">
        <v>1241</v>
      </c>
      <c r="U291" s="26">
        <v>0</v>
      </c>
    </row>
    <row r="292" spans="1:21">
      <c r="A292" s="48">
        <v>368</v>
      </c>
      <c r="B292" s="81">
        <v>1</v>
      </c>
      <c r="C292" s="81"/>
      <c r="D292" s="81"/>
      <c r="E292" s="80"/>
      <c r="F292" s="81"/>
      <c r="G292" s="26" t="s">
        <v>14</v>
      </c>
      <c r="H292" s="26" t="s">
        <v>2724</v>
      </c>
      <c r="I292" s="26">
        <v>37</v>
      </c>
      <c r="J292" s="26">
        <v>164</v>
      </c>
      <c r="K292" s="26" t="s">
        <v>2670</v>
      </c>
      <c r="L292" s="26" t="s">
        <v>461</v>
      </c>
      <c r="M292" s="26" t="s">
        <v>15</v>
      </c>
      <c r="N292" s="4" t="s">
        <v>59</v>
      </c>
      <c r="O292" s="4" t="s">
        <v>10</v>
      </c>
      <c r="P292" s="4" t="s">
        <v>9</v>
      </c>
      <c r="Q292" s="4" t="s">
        <v>63</v>
      </c>
      <c r="R292" s="4" t="s">
        <v>10</v>
      </c>
      <c r="S292" s="4" t="s">
        <v>2725</v>
      </c>
      <c r="T292" s="4" t="s">
        <v>2726</v>
      </c>
      <c r="U292" s="4">
        <v>0</v>
      </c>
    </row>
    <row r="293" spans="1:21">
      <c r="A293" s="82">
        <v>385</v>
      </c>
      <c r="B293" s="38">
        <v>1</v>
      </c>
      <c r="G293" s="26" t="s">
        <v>14</v>
      </c>
      <c r="H293" s="26" t="s">
        <v>2866</v>
      </c>
      <c r="I293" s="26">
        <v>37</v>
      </c>
      <c r="J293" s="26">
        <v>155</v>
      </c>
      <c r="K293" s="26" t="s">
        <v>2867</v>
      </c>
      <c r="L293" s="26" t="s">
        <v>1616</v>
      </c>
      <c r="M293" s="26" t="s">
        <v>55</v>
      </c>
      <c r="N293" s="4" t="s">
        <v>380</v>
      </c>
      <c r="O293" s="4" t="s">
        <v>10</v>
      </c>
      <c r="P293" s="4" t="s">
        <v>9</v>
      </c>
      <c r="Q293" s="4" t="s">
        <v>63</v>
      </c>
      <c r="R293" s="4" t="s">
        <v>11</v>
      </c>
      <c r="S293" s="4" t="s">
        <v>2868</v>
      </c>
      <c r="T293" s="4" t="s">
        <v>2869</v>
      </c>
      <c r="U293" s="4">
        <v>0</v>
      </c>
    </row>
    <row r="294" spans="1:21">
      <c r="A294" s="48">
        <v>254</v>
      </c>
      <c r="B294" s="86"/>
      <c r="C294" s="86"/>
      <c r="D294" s="86"/>
      <c r="G294" s="26" t="s">
        <v>14</v>
      </c>
      <c r="H294" s="26" t="s">
        <v>1382</v>
      </c>
      <c r="I294" s="26">
        <v>37</v>
      </c>
      <c r="J294" s="26">
        <v>163.5</v>
      </c>
      <c r="K294" s="26" t="s">
        <v>1384</v>
      </c>
      <c r="L294" s="26" t="s">
        <v>466</v>
      </c>
      <c r="M294" s="26" t="s">
        <v>65</v>
      </c>
      <c r="N294" s="26" t="s">
        <v>12</v>
      </c>
      <c r="O294" s="26" t="s">
        <v>10</v>
      </c>
      <c r="P294" s="26" t="s">
        <v>9</v>
      </c>
      <c r="Q294" s="26"/>
      <c r="R294" s="26"/>
      <c r="S294" s="26" t="s">
        <v>1385</v>
      </c>
      <c r="T294" s="26"/>
      <c r="U294" s="26"/>
    </row>
    <row r="295" spans="1:21">
      <c r="A295" s="48">
        <v>270</v>
      </c>
      <c r="G295" s="26" t="s">
        <v>14</v>
      </c>
      <c r="H295" s="26" t="s">
        <v>191</v>
      </c>
      <c r="I295" s="26">
        <v>37</v>
      </c>
      <c r="J295" s="26">
        <v>164</v>
      </c>
      <c r="K295" s="26" t="s">
        <v>1479</v>
      </c>
      <c r="L295" s="26" t="s">
        <v>466</v>
      </c>
      <c r="M295" s="26" t="s">
        <v>458</v>
      </c>
      <c r="N295" s="26" t="s">
        <v>76</v>
      </c>
      <c r="O295" s="26" t="s">
        <v>35</v>
      </c>
      <c r="P295" s="26" t="s">
        <v>49</v>
      </c>
      <c r="Q295" s="26" t="s">
        <v>29</v>
      </c>
      <c r="R295" s="26" t="s">
        <v>1482</v>
      </c>
      <c r="S295" s="26" t="s">
        <v>1480</v>
      </c>
      <c r="T295" s="26" t="s">
        <v>1481</v>
      </c>
      <c r="U295" s="26">
        <v>0</v>
      </c>
    </row>
    <row r="296" spans="1:21">
      <c r="A296" s="48">
        <v>304</v>
      </c>
      <c r="B296" s="84"/>
      <c r="C296" s="84"/>
      <c r="D296" s="84"/>
      <c r="G296" s="26" t="s">
        <v>14</v>
      </c>
      <c r="H296" s="26" t="s">
        <v>1645</v>
      </c>
      <c r="I296" s="26">
        <v>37</v>
      </c>
      <c r="J296" s="26">
        <v>168</v>
      </c>
      <c r="K296" s="26" t="s">
        <v>1647</v>
      </c>
      <c r="L296" s="26" t="s">
        <v>461</v>
      </c>
      <c r="M296" s="26" t="s">
        <v>93</v>
      </c>
      <c r="N296" s="26" t="s">
        <v>24</v>
      </c>
      <c r="O296" s="26" t="s">
        <v>10</v>
      </c>
      <c r="P296" s="26" t="s">
        <v>9</v>
      </c>
      <c r="Q296" s="26" t="s">
        <v>10</v>
      </c>
      <c r="R296" s="26" t="s">
        <v>10</v>
      </c>
      <c r="S296" s="26" t="s">
        <v>1688</v>
      </c>
      <c r="T296" s="26" t="s">
        <v>1689</v>
      </c>
      <c r="U296" s="26">
        <v>0</v>
      </c>
    </row>
    <row r="297" spans="1:21">
      <c r="A297" s="48">
        <v>271</v>
      </c>
      <c r="G297" s="26" t="s">
        <v>14</v>
      </c>
      <c r="H297" s="26" t="s">
        <v>1483</v>
      </c>
      <c r="I297" s="26">
        <v>37</v>
      </c>
      <c r="J297" s="26">
        <v>163</v>
      </c>
      <c r="K297" s="26" t="s">
        <v>1485</v>
      </c>
      <c r="L297" s="26" t="s">
        <v>470</v>
      </c>
      <c r="M297" s="26" t="s">
        <v>93</v>
      </c>
      <c r="N297" s="26" t="s">
        <v>68</v>
      </c>
      <c r="O297" s="26" t="s">
        <v>10</v>
      </c>
      <c r="P297" s="26" t="s">
        <v>224</v>
      </c>
      <c r="Q297" s="26" t="s">
        <v>10</v>
      </c>
      <c r="R297" s="26" t="s">
        <v>11</v>
      </c>
      <c r="S297" s="26" t="s">
        <v>1486</v>
      </c>
      <c r="T297" s="26" t="s">
        <v>1487</v>
      </c>
      <c r="U297" s="26">
        <v>0</v>
      </c>
    </row>
    <row r="298" spans="1:21">
      <c r="A298" s="48">
        <v>11</v>
      </c>
      <c r="B298" s="81"/>
      <c r="C298" s="81"/>
      <c r="D298" s="81"/>
      <c r="E298" s="80"/>
      <c r="F298" s="80"/>
      <c r="G298" s="36" t="s">
        <v>14</v>
      </c>
      <c r="H298" s="26" t="s">
        <v>334</v>
      </c>
      <c r="I298" s="26">
        <v>37</v>
      </c>
      <c r="J298" s="26">
        <v>158</v>
      </c>
      <c r="K298" s="26" t="s">
        <v>335</v>
      </c>
      <c r="L298" s="26" t="s">
        <v>10</v>
      </c>
      <c r="M298" s="26" t="s">
        <v>93</v>
      </c>
      <c r="N298" s="26" t="s">
        <v>51</v>
      </c>
      <c r="O298" s="26" t="s">
        <v>10</v>
      </c>
      <c r="P298" s="26" t="s">
        <v>9</v>
      </c>
      <c r="Q298" s="26" t="s">
        <v>10</v>
      </c>
      <c r="R298" s="26" t="s">
        <v>10</v>
      </c>
      <c r="S298" s="26" t="s">
        <v>336</v>
      </c>
      <c r="T298" s="26" t="s">
        <v>337</v>
      </c>
      <c r="U298" s="26">
        <v>0</v>
      </c>
    </row>
    <row r="299" spans="1:21">
      <c r="A299" s="48">
        <v>208</v>
      </c>
      <c r="B299" s="85"/>
      <c r="C299" s="85"/>
      <c r="D299" s="85"/>
      <c r="E299" s="80"/>
      <c r="F299" s="80"/>
      <c r="G299" s="26" t="s">
        <v>14</v>
      </c>
      <c r="H299" s="26" t="s">
        <v>483</v>
      </c>
      <c r="I299" s="26">
        <v>37</v>
      </c>
      <c r="J299" s="26">
        <v>162</v>
      </c>
      <c r="K299" s="26" t="s">
        <v>484</v>
      </c>
      <c r="L299" s="26" t="s">
        <v>461</v>
      </c>
      <c r="M299" s="26" t="s">
        <v>55</v>
      </c>
      <c r="N299" s="26" t="s">
        <v>148</v>
      </c>
      <c r="O299" s="26" t="s">
        <v>10</v>
      </c>
      <c r="P299" s="26" t="s">
        <v>31</v>
      </c>
      <c r="Q299" s="26" t="s">
        <v>10</v>
      </c>
      <c r="R299" s="26" t="s">
        <v>10</v>
      </c>
      <c r="S299" s="26" t="s">
        <v>485</v>
      </c>
      <c r="T299" s="26" t="s">
        <v>486</v>
      </c>
      <c r="U299" s="26">
        <v>0</v>
      </c>
    </row>
    <row r="300" spans="1:21">
      <c r="A300" s="48">
        <v>62</v>
      </c>
      <c r="B300" s="81"/>
      <c r="C300" s="81"/>
      <c r="D300" s="81"/>
      <c r="E300" s="80"/>
      <c r="F300" s="80"/>
      <c r="G300" s="26" t="s">
        <v>14</v>
      </c>
      <c r="H300" s="26" t="s">
        <v>853</v>
      </c>
      <c r="I300" s="26">
        <v>37</v>
      </c>
      <c r="J300" s="26">
        <v>163</v>
      </c>
      <c r="K300" s="26" t="s">
        <v>854</v>
      </c>
      <c r="L300" s="26" t="s">
        <v>36</v>
      </c>
      <c r="M300" s="26" t="s">
        <v>93</v>
      </c>
      <c r="N300" s="26" t="s">
        <v>855</v>
      </c>
      <c r="O300" s="26" t="s">
        <v>856</v>
      </c>
      <c r="P300" s="26" t="s">
        <v>9</v>
      </c>
      <c r="Q300" s="26" t="s">
        <v>10</v>
      </c>
      <c r="R300" s="26" t="s">
        <v>10</v>
      </c>
      <c r="S300" s="26" t="s">
        <v>857</v>
      </c>
      <c r="T300" s="26" t="s">
        <v>858</v>
      </c>
      <c r="U300" s="26">
        <v>0</v>
      </c>
    </row>
    <row r="301" spans="1:21">
      <c r="A301" s="48">
        <v>154</v>
      </c>
      <c r="B301" s="81"/>
      <c r="C301" s="81"/>
      <c r="D301" s="81"/>
      <c r="E301" s="80"/>
      <c r="F301" s="80"/>
      <c r="G301" s="36" t="s">
        <v>14</v>
      </c>
      <c r="H301" s="26" t="s">
        <v>708</v>
      </c>
      <c r="I301" s="26">
        <v>37</v>
      </c>
      <c r="J301" s="26">
        <v>164</v>
      </c>
      <c r="K301" s="26" t="s">
        <v>709</v>
      </c>
      <c r="L301" s="26" t="s">
        <v>39</v>
      </c>
      <c r="M301" s="26" t="s">
        <v>65</v>
      </c>
      <c r="N301" s="26" t="s">
        <v>203</v>
      </c>
      <c r="O301" s="26" t="s">
        <v>10</v>
      </c>
      <c r="P301" s="26" t="s">
        <v>9</v>
      </c>
      <c r="Q301" s="26" t="s">
        <v>29</v>
      </c>
      <c r="R301" s="26" t="s">
        <v>324</v>
      </c>
      <c r="S301" s="26" t="s">
        <v>710</v>
      </c>
      <c r="T301" s="26" t="s">
        <v>711</v>
      </c>
      <c r="U301" s="26">
        <v>0</v>
      </c>
    </row>
    <row r="302" spans="1:21">
      <c r="A302" s="48">
        <v>190</v>
      </c>
      <c r="B302" s="81"/>
      <c r="C302" s="81"/>
      <c r="D302" s="81"/>
      <c r="E302" s="80"/>
      <c r="F302" s="80"/>
      <c r="G302" s="36" t="s">
        <v>14</v>
      </c>
      <c r="H302" s="26" t="s">
        <v>744</v>
      </c>
      <c r="I302" s="26">
        <v>37</v>
      </c>
      <c r="J302" s="26">
        <v>165</v>
      </c>
      <c r="K302" s="26" t="s">
        <v>745</v>
      </c>
      <c r="L302" s="26" t="s">
        <v>465</v>
      </c>
      <c r="M302" s="26" t="s">
        <v>93</v>
      </c>
      <c r="N302" s="26" t="s">
        <v>746</v>
      </c>
      <c r="O302" s="26" t="s">
        <v>747</v>
      </c>
      <c r="P302" s="26" t="s">
        <v>9</v>
      </c>
      <c r="Q302" s="26" t="s">
        <v>29</v>
      </c>
      <c r="R302" s="26" t="s">
        <v>10</v>
      </c>
      <c r="S302" s="26" t="s">
        <v>748</v>
      </c>
      <c r="T302" s="26" t="s">
        <v>749</v>
      </c>
      <c r="U302" s="26">
        <v>0</v>
      </c>
    </row>
    <row r="303" spans="1:21">
      <c r="A303" s="48">
        <v>113</v>
      </c>
      <c r="B303" s="81"/>
      <c r="C303" s="81"/>
      <c r="D303" s="81"/>
      <c r="E303" s="80"/>
      <c r="F303" s="80"/>
      <c r="G303" s="26" t="s">
        <v>14</v>
      </c>
      <c r="H303" s="26" t="s">
        <v>261</v>
      </c>
      <c r="I303" s="26">
        <v>37</v>
      </c>
      <c r="J303" s="26">
        <v>168</v>
      </c>
      <c r="K303" s="26" t="s">
        <v>262</v>
      </c>
      <c r="L303" s="26" t="s">
        <v>39</v>
      </c>
      <c r="M303" s="26" t="s">
        <v>93</v>
      </c>
      <c r="N303" s="26" t="s">
        <v>263</v>
      </c>
      <c r="O303" s="26" t="s">
        <v>10</v>
      </c>
      <c r="P303" s="26">
        <v>0</v>
      </c>
      <c r="Q303" s="26">
        <v>0</v>
      </c>
      <c r="R303" s="26">
        <v>0</v>
      </c>
      <c r="S303" s="26" t="s">
        <v>264</v>
      </c>
      <c r="T303" s="26">
        <v>0</v>
      </c>
      <c r="U303" s="26">
        <v>0</v>
      </c>
    </row>
    <row r="304" spans="1:21">
      <c r="A304" s="48">
        <v>239</v>
      </c>
      <c r="B304" s="87"/>
      <c r="C304" s="87"/>
      <c r="D304" s="87"/>
      <c r="G304" s="26" t="s">
        <v>14</v>
      </c>
      <c r="H304" s="26" t="s">
        <v>1298</v>
      </c>
      <c r="I304" s="26">
        <v>37</v>
      </c>
      <c r="J304" s="26">
        <v>163</v>
      </c>
      <c r="K304" s="26" t="s">
        <v>1299</v>
      </c>
      <c r="L304" s="26" t="s">
        <v>466</v>
      </c>
      <c r="M304" s="26" t="s">
        <v>15</v>
      </c>
      <c r="N304" s="26" t="s">
        <v>37</v>
      </c>
      <c r="O304" s="26" t="s">
        <v>10</v>
      </c>
      <c r="P304" s="26" t="s">
        <v>9</v>
      </c>
      <c r="Q304" s="26" t="s">
        <v>29</v>
      </c>
      <c r="R304" s="26" t="s">
        <v>10</v>
      </c>
      <c r="S304" s="26" t="s">
        <v>1300</v>
      </c>
      <c r="T304" s="26" t="s">
        <v>1301</v>
      </c>
      <c r="U304" s="26">
        <v>0</v>
      </c>
    </row>
    <row r="305" spans="1:21">
      <c r="A305" s="48">
        <v>232</v>
      </c>
      <c r="B305" s="88"/>
      <c r="C305" s="88"/>
      <c r="D305" s="88"/>
      <c r="G305" s="26" t="s">
        <v>14</v>
      </c>
      <c r="H305" s="26" t="s">
        <v>1246</v>
      </c>
      <c r="I305" s="26">
        <v>37</v>
      </c>
      <c r="J305" s="26">
        <v>168</v>
      </c>
      <c r="K305" s="26" t="s">
        <v>1247</v>
      </c>
      <c r="L305" s="26" t="s">
        <v>461</v>
      </c>
      <c r="M305" s="26" t="s">
        <v>15</v>
      </c>
      <c r="N305" s="26" t="s">
        <v>480</v>
      </c>
      <c r="O305" s="26" t="s">
        <v>219</v>
      </c>
      <c r="P305" s="26" t="s">
        <v>31</v>
      </c>
      <c r="Q305" s="26" t="s">
        <v>57</v>
      </c>
      <c r="R305" s="26" t="s">
        <v>10</v>
      </c>
      <c r="S305" s="26" t="s">
        <v>1248</v>
      </c>
      <c r="T305" s="26" t="s">
        <v>1249</v>
      </c>
      <c r="U305" s="26">
        <v>0</v>
      </c>
    </row>
    <row r="306" spans="1:21">
      <c r="A306" s="107">
        <v>367</v>
      </c>
      <c r="B306" s="81"/>
      <c r="C306" s="81"/>
      <c r="D306" s="81"/>
      <c r="E306" s="80"/>
      <c r="F306" s="81"/>
      <c r="G306" s="26" t="s">
        <v>14</v>
      </c>
      <c r="H306" s="26" t="s">
        <v>2720</v>
      </c>
      <c r="I306" s="26">
        <v>37</v>
      </c>
      <c r="J306" s="26">
        <v>166</v>
      </c>
      <c r="K306" s="26" t="s">
        <v>2662</v>
      </c>
      <c r="L306" s="26" t="s">
        <v>465</v>
      </c>
      <c r="M306" s="26" t="s">
        <v>15</v>
      </c>
      <c r="N306" s="4" t="s">
        <v>72</v>
      </c>
      <c r="O306" s="4" t="s">
        <v>2721</v>
      </c>
      <c r="P306" s="4" t="s">
        <v>9</v>
      </c>
      <c r="Q306" s="4" t="s">
        <v>63</v>
      </c>
      <c r="R306" s="4" t="s">
        <v>1536</v>
      </c>
      <c r="S306" s="4" t="s">
        <v>2722</v>
      </c>
      <c r="T306" s="4" t="s">
        <v>2723</v>
      </c>
      <c r="U306" s="4" t="s">
        <v>2668</v>
      </c>
    </row>
    <row r="307" spans="1:21">
      <c r="A307" s="48">
        <v>245</v>
      </c>
      <c r="B307" s="86">
        <v>1</v>
      </c>
      <c r="C307" s="86"/>
      <c r="D307" s="86"/>
      <c r="G307" s="26" t="s">
        <v>8</v>
      </c>
      <c r="H307" s="26" t="s">
        <v>1328</v>
      </c>
      <c r="I307" s="26">
        <v>38</v>
      </c>
      <c r="J307" s="26">
        <v>170</v>
      </c>
      <c r="K307" s="26" t="s">
        <v>1330</v>
      </c>
      <c r="L307" s="26" t="s">
        <v>36</v>
      </c>
      <c r="M307" s="26" t="s">
        <v>591</v>
      </c>
      <c r="N307" s="26" t="s">
        <v>35</v>
      </c>
      <c r="O307" s="26" t="s">
        <v>10</v>
      </c>
      <c r="P307" s="26" t="s">
        <v>9</v>
      </c>
      <c r="Q307" s="26" t="s">
        <v>10</v>
      </c>
      <c r="R307" s="26" t="s">
        <v>10</v>
      </c>
      <c r="S307" s="26" t="s">
        <v>1331</v>
      </c>
      <c r="T307" s="26" t="s">
        <v>1332</v>
      </c>
      <c r="U307" s="26">
        <v>0</v>
      </c>
    </row>
    <row r="308" spans="1:21">
      <c r="A308" s="48">
        <v>83</v>
      </c>
      <c r="B308" s="81"/>
      <c r="C308" s="81"/>
      <c r="D308" s="81"/>
      <c r="E308" s="80"/>
      <c r="F308" s="80"/>
      <c r="G308" s="26" t="s">
        <v>8</v>
      </c>
      <c r="H308" s="26" t="s">
        <v>515</v>
      </c>
      <c r="I308" s="26">
        <v>38</v>
      </c>
      <c r="J308" s="26">
        <v>172</v>
      </c>
      <c r="K308" s="26" t="s">
        <v>516</v>
      </c>
      <c r="L308" s="26" t="s">
        <v>767</v>
      </c>
      <c r="M308" s="26" t="s">
        <v>772</v>
      </c>
      <c r="N308" s="26" t="s">
        <v>68</v>
      </c>
      <c r="O308" s="26" t="s">
        <v>10</v>
      </c>
      <c r="P308" s="26" t="s">
        <v>9</v>
      </c>
      <c r="Q308" s="26" t="s">
        <v>29</v>
      </c>
      <c r="R308" s="26" t="s">
        <v>10</v>
      </c>
      <c r="S308" s="26" t="s">
        <v>517</v>
      </c>
      <c r="T308" s="26" t="s">
        <v>518</v>
      </c>
      <c r="U308" s="26">
        <v>0</v>
      </c>
    </row>
    <row r="309" spans="1:21">
      <c r="A309" s="48">
        <v>32</v>
      </c>
      <c r="B309" s="80"/>
      <c r="C309" s="80"/>
      <c r="D309" s="80"/>
      <c r="E309" s="80"/>
      <c r="F309" s="80"/>
      <c r="G309" s="26" t="s">
        <v>8</v>
      </c>
      <c r="H309" s="26" t="s">
        <v>936</v>
      </c>
      <c r="I309" s="26">
        <v>38</v>
      </c>
      <c r="J309" s="26">
        <v>168</v>
      </c>
      <c r="K309" s="26" t="s">
        <v>938</v>
      </c>
      <c r="L309" s="26" t="s">
        <v>462</v>
      </c>
      <c r="M309" s="26" t="s">
        <v>22</v>
      </c>
      <c r="N309" s="26" t="s">
        <v>24</v>
      </c>
      <c r="O309" s="26" t="s">
        <v>939</v>
      </c>
      <c r="P309" s="26" t="s">
        <v>224</v>
      </c>
      <c r="Q309" s="26" t="s">
        <v>29</v>
      </c>
      <c r="R309" s="26" t="s">
        <v>941</v>
      </c>
      <c r="S309" s="26" t="s">
        <v>940</v>
      </c>
      <c r="T309" s="26">
        <v>0</v>
      </c>
      <c r="U309" s="26">
        <v>0</v>
      </c>
    </row>
    <row r="310" spans="1:21">
      <c r="A310" s="48">
        <v>106</v>
      </c>
      <c r="B310" s="80"/>
      <c r="C310" s="80"/>
      <c r="D310" s="80"/>
      <c r="E310" s="80"/>
      <c r="F310" s="80"/>
      <c r="G310" s="26" t="s">
        <v>8</v>
      </c>
      <c r="H310" s="26" t="s">
        <v>949</v>
      </c>
      <c r="I310" s="26">
        <v>38</v>
      </c>
      <c r="J310" s="26">
        <v>176</v>
      </c>
      <c r="K310" s="26" t="s">
        <v>951</v>
      </c>
      <c r="L310" s="26" t="s">
        <v>25</v>
      </c>
      <c r="M310" s="26" t="s">
        <v>34</v>
      </c>
      <c r="N310" s="26" t="s">
        <v>480</v>
      </c>
      <c r="O310" s="26" t="s">
        <v>10</v>
      </c>
      <c r="P310" s="26" t="s">
        <v>9</v>
      </c>
      <c r="Q310" s="26" t="s">
        <v>10</v>
      </c>
      <c r="R310" s="26" t="s">
        <v>10</v>
      </c>
      <c r="S310" s="26" t="s">
        <v>249</v>
      </c>
      <c r="T310" s="26" t="s">
        <v>952</v>
      </c>
      <c r="U310" s="26">
        <v>0</v>
      </c>
    </row>
    <row r="311" spans="1:21">
      <c r="A311" s="48">
        <v>117</v>
      </c>
      <c r="B311" s="80"/>
      <c r="C311" s="80"/>
      <c r="D311" s="80"/>
      <c r="E311" s="80"/>
      <c r="F311" s="80"/>
      <c r="G311" s="26" t="s">
        <v>8</v>
      </c>
      <c r="H311" s="26" t="s">
        <v>352</v>
      </c>
      <c r="I311" s="26">
        <v>38</v>
      </c>
      <c r="J311" s="26">
        <v>188</v>
      </c>
      <c r="K311" s="26" t="s">
        <v>353</v>
      </c>
      <c r="L311" s="26" t="s">
        <v>25</v>
      </c>
      <c r="M311" s="26" t="s">
        <v>34</v>
      </c>
      <c r="N311" s="26" t="s">
        <v>59</v>
      </c>
      <c r="O311" s="26" t="s">
        <v>10</v>
      </c>
      <c r="P311" s="26" t="s">
        <v>9</v>
      </c>
      <c r="Q311" s="26" t="s">
        <v>29</v>
      </c>
      <c r="R311" s="26" t="s">
        <v>10</v>
      </c>
      <c r="S311" s="26" t="s">
        <v>354</v>
      </c>
      <c r="T311" s="26" t="s">
        <v>355</v>
      </c>
      <c r="U311" s="26" t="s">
        <v>356</v>
      </c>
    </row>
    <row r="312" spans="1:21">
      <c r="A312" s="48">
        <v>134</v>
      </c>
      <c r="B312" s="81"/>
      <c r="C312" s="81"/>
      <c r="D312" s="81"/>
      <c r="E312" s="80"/>
      <c r="F312" s="80"/>
      <c r="G312" s="26" t="s">
        <v>8</v>
      </c>
      <c r="H312" s="26" t="s">
        <v>847</v>
      </c>
      <c r="I312" s="26">
        <v>38</v>
      </c>
      <c r="J312" s="26">
        <v>178.8</v>
      </c>
      <c r="K312" s="26" t="s">
        <v>849</v>
      </c>
      <c r="L312" s="26" t="s">
        <v>25</v>
      </c>
      <c r="M312" s="26" t="s">
        <v>34</v>
      </c>
      <c r="N312" s="26" t="s">
        <v>35</v>
      </c>
      <c r="O312" s="26" t="s">
        <v>10</v>
      </c>
      <c r="P312" s="26" t="s">
        <v>9</v>
      </c>
      <c r="Q312" s="26" t="s">
        <v>29</v>
      </c>
      <c r="R312" s="26" t="s">
        <v>10</v>
      </c>
      <c r="S312" s="26" t="s">
        <v>850</v>
      </c>
      <c r="T312" s="26" t="s">
        <v>851</v>
      </c>
      <c r="U312" s="26" t="s">
        <v>852</v>
      </c>
    </row>
    <row r="313" spans="1:21">
      <c r="A313" s="48">
        <v>187</v>
      </c>
      <c r="B313" s="81"/>
      <c r="C313" s="81"/>
      <c r="D313" s="81"/>
      <c r="E313" s="80"/>
      <c r="F313" s="80"/>
      <c r="G313" s="26" t="s">
        <v>8</v>
      </c>
      <c r="H313" s="26" t="s">
        <v>827</v>
      </c>
      <c r="I313" s="26">
        <v>38</v>
      </c>
      <c r="J313" s="26">
        <v>171</v>
      </c>
      <c r="K313" s="26" t="s">
        <v>828</v>
      </c>
      <c r="L313" s="26" t="s">
        <v>25</v>
      </c>
      <c r="M313" s="26" t="s">
        <v>10</v>
      </c>
      <c r="N313" s="26" t="s">
        <v>85</v>
      </c>
      <c r="O313" s="26" t="s">
        <v>10</v>
      </c>
      <c r="P313" s="26" t="s">
        <v>9</v>
      </c>
      <c r="Q313" s="26" t="s">
        <v>10</v>
      </c>
      <c r="R313" s="26" t="s">
        <v>10</v>
      </c>
      <c r="S313" s="26" t="s">
        <v>829</v>
      </c>
      <c r="T313" s="26">
        <v>0</v>
      </c>
      <c r="U313" s="26" t="s">
        <v>830</v>
      </c>
    </row>
    <row r="314" spans="1:21">
      <c r="A314" s="48">
        <v>128</v>
      </c>
      <c r="B314" s="81">
        <v>1</v>
      </c>
      <c r="C314" s="81"/>
      <c r="D314" s="81"/>
      <c r="E314" s="80"/>
      <c r="F314" s="80"/>
      <c r="G314" s="26" t="s">
        <v>14</v>
      </c>
      <c r="H314" s="26" t="s">
        <v>373</v>
      </c>
      <c r="I314" s="26">
        <v>38</v>
      </c>
      <c r="J314" s="26">
        <v>155</v>
      </c>
      <c r="K314" s="26" t="s">
        <v>374</v>
      </c>
      <c r="L314" s="26" t="s">
        <v>36</v>
      </c>
      <c r="M314" s="26" t="s">
        <v>55</v>
      </c>
      <c r="N314" s="26" t="s">
        <v>12</v>
      </c>
      <c r="O314" s="26" t="s">
        <v>375</v>
      </c>
      <c r="P314" s="26" t="s">
        <v>9</v>
      </c>
      <c r="Q314" s="26" t="s">
        <v>29</v>
      </c>
      <c r="R314" s="26" t="s">
        <v>10</v>
      </c>
      <c r="S314" s="26" t="s">
        <v>376</v>
      </c>
      <c r="T314" s="26" t="s">
        <v>377</v>
      </c>
      <c r="U314" s="26">
        <v>0</v>
      </c>
    </row>
    <row r="315" spans="1:21">
      <c r="A315" s="48">
        <v>337</v>
      </c>
      <c r="B315" s="79" t="s">
        <v>1896</v>
      </c>
      <c r="G315" s="26" t="s">
        <v>14</v>
      </c>
      <c r="H315" s="26" t="s">
        <v>1881</v>
      </c>
      <c r="I315" s="26">
        <v>38</v>
      </c>
      <c r="J315" s="26">
        <v>157</v>
      </c>
      <c r="K315" s="26" t="s">
        <v>1882</v>
      </c>
      <c r="L315" s="26" t="s">
        <v>465</v>
      </c>
      <c r="M315" s="26" t="s">
        <v>55</v>
      </c>
      <c r="N315" s="26" t="s">
        <v>18</v>
      </c>
      <c r="O315" s="4" t="s">
        <v>10</v>
      </c>
      <c r="P315" s="4" t="s">
        <v>9</v>
      </c>
      <c r="Q315" s="4" t="s">
        <v>29</v>
      </c>
      <c r="R315" s="4" t="s">
        <v>10</v>
      </c>
      <c r="S315" s="4" t="s">
        <v>1883</v>
      </c>
      <c r="T315" s="4" t="s">
        <v>1884</v>
      </c>
      <c r="U315" s="4">
        <v>0</v>
      </c>
    </row>
    <row r="316" spans="1:21">
      <c r="A316" s="48">
        <v>206</v>
      </c>
      <c r="B316" s="85" t="s">
        <v>1121</v>
      </c>
      <c r="C316" s="85"/>
      <c r="D316" s="85"/>
      <c r="E316" s="80"/>
      <c r="F316" s="80"/>
      <c r="G316" s="26" t="s">
        <v>14</v>
      </c>
      <c r="H316" s="26" t="s">
        <v>127</v>
      </c>
      <c r="I316" s="26">
        <v>38</v>
      </c>
      <c r="J316" s="26">
        <v>164</v>
      </c>
      <c r="K316" s="26" t="s">
        <v>128</v>
      </c>
      <c r="L316" s="26" t="s">
        <v>36</v>
      </c>
      <c r="M316" s="26" t="s">
        <v>93</v>
      </c>
      <c r="N316" s="26" t="s">
        <v>59</v>
      </c>
      <c r="O316" s="26" t="s">
        <v>114</v>
      </c>
      <c r="P316" s="26" t="s">
        <v>9</v>
      </c>
      <c r="Q316" s="26" t="s">
        <v>29</v>
      </c>
      <c r="R316" s="26" t="s">
        <v>11</v>
      </c>
      <c r="S316" s="26" t="s">
        <v>129</v>
      </c>
      <c r="T316" s="26" t="s">
        <v>130</v>
      </c>
      <c r="U316" s="26" t="s">
        <v>131</v>
      </c>
    </row>
    <row r="317" spans="1:21">
      <c r="A317" s="48">
        <v>296</v>
      </c>
      <c r="B317" s="84"/>
      <c r="C317" s="84"/>
      <c r="D317" s="84"/>
      <c r="G317" s="26" t="s">
        <v>14</v>
      </c>
      <c r="H317" s="26" t="s">
        <v>1211</v>
      </c>
      <c r="I317" s="26">
        <v>38</v>
      </c>
      <c r="J317" s="26">
        <v>158</v>
      </c>
      <c r="K317" s="26" t="s">
        <v>1628</v>
      </c>
      <c r="L317" s="26" t="s">
        <v>466</v>
      </c>
      <c r="M317" s="26" t="s">
        <v>468</v>
      </c>
      <c r="N317" s="26" t="s">
        <v>28</v>
      </c>
      <c r="O317" s="26" t="s">
        <v>1142</v>
      </c>
      <c r="P317" s="26" t="s">
        <v>224</v>
      </c>
      <c r="Q317" s="26" t="s">
        <v>29</v>
      </c>
      <c r="R317" s="26" t="s">
        <v>1367</v>
      </c>
      <c r="S317" s="26" t="s">
        <v>1671</v>
      </c>
      <c r="T317" s="26" t="s">
        <v>271</v>
      </c>
      <c r="U317" s="26">
        <v>0</v>
      </c>
    </row>
    <row r="318" spans="1:21">
      <c r="A318" s="48">
        <v>322</v>
      </c>
      <c r="B318" s="81"/>
      <c r="C318" s="81"/>
      <c r="D318" s="81"/>
      <c r="E318" s="80"/>
      <c r="F318" s="80"/>
      <c r="G318" s="36" t="s">
        <v>14</v>
      </c>
      <c r="H318" s="26" t="s">
        <v>1785</v>
      </c>
      <c r="I318" s="26">
        <v>38</v>
      </c>
      <c r="J318" s="26">
        <v>172</v>
      </c>
      <c r="K318" s="26" t="s">
        <v>1786</v>
      </c>
      <c r="L318" s="26" t="s">
        <v>36</v>
      </c>
      <c r="M318" s="26" t="s">
        <v>65</v>
      </c>
      <c r="N318" s="26" t="s">
        <v>18</v>
      </c>
      <c r="O318" s="26" t="s">
        <v>10</v>
      </c>
      <c r="P318" s="26" t="s">
        <v>31</v>
      </c>
      <c r="Q318" s="26" t="s">
        <v>10</v>
      </c>
      <c r="R318" s="26" t="s">
        <v>10</v>
      </c>
      <c r="S318" s="26" t="s">
        <v>1787</v>
      </c>
      <c r="T318" s="26" t="s">
        <v>1788</v>
      </c>
      <c r="U318" s="26">
        <v>0</v>
      </c>
    </row>
    <row r="319" spans="1:21">
      <c r="A319" s="48">
        <v>259</v>
      </c>
      <c r="B319" s="89"/>
      <c r="C319" s="89"/>
      <c r="D319" s="89"/>
      <c r="G319" s="26" t="s">
        <v>14</v>
      </c>
      <c r="H319" s="26" t="s">
        <v>216</v>
      </c>
      <c r="I319" s="26">
        <v>38</v>
      </c>
      <c r="J319" s="26">
        <v>161</v>
      </c>
      <c r="K319" s="26" t="s">
        <v>1433</v>
      </c>
      <c r="L319" s="26" t="s">
        <v>466</v>
      </c>
      <c r="M319" s="26" t="s">
        <v>55</v>
      </c>
      <c r="N319" s="26" t="s">
        <v>18</v>
      </c>
      <c r="O319" s="26" t="s">
        <v>1434</v>
      </c>
      <c r="P319" s="26" t="s">
        <v>9</v>
      </c>
      <c r="Q319" s="26" t="s">
        <v>29</v>
      </c>
      <c r="R319" s="26" t="s">
        <v>133</v>
      </c>
      <c r="S319" s="26" t="s">
        <v>808</v>
      </c>
      <c r="T319" s="26" t="s">
        <v>1435</v>
      </c>
      <c r="U319" s="26">
        <v>0</v>
      </c>
    </row>
    <row r="320" spans="1:21">
      <c r="A320" s="48">
        <v>224</v>
      </c>
      <c r="B320" s="88"/>
      <c r="C320" s="88"/>
      <c r="D320" s="88"/>
      <c r="E320" s="80"/>
      <c r="F320" s="80"/>
      <c r="G320" s="26" t="s">
        <v>14</v>
      </c>
      <c r="H320" s="26" t="s">
        <v>1211</v>
      </c>
      <c r="I320" s="26">
        <v>38</v>
      </c>
      <c r="J320" s="26">
        <v>158</v>
      </c>
      <c r="K320" s="26" t="s">
        <v>1213</v>
      </c>
      <c r="L320" s="26" t="s">
        <v>466</v>
      </c>
      <c r="M320" s="26" t="s">
        <v>458</v>
      </c>
      <c r="N320" s="26" t="s">
        <v>68</v>
      </c>
      <c r="O320" s="26" t="s">
        <v>10</v>
      </c>
      <c r="P320" s="26" t="s">
        <v>224</v>
      </c>
      <c r="Q320" s="26" t="s">
        <v>29</v>
      </c>
      <c r="R320" s="26" t="s">
        <v>10</v>
      </c>
      <c r="S320" s="26" t="s">
        <v>1214</v>
      </c>
      <c r="T320" s="26" t="s">
        <v>271</v>
      </c>
      <c r="U320" s="26">
        <v>0</v>
      </c>
    </row>
    <row r="321" spans="1:21">
      <c r="A321" s="48">
        <v>202</v>
      </c>
      <c r="B321" s="85"/>
      <c r="C321" s="85"/>
      <c r="D321" s="85"/>
      <c r="E321" s="80"/>
      <c r="F321" s="80"/>
      <c r="G321" s="26" t="s">
        <v>14</v>
      </c>
      <c r="H321" s="26" t="s">
        <v>227</v>
      </c>
      <c r="I321" s="26">
        <v>38</v>
      </c>
      <c r="J321" s="26">
        <v>159</v>
      </c>
      <c r="K321" s="26" t="s">
        <v>228</v>
      </c>
      <c r="L321" s="26" t="s">
        <v>466</v>
      </c>
      <c r="M321" s="26" t="s">
        <v>55</v>
      </c>
      <c r="N321" s="26" t="s">
        <v>85</v>
      </c>
      <c r="O321" s="26" t="s">
        <v>10</v>
      </c>
      <c r="P321" s="26" t="s">
        <v>49</v>
      </c>
      <c r="Q321" s="26" t="s">
        <v>10</v>
      </c>
      <c r="R321" s="26" t="s">
        <v>10</v>
      </c>
      <c r="S321" s="26" t="s">
        <v>229</v>
      </c>
      <c r="T321" s="26" t="s">
        <v>230</v>
      </c>
      <c r="U321" s="26">
        <v>0</v>
      </c>
    </row>
    <row r="322" spans="1:21">
      <c r="A322" s="48">
        <v>196</v>
      </c>
      <c r="B322" s="85"/>
      <c r="C322" s="85"/>
      <c r="D322" s="85"/>
      <c r="E322" s="80"/>
      <c r="F322" s="80"/>
      <c r="G322" s="36" t="s">
        <v>14</v>
      </c>
      <c r="H322" s="26" t="s">
        <v>216</v>
      </c>
      <c r="I322" s="26">
        <v>38</v>
      </c>
      <c r="J322" s="26">
        <v>161</v>
      </c>
      <c r="K322" s="26" t="s">
        <v>218</v>
      </c>
      <c r="L322" s="26" t="s">
        <v>466</v>
      </c>
      <c r="M322" s="26" t="s">
        <v>468</v>
      </c>
      <c r="N322" s="26" t="s">
        <v>18</v>
      </c>
      <c r="O322" s="26" t="s">
        <v>219</v>
      </c>
      <c r="P322" s="26" t="s">
        <v>9</v>
      </c>
      <c r="Q322" s="26" t="s">
        <v>29</v>
      </c>
      <c r="R322" s="26" t="s">
        <v>10</v>
      </c>
      <c r="S322" s="26" t="s">
        <v>220</v>
      </c>
      <c r="T322" s="26" t="s">
        <v>221</v>
      </c>
      <c r="U322" s="26">
        <v>0</v>
      </c>
    </row>
    <row r="323" spans="1:21" ht="18" customHeight="1">
      <c r="A323" s="48">
        <v>53</v>
      </c>
      <c r="B323" s="81"/>
      <c r="C323" s="81"/>
      <c r="D323" s="81"/>
      <c r="E323" s="80"/>
      <c r="F323" s="80"/>
      <c r="G323" s="26" t="s">
        <v>14</v>
      </c>
      <c r="H323" s="26" t="s">
        <v>58</v>
      </c>
      <c r="I323" s="26">
        <v>38</v>
      </c>
      <c r="J323" s="26">
        <v>162</v>
      </c>
      <c r="K323" s="26" t="s">
        <v>672</v>
      </c>
      <c r="L323" s="26" t="s">
        <v>466</v>
      </c>
      <c r="M323" s="26" t="s">
        <v>458</v>
      </c>
      <c r="N323" s="26" t="s">
        <v>252</v>
      </c>
      <c r="O323" s="26" t="s">
        <v>10</v>
      </c>
      <c r="P323" s="26" t="s">
        <v>9</v>
      </c>
      <c r="Q323" s="26" t="s">
        <v>29</v>
      </c>
      <c r="R323" s="26" t="s">
        <v>73</v>
      </c>
      <c r="S323" s="26" t="s">
        <v>673</v>
      </c>
      <c r="T323" s="26" t="s">
        <v>674</v>
      </c>
      <c r="U323" s="26">
        <v>0</v>
      </c>
    </row>
    <row r="324" spans="1:21" ht="18" customHeight="1">
      <c r="A324" s="48">
        <v>110</v>
      </c>
      <c r="B324" s="81"/>
      <c r="C324" s="81"/>
      <c r="D324" s="81"/>
      <c r="E324" s="80"/>
      <c r="F324" s="80"/>
      <c r="G324" s="36" t="s">
        <v>14</v>
      </c>
      <c r="H324" s="26" t="s">
        <v>1047</v>
      </c>
      <c r="I324" s="26">
        <v>38</v>
      </c>
      <c r="J324" s="26">
        <v>163</v>
      </c>
      <c r="K324" s="26" t="s">
        <v>1048</v>
      </c>
      <c r="L324" s="26" t="s">
        <v>466</v>
      </c>
      <c r="M324" s="26" t="s">
        <v>93</v>
      </c>
      <c r="N324" s="26" t="s">
        <v>13</v>
      </c>
      <c r="O324" s="26" t="s">
        <v>10</v>
      </c>
      <c r="P324" s="26" t="s">
        <v>9</v>
      </c>
      <c r="Q324" s="26" t="s">
        <v>57</v>
      </c>
      <c r="R324" s="26" t="s">
        <v>10</v>
      </c>
      <c r="S324" s="26" t="s">
        <v>1049</v>
      </c>
      <c r="T324" s="26" t="s">
        <v>1050</v>
      </c>
      <c r="U324" s="26">
        <v>0</v>
      </c>
    </row>
    <row r="325" spans="1:21" ht="18" customHeight="1">
      <c r="A325" s="48">
        <v>161</v>
      </c>
      <c r="B325" s="81"/>
      <c r="C325" s="81"/>
      <c r="D325" s="81"/>
      <c r="E325" s="80"/>
      <c r="F325" s="80"/>
      <c r="G325" s="36" t="s">
        <v>14</v>
      </c>
      <c r="H325" s="26" t="s">
        <v>191</v>
      </c>
      <c r="I325" s="26">
        <v>38</v>
      </c>
      <c r="J325" s="26">
        <v>164</v>
      </c>
      <c r="K325" s="26" t="s">
        <v>192</v>
      </c>
      <c r="L325" s="26" t="s">
        <v>465</v>
      </c>
      <c r="M325" s="26" t="s">
        <v>458</v>
      </c>
      <c r="N325" s="26" t="s">
        <v>76</v>
      </c>
      <c r="O325" s="26" t="s">
        <v>193</v>
      </c>
      <c r="P325" s="26" t="s">
        <v>49</v>
      </c>
      <c r="Q325" s="26" t="s">
        <v>29</v>
      </c>
      <c r="R325" s="26" t="s">
        <v>196</v>
      </c>
      <c r="S325" s="26" t="s">
        <v>194</v>
      </c>
      <c r="T325" s="26" t="s">
        <v>195</v>
      </c>
      <c r="U325" s="26">
        <v>0</v>
      </c>
    </row>
    <row r="326" spans="1:21" ht="18" customHeight="1">
      <c r="A326" s="48">
        <v>36</v>
      </c>
      <c r="B326" s="81"/>
      <c r="C326" s="81"/>
      <c r="D326" s="81"/>
      <c r="E326" s="80"/>
      <c r="F326" s="80"/>
      <c r="G326" s="26" t="s">
        <v>14</v>
      </c>
      <c r="H326" s="26" t="s">
        <v>478</v>
      </c>
      <c r="I326" s="26">
        <v>38</v>
      </c>
      <c r="J326" s="26">
        <v>167</v>
      </c>
      <c r="K326" s="26" t="s">
        <v>479</v>
      </c>
      <c r="L326" s="26" t="s">
        <v>466</v>
      </c>
      <c r="M326" s="26" t="s">
        <v>93</v>
      </c>
      <c r="N326" s="26" t="s">
        <v>480</v>
      </c>
      <c r="O326" s="26" t="s">
        <v>10</v>
      </c>
      <c r="P326" s="26" t="s">
        <v>9</v>
      </c>
      <c r="Q326" s="26" t="s">
        <v>10</v>
      </c>
      <c r="R326" s="26" t="s">
        <v>10</v>
      </c>
      <c r="S326" s="26" t="s">
        <v>481</v>
      </c>
      <c r="T326" s="26" t="s">
        <v>482</v>
      </c>
      <c r="U326" s="26">
        <v>0</v>
      </c>
    </row>
    <row r="327" spans="1:21" ht="18" customHeight="1">
      <c r="A327" s="48">
        <v>153</v>
      </c>
      <c r="B327" s="81"/>
      <c r="C327" s="81"/>
      <c r="D327" s="81"/>
      <c r="E327" s="80"/>
      <c r="F327" s="80"/>
      <c r="G327" s="26" t="s">
        <v>14</v>
      </c>
      <c r="H327" s="26" t="s">
        <v>175</v>
      </c>
      <c r="I327" s="26">
        <v>38</v>
      </c>
      <c r="J327" s="26">
        <v>169</v>
      </c>
      <c r="K327" s="26" t="s">
        <v>176</v>
      </c>
      <c r="L327" s="26" t="s">
        <v>466</v>
      </c>
      <c r="M327" s="26" t="s">
        <v>93</v>
      </c>
      <c r="N327" s="26" t="s">
        <v>76</v>
      </c>
      <c r="O327" s="26" t="s">
        <v>177</v>
      </c>
      <c r="P327" s="26" t="s">
        <v>9</v>
      </c>
      <c r="Q327" s="26" t="s">
        <v>29</v>
      </c>
      <c r="R327" s="26" t="s">
        <v>10</v>
      </c>
      <c r="S327" s="26" t="s">
        <v>178</v>
      </c>
      <c r="T327" s="26" t="s">
        <v>179</v>
      </c>
      <c r="U327" s="26">
        <v>0</v>
      </c>
    </row>
    <row r="328" spans="1:21" ht="18" customHeight="1">
      <c r="A328" s="48">
        <v>37</v>
      </c>
      <c r="B328" s="81"/>
      <c r="C328" s="81"/>
      <c r="D328" s="81"/>
      <c r="E328" s="80"/>
      <c r="F328" s="80"/>
      <c r="G328" s="26" t="s">
        <v>14</v>
      </c>
      <c r="H328" s="26" t="s">
        <v>165</v>
      </c>
      <c r="I328" s="26">
        <v>38</v>
      </c>
      <c r="J328" s="26">
        <v>170</v>
      </c>
      <c r="K328" s="26" t="s">
        <v>166</v>
      </c>
      <c r="L328" s="26" t="s">
        <v>466</v>
      </c>
      <c r="M328" s="26" t="s">
        <v>93</v>
      </c>
      <c r="N328" s="26" t="s">
        <v>23</v>
      </c>
      <c r="O328" s="26" t="s">
        <v>167</v>
      </c>
      <c r="P328" s="26" t="s">
        <v>9</v>
      </c>
      <c r="Q328" s="26" t="s">
        <v>29</v>
      </c>
      <c r="R328" s="26" t="s">
        <v>10</v>
      </c>
      <c r="S328" s="26" t="s">
        <v>168</v>
      </c>
      <c r="T328" s="26" t="s">
        <v>169</v>
      </c>
      <c r="U328" s="26">
        <v>0</v>
      </c>
    </row>
    <row r="329" spans="1:21" ht="18" customHeight="1">
      <c r="A329" s="48">
        <v>64</v>
      </c>
      <c r="B329" s="81"/>
      <c r="C329" s="81"/>
      <c r="D329" s="81"/>
      <c r="E329" s="80"/>
      <c r="F329" s="80"/>
      <c r="G329" s="47" t="s">
        <v>14</v>
      </c>
      <c r="H329" s="5" t="s">
        <v>397</v>
      </c>
      <c r="I329" s="50">
        <v>38</v>
      </c>
      <c r="J329" s="37">
        <v>170</v>
      </c>
      <c r="K329" s="4" t="s">
        <v>398</v>
      </c>
      <c r="L329" s="4" t="s">
        <v>466</v>
      </c>
      <c r="M329" s="4" t="s">
        <v>458</v>
      </c>
      <c r="N329" s="4" t="s">
        <v>30</v>
      </c>
      <c r="O329" s="4" t="s">
        <v>10</v>
      </c>
      <c r="P329" s="4" t="s">
        <v>9</v>
      </c>
      <c r="Q329" s="4" t="s">
        <v>29</v>
      </c>
      <c r="R329" s="4" t="s">
        <v>11</v>
      </c>
      <c r="S329" s="4" t="s">
        <v>399</v>
      </c>
      <c r="T329" s="4" t="s">
        <v>400</v>
      </c>
      <c r="U329" s="4">
        <v>0</v>
      </c>
    </row>
    <row r="330" spans="1:21" ht="18" customHeight="1">
      <c r="A330" s="48">
        <v>162</v>
      </c>
      <c r="B330" s="81"/>
      <c r="C330" s="81"/>
      <c r="D330" s="81"/>
      <c r="E330" s="80"/>
      <c r="F330" s="80"/>
      <c r="G330" s="36" t="s">
        <v>14</v>
      </c>
      <c r="H330" s="26" t="s">
        <v>123</v>
      </c>
      <c r="I330" s="26">
        <v>38</v>
      </c>
      <c r="J330" s="26">
        <v>160</v>
      </c>
      <c r="K330" s="26" t="s">
        <v>124</v>
      </c>
      <c r="L330" s="26" t="s">
        <v>467</v>
      </c>
      <c r="M330" s="26" t="s">
        <v>15</v>
      </c>
      <c r="N330" s="26" t="s">
        <v>37</v>
      </c>
      <c r="O330" s="26" t="s">
        <v>10</v>
      </c>
      <c r="P330" s="26" t="s">
        <v>9</v>
      </c>
      <c r="Q330" s="26" t="s">
        <v>29</v>
      </c>
      <c r="R330" s="26" t="s">
        <v>10</v>
      </c>
      <c r="S330" s="26" t="s">
        <v>125</v>
      </c>
      <c r="T330" s="26" t="s">
        <v>126</v>
      </c>
      <c r="U330" s="26">
        <v>0</v>
      </c>
    </row>
    <row r="331" spans="1:21" ht="18" customHeight="1">
      <c r="A331" s="48">
        <v>18</v>
      </c>
      <c r="B331" s="81"/>
      <c r="C331" s="81"/>
      <c r="D331" s="81"/>
      <c r="E331" s="80"/>
      <c r="F331" s="80"/>
      <c r="G331" s="36" t="s">
        <v>14</v>
      </c>
      <c r="H331" s="26" t="s">
        <v>142</v>
      </c>
      <c r="I331" s="26">
        <v>38</v>
      </c>
      <c r="J331" s="26">
        <v>161</v>
      </c>
      <c r="K331" s="26" t="s">
        <v>143</v>
      </c>
      <c r="L331" s="26" t="s">
        <v>466</v>
      </c>
      <c r="M331" s="26" t="s">
        <v>15</v>
      </c>
      <c r="N331" s="26" t="s">
        <v>35</v>
      </c>
      <c r="O331" s="26" t="s">
        <v>10</v>
      </c>
      <c r="P331" s="26" t="s">
        <v>9</v>
      </c>
      <c r="Q331" s="26" t="s">
        <v>29</v>
      </c>
      <c r="R331" s="26" t="s">
        <v>11</v>
      </c>
      <c r="S331" s="26" t="s">
        <v>144</v>
      </c>
      <c r="T331" s="26" t="s">
        <v>145</v>
      </c>
      <c r="U331" s="26">
        <v>0</v>
      </c>
    </row>
    <row r="332" spans="1:21" ht="18" customHeight="1">
      <c r="A332" s="48">
        <v>227</v>
      </c>
      <c r="B332" s="88"/>
      <c r="C332" s="88"/>
      <c r="D332" s="88"/>
      <c r="G332" s="26" t="s">
        <v>14</v>
      </c>
      <c r="H332" s="26" t="s">
        <v>1223</v>
      </c>
      <c r="I332" s="26">
        <v>38</v>
      </c>
      <c r="J332" s="26">
        <v>168</v>
      </c>
      <c r="K332" s="26" t="s">
        <v>1224</v>
      </c>
      <c r="L332" s="26" t="s">
        <v>467</v>
      </c>
      <c r="M332" s="26" t="s">
        <v>15</v>
      </c>
      <c r="N332" s="26" t="s">
        <v>12</v>
      </c>
      <c r="O332" s="26" t="s">
        <v>10</v>
      </c>
      <c r="P332" s="26" t="s">
        <v>9</v>
      </c>
      <c r="Q332" s="26" t="s">
        <v>29</v>
      </c>
      <c r="R332" s="26" t="s">
        <v>707</v>
      </c>
      <c r="S332" s="26" t="s">
        <v>1225</v>
      </c>
      <c r="T332" s="26" t="s">
        <v>1226</v>
      </c>
      <c r="U332" s="26">
        <v>0</v>
      </c>
    </row>
    <row r="333" spans="1:21" ht="18" customHeight="1">
      <c r="A333" s="48">
        <v>289</v>
      </c>
      <c r="G333" s="26" t="s">
        <v>8</v>
      </c>
      <c r="H333" s="26" t="s">
        <v>1555</v>
      </c>
      <c r="I333" s="26">
        <v>39</v>
      </c>
      <c r="J333" s="26">
        <v>165</v>
      </c>
      <c r="K333" s="26" t="s">
        <v>529</v>
      </c>
      <c r="L333" s="26" t="s">
        <v>462</v>
      </c>
      <c r="M333" s="26" t="s">
        <v>10</v>
      </c>
      <c r="N333" s="26" t="s">
        <v>13</v>
      </c>
      <c r="O333" s="26" t="s">
        <v>10</v>
      </c>
      <c r="P333" s="26" t="s">
        <v>9</v>
      </c>
      <c r="Q333" s="26" t="s">
        <v>10</v>
      </c>
      <c r="R333" s="26" t="s">
        <v>10</v>
      </c>
      <c r="S333" s="26" t="s">
        <v>1556</v>
      </c>
      <c r="T333" s="26" t="s">
        <v>1557</v>
      </c>
      <c r="U333" s="26">
        <v>0</v>
      </c>
    </row>
    <row r="334" spans="1:21" ht="18" customHeight="1">
      <c r="A334" s="48">
        <v>265</v>
      </c>
      <c r="G334" s="26" t="s">
        <v>8</v>
      </c>
      <c r="H334" s="26" t="s">
        <v>473</v>
      </c>
      <c r="I334" s="26">
        <v>39</v>
      </c>
      <c r="J334" s="26">
        <v>172</v>
      </c>
      <c r="K334" s="26" t="s">
        <v>1460</v>
      </c>
      <c r="L334" s="26" t="s">
        <v>764</v>
      </c>
      <c r="M334" s="26" t="s">
        <v>772</v>
      </c>
      <c r="N334" s="26" t="s">
        <v>35</v>
      </c>
      <c r="O334" s="26" t="s">
        <v>10</v>
      </c>
      <c r="P334" s="26" t="s">
        <v>9</v>
      </c>
      <c r="Q334" s="26" t="s">
        <v>10</v>
      </c>
      <c r="R334" s="26" t="s">
        <v>646</v>
      </c>
      <c r="S334" s="26" t="s">
        <v>1461</v>
      </c>
      <c r="T334" s="26" t="s">
        <v>1462</v>
      </c>
      <c r="U334" s="26">
        <v>0</v>
      </c>
    </row>
    <row r="335" spans="1:21" ht="18" customHeight="1">
      <c r="A335" s="48">
        <v>79</v>
      </c>
      <c r="B335" s="80"/>
      <c r="C335" s="80"/>
      <c r="D335" s="80"/>
      <c r="E335" s="80"/>
      <c r="F335" s="80"/>
      <c r="G335" s="26" t="s">
        <v>8</v>
      </c>
      <c r="H335" s="26" t="s">
        <v>170</v>
      </c>
      <c r="I335" s="26">
        <v>39</v>
      </c>
      <c r="J335" s="26">
        <v>177</v>
      </c>
      <c r="K335" s="26" t="s">
        <v>171</v>
      </c>
      <c r="L335" s="26" t="s">
        <v>36</v>
      </c>
      <c r="M335" s="26" t="s">
        <v>774</v>
      </c>
      <c r="N335" s="26" t="s">
        <v>66</v>
      </c>
      <c r="O335" s="26" t="s">
        <v>10</v>
      </c>
      <c r="P335" s="26" t="s">
        <v>9</v>
      </c>
      <c r="Q335" s="26" t="s">
        <v>10</v>
      </c>
      <c r="R335" s="26" t="s">
        <v>10</v>
      </c>
      <c r="S335" s="26" t="s">
        <v>172</v>
      </c>
      <c r="T335" s="26" t="s">
        <v>173</v>
      </c>
      <c r="U335" s="26" t="s">
        <v>174</v>
      </c>
    </row>
    <row r="336" spans="1:21" ht="18" customHeight="1">
      <c r="A336" s="48">
        <v>235</v>
      </c>
      <c r="B336" s="87"/>
      <c r="C336" s="87"/>
      <c r="D336" s="87"/>
      <c r="G336" s="26" t="s">
        <v>8</v>
      </c>
      <c r="H336" s="26" t="s">
        <v>1283</v>
      </c>
      <c r="I336" s="26">
        <v>39</v>
      </c>
      <c r="J336" s="26">
        <v>177</v>
      </c>
      <c r="K336" s="26" t="s">
        <v>1284</v>
      </c>
      <c r="L336" s="26" t="s">
        <v>466</v>
      </c>
      <c r="M336" s="26" t="s">
        <v>773</v>
      </c>
      <c r="N336" s="26" t="s">
        <v>81</v>
      </c>
      <c r="O336" s="26" t="s">
        <v>10</v>
      </c>
      <c r="P336" s="26" t="s">
        <v>31</v>
      </c>
      <c r="Q336" s="26" t="s">
        <v>10</v>
      </c>
      <c r="R336" s="26" t="s">
        <v>10</v>
      </c>
      <c r="S336" s="26" t="s">
        <v>1285</v>
      </c>
      <c r="T336" s="26" t="s">
        <v>1286</v>
      </c>
      <c r="U336" s="26" t="s">
        <v>1287</v>
      </c>
    </row>
    <row r="337" spans="1:21" ht="18" customHeight="1">
      <c r="A337" s="48">
        <v>138</v>
      </c>
      <c r="B337" s="81"/>
      <c r="C337" s="81"/>
      <c r="D337" s="81"/>
      <c r="E337" s="80"/>
      <c r="F337" s="80"/>
      <c r="G337" s="26" t="s">
        <v>8</v>
      </c>
      <c r="H337" s="26" t="s">
        <v>776</v>
      </c>
      <c r="I337" s="26">
        <v>39</v>
      </c>
      <c r="J337" s="26">
        <v>172</v>
      </c>
      <c r="K337" s="26" t="s">
        <v>777</v>
      </c>
      <c r="L337" s="26" t="s">
        <v>462</v>
      </c>
      <c r="M337" s="26" t="s">
        <v>22</v>
      </c>
      <c r="N337" s="26" t="s">
        <v>12</v>
      </c>
      <c r="O337" s="26" t="s">
        <v>10</v>
      </c>
      <c r="P337" s="26" t="s">
        <v>20</v>
      </c>
      <c r="Q337" s="26" t="s">
        <v>57</v>
      </c>
      <c r="R337" s="26" t="s">
        <v>60</v>
      </c>
      <c r="S337" s="26" t="s">
        <v>778</v>
      </c>
      <c r="T337" s="26" t="s">
        <v>779</v>
      </c>
      <c r="U337" s="26" t="s">
        <v>780</v>
      </c>
    </row>
    <row r="338" spans="1:21" ht="18" customHeight="1">
      <c r="A338" s="48">
        <v>149</v>
      </c>
      <c r="B338" s="81"/>
      <c r="C338" s="81"/>
      <c r="D338" s="81"/>
      <c r="E338" s="80"/>
      <c r="F338" s="80"/>
      <c r="G338" s="26" t="s">
        <v>8</v>
      </c>
      <c r="H338" s="26" t="s">
        <v>473</v>
      </c>
      <c r="I338" s="26">
        <v>39</v>
      </c>
      <c r="J338" s="26">
        <v>172</v>
      </c>
      <c r="K338" s="26" t="s">
        <v>475</v>
      </c>
      <c r="L338" s="26" t="s">
        <v>25</v>
      </c>
      <c r="M338" s="26" t="s">
        <v>34</v>
      </c>
      <c r="N338" s="26" t="s">
        <v>380</v>
      </c>
      <c r="O338" s="26" t="s">
        <v>10</v>
      </c>
      <c r="P338" s="26" t="s">
        <v>9</v>
      </c>
      <c r="Q338" s="26" t="s">
        <v>10</v>
      </c>
      <c r="R338" s="26" t="s">
        <v>10</v>
      </c>
      <c r="S338" s="26" t="s">
        <v>476</v>
      </c>
      <c r="T338" s="26" t="s">
        <v>477</v>
      </c>
      <c r="U338" s="26">
        <v>0</v>
      </c>
    </row>
    <row r="339" spans="1:21" ht="18" customHeight="1">
      <c r="A339" s="48">
        <v>194</v>
      </c>
      <c r="B339" s="85"/>
      <c r="C339" s="85"/>
      <c r="D339" s="85"/>
      <c r="E339" s="80"/>
      <c r="F339" s="80"/>
      <c r="G339" s="26" t="s">
        <v>8</v>
      </c>
      <c r="H339" s="26" t="s">
        <v>393</v>
      </c>
      <c r="I339" s="26">
        <v>39</v>
      </c>
      <c r="J339" s="26">
        <v>171</v>
      </c>
      <c r="K339" s="26" t="s">
        <v>394</v>
      </c>
      <c r="L339" s="26" t="s">
        <v>462</v>
      </c>
      <c r="M339" s="26" t="s">
        <v>22</v>
      </c>
      <c r="N339" s="26" t="s">
        <v>81</v>
      </c>
      <c r="O339" s="26" t="s">
        <v>10</v>
      </c>
      <c r="P339" s="26" t="s">
        <v>9</v>
      </c>
      <c r="Q339" s="26" t="s">
        <v>10</v>
      </c>
      <c r="R339" s="26" t="s">
        <v>10</v>
      </c>
      <c r="S339" s="26" t="s">
        <v>395</v>
      </c>
      <c r="T339" s="26" t="s">
        <v>396</v>
      </c>
      <c r="U339" s="26">
        <v>0</v>
      </c>
    </row>
    <row r="340" spans="1:21" ht="18" customHeight="1">
      <c r="A340" s="48">
        <v>343</v>
      </c>
      <c r="G340" s="26" t="s">
        <v>8</v>
      </c>
      <c r="H340" s="26" t="s">
        <v>1923</v>
      </c>
      <c r="I340" s="26">
        <v>39</v>
      </c>
      <c r="J340" s="26">
        <v>176</v>
      </c>
      <c r="K340" s="26" t="s">
        <v>1925</v>
      </c>
      <c r="L340" s="26" t="s">
        <v>36</v>
      </c>
      <c r="M340" s="26" t="s">
        <v>34</v>
      </c>
      <c r="N340" s="26" t="s">
        <v>12</v>
      </c>
      <c r="O340" s="26" t="s">
        <v>10</v>
      </c>
      <c r="P340" s="26" t="s">
        <v>9</v>
      </c>
      <c r="Q340" s="26" t="s">
        <v>10</v>
      </c>
      <c r="R340" s="26" t="s">
        <v>10</v>
      </c>
      <c r="S340" s="26" t="s">
        <v>1926</v>
      </c>
      <c r="T340" s="26" t="s">
        <v>1927</v>
      </c>
      <c r="U340" s="26">
        <v>0</v>
      </c>
    </row>
    <row r="341" spans="1:21" ht="18" customHeight="1">
      <c r="A341" s="48">
        <v>234</v>
      </c>
      <c r="B341" s="88">
        <v>1</v>
      </c>
      <c r="C341" s="88"/>
      <c r="D341" s="88"/>
      <c r="G341" s="26" t="s">
        <v>14</v>
      </c>
      <c r="H341" s="26" t="s">
        <v>1254</v>
      </c>
      <c r="I341" s="26">
        <v>39</v>
      </c>
      <c r="J341" s="26">
        <v>160</v>
      </c>
      <c r="K341" s="26" t="s">
        <v>181</v>
      </c>
      <c r="L341" s="26" t="s">
        <v>467</v>
      </c>
      <c r="M341" s="26" t="s">
        <v>93</v>
      </c>
      <c r="N341" s="26" t="s">
        <v>30</v>
      </c>
      <c r="O341" s="26" t="s">
        <v>10</v>
      </c>
      <c r="P341" s="26" t="s">
        <v>9</v>
      </c>
      <c r="Q341" s="26" t="s">
        <v>10</v>
      </c>
      <c r="R341" s="26" t="s">
        <v>10</v>
      </c>
      <c r="S341" s="26" t="s">
        <v>1255</v>
      </c>
      <c r="T341" s="26" t="s">
        <v>1256</v>
      </c>
      <c r="U341" s="26">
        <v>0</v>
      </c>
    </row>
    <row r="342" spans="1:21" ht="18" customHeight="1">
      <c r="A342" s="48">
        <v>351</v>
      </c>
      <c r="B342" s="79" t="s">
        <v>1992</v>
      </c>
      <c r="G342" s="26" t="s">
        <v>14</v>
      </c>
      <c r="H342" s="26" t="s">
        <v>1993</v>
      </c>
      <c r="I342" s="26">
        <v>39</v>
      </c>
      <c r="J342" s="26">
        <v>169</v>
      </c>
      <c r="K342" s="26" t="s">
        <v>1994</v>
      </c>
      <c r="L342" s="26" t="s">
        <v>1995</v>
      </c>
      <c r="M342" s="26" t="s">
        <v>93</v>
      </c>
      <c r="N342" s="26" t="s">
        <v>19</v>
      </c>
      <c r="O342" s="26" t="s">
        <v>10</v>
      </c>
      <c r="P342" s="26" t="s">
        <v>31</v>
      </c>
      <c r="Q342" s="26" t="s">
        <v>10</v>
      </c>
      <c r="R342" s="26" t="s">
        <v>1084</v>
      </c>
      <c r="S342" s="26" t="s">
        <v>1996</v>
      </c>
      <c r="T342" s="26" t="s">
        <v>1997</v>
      </c>
      <c r="U342" s="26">
        <v>0</v>
      </c>
    </row>
    <row r="343" spans="1:21" ht="18" customHeight="1">
      <c r="A343" s="48">
        <v>218</v>
      </c>
      <c r="B343" s="88"/>
      <c r="C343" s="88"/>
      <c r="D343" s="88"/>
      <c r="E343" s="80"/>
      <c r="F343" s="80"/>
      <c r="G343" s="36" t="s">
        <v>14</v>
      </c>
      <c r="H343" s="26" t="s">
        <v>1183</v>
      </c>
      <c r="I343" s="26">
        <v>39</v>
      </c>
      <c r="J343" s="26">
        <v>166</v>
      </c>
      <c r="K343" s="26" t="s">
        <v>1184</v>
      </c>
      <c r="L343" s="26" t="s">
        <v>466</v>
      </c>
      <c r="M343" s="26" t="s">
        <v>65</v>
      </c>
      <c r="N343" s="26" t="s">
        <v>12</v>
      </c>
      <c r="O343" s="26" t="s">
        <v>1185</v>
      </c>
      <c r="P343" s="26" t="s">
        <v>9</v>
      </c>
      <c r="Q343" s="26" t="s">
        <v>29</v>
      </c>
      <c r="R343" s="26" t="s">
        <v>73</v>
      </c>
      <c r="S343" s="26" t="s">
        <v>1186</v>
      </c>
      <c r="T343" s="26" t="s">
        <v>1187</v>
      </c>
      <c r="U343" s="26" t="s">
        <v>1188</v>
      </c>
    </row>
    <row r="344" spans="1:21" ht="18" customHeight="1">
      <c r="A344" s="48">
        <v>264</v>
      </c>
      <c r="G344" s="26" t="s">
        <v>14</v>
      </c>
      <c r="H344" s="26" t="s">
        <v>1458</v>
      </c>
      <c r="I344" s="26">
        <v>39</v>
      </c>
      <c r="J344" s="26">
        <v>164</v>
      </c>
      <c r="K344" s="26" t="s">
        <v>273</v>
      </c>
      <c r="L344" s="26" t="s">
        <v>1616</v>
      </c>
      <c r="M344" s="26" t="s">
        <v>458</v>
      </c>
      <c r="N344" s="26" t="s">
        <v>884</v>
      </c>
      <c r="O344" s="26" t="s">
        <v>10</v>
      </c>
      <c r="P344" s="26" t="s">
        <v>20</v>
      </c>
      <c r="Q344" s="26" t="s">
        <v>10</v>
      </c>
      <c r="R344" s="26" t="s">
        <v>497</v>
      </c>
      <c r="S344" s="26" t="s">
        <v>1459</v>
      </c>
      <c r="T344" s="26" t="s">
        <v>249</v>
      </c>
      <c r="U344" s="26">
        <v>0</v>
      </c>
    </row>
    <row r="345" spans="1:21" ht="18" customHeight="1">
      <c r="A345" s="48">
        <v>28</v>
      </c>
      <c r="B345" s="81"/>
      <c r="C345" s="81"/>
      <c r="D345" s="81"/>
      <c r="E345" s="80"/>
      <c r="F345" s="91"/>
      <c r="G345" s="26" t="s">
        <v>14</v>
      </c>
      <c r="H345" s="26" t="s">
        <v>246</v>
      </c>
      <c r="I345" s="26">
        <v>39</v>
      </c>
      <c r="J345" s="26">
        <v>153</v>
      </c>
      <c r="K345" s="26" t="s">
        <v>1044</v>
      </c>
      <c r="L345" s="26" t="s">
        <v>466</v>
      </c>
      <c r="M345" s="26" t="s">
        <v>55</v>
      </c>
      <c r="N345" s="26" t="s">
        <v>732</v>
      </c>
      <c r="O345" s="26" t="s">
        <v>10</v>
      </c>
      <c r="P345" s="26" t="s">
        <v>9</v>
      </c>
      <c r="Q345" s="26" t="s">
        <v>29</v>
      </c>
      <c r="R345" s="26" t="s">
        <v>11</v>
      </c>
      <c r="S345" s="26" t="s">
        <v>1045</v>
      </c>
      <c r="T345" s="26" t="s">
        <v>1046</v>
      </c>
      <c r="U345" s="26">
        <v>0</v>
      </c>
    </row>
    <row r="346" spans="1:21" ht="18" customHeight="1">
      <c r="A346" s="48">
        <v>200</v>
      </c>
      <c r="B346" s="85"/>
      <c r="C346" s="85"/>
      <c r="D346" s="85"/>
      <c r="E346" s="80"/>
      <c r="F346" s="91"/>
      <c r="G346" s="36" t="s">
        <v>14</v>
      </c>
      <c r="H346" s="26" t="s">
        <v>1086</v>
      </c>
      <c r="I346" s="26">
        <v>39</v>
      </c>
      <c r="J346" s="26">
        <v>160</v>
      </c>
      <c r="K346" s="26" t="s">
        <v>1088</v>
      </c>
      <c r="L346" s="26" t="s">
        <v>467</v>
      </c>
      <c r="M346" s="26" t="s">
        <v>93</v>
      </c>
      <c r="N346" s="26" t="s">
        <v>23</v>
      </c>
      <c r="O346" s="26" t="s">
        <v>10</v>
      </c>
      <c r="P346" s="26" t="s">
        <v>75</v>
      </c>
      <c r="Q346" s="26" t="s">
        <v>29</v>
      </c>
      <c r="R346" s="26" t="s">
        <v>10</v>
      </c>
      <c r="S346" s="26" t="s">
        <v>1089</v>
      </c>
      <c r="T346" s="26" t="s">
        <v>1090</v>
      </c>
      <c r="U346" s="26">
        <v>0</v>
      </c>
    </row>
    <row r="347" spans="1:21" ht="18" customHeight="1">
      <c r="A347" s="48">
        <v>249</v>
      </c>
      <c r="B347" s="86"/>
      <c r="C347" s="86"/>
      <c r="D347" s="86"/>
      <c r="F347" s="106"/>
      <c r="G347" s="26" t="s">
        <v>14</v>
      </c>
      <c r="H347" s="26" t="s">
        <v>1358</v>
      </c>
      <c r="I347" s="26">
        <v>39</v>
      </c>
      <c r="J347" s="26">
        <v>163</v>
      </c>
      <c r="K347" s="26" t="s">
        <v>1359</v>
      </c>
      <c r="L347" s="26" t="s">
        <v>470</v>
      </c>
      <c r="M347" s="26" t="s">
        <v>93</v>
      </c>
      <c r="N347" s="26" t="s">
        <v>59</v>
      </c>
      <c r="O347" s="26" t="s">
        <v>10</v>
      </c>
      <c r="P347" s="26" t="s">
        <v>9</v>
      </c>
      <c r="Q347" s="26" t="s">
        <v>10</v>
      </c>
      <c r="R347" s="26" t="s">
        <v>11</v>
      </c>
      <c r="S347" s="26" t="s">
        <v>1360</v>
      </c>
      <c r="T347" s="26" t="s">
        <v>1361</v>
      </c>
      <c r="U347" s="26"/>
    </row>
    <row r="348" spans="1:21" ht="18" customHeight="1">
      <c r="A348" s="48">
        <v>100</v>
      </c>
      <c r="B348" s="80"/>
      <c r="C348" s="80"/>
      <c r="D348" s="80"/>
      <c r="E348" s="80"/>
      <c r="F348" s="80"/>
      <c r="G348" s="89" t="s">
        <v>14</v>
      </c>
      <c r="H348" s="89" t="s">
        <v>302</v>
      </c>
      <c r="I348" s="89">
        <v>39</v>
      </c>
      <c r="J348" s="89">
        <v>163</v>
      </c>
      <c r="K348" s="89" t="s">
        <v>79</v>
      </c>
      <c r="L348" s="89" t="s">
        <v>465</v>
      </c>
      <c r="M348" s="89" t="s">
        <v>458</v>
      </c>
      <c r="N348" s="89" t="s">
        <v>203</v>
      </c>
      <c r="O348" s="89" t="s">
        <v>10</v>
      </c>
      <c r="P348" s="89" t="s">
        <v>9</v>
      </c>
      <c r="Q348" s="89" t="s">
        <v>29</v>
      </c>
      <c r="R348" s="89" t="s">
        <v>10</v>
      </c>
      <c r="S348" s="89" t="s">
        <v>303</v>
      </c>
      <c r="T348" s="89" t="s">
        <v>304</v>
      </c>
      <c r="U348" s="89">
        <v>0</v>
      </c>
    </row>
    <row r="349" spans="1:21" ht="18" customHeight="1">
      <c r="A349" s="48">
        <v>160</v>
      </c>
      <c r="B349" s="81"/>
      <c r="C349" s="81"/>
      <c r="D349" s="81"/>
      <c r="E349" s="80"/>
      <c r="F349" s="91"/>
      <c r="G349" s="36" t="s">
        <v>14</v>
      </c>
      <c r="H349" s="26" t="s">
        <v>427</v>
      </c>
      <c r="I349" s="26">
        <v>39</v>
      </c>
      <c r="J349" s="26">
        <v>164</v>
      </c>
      <c r="K349" s="26" t="s">
        <v>428</v>
      </c>
      <c r="L349" s="26" t="s">
        <v>466</v>
      </c>
      <c r="M349" s="26" t="s">
        <v>458</v>
      </c>
      <c r="N349" s="26" t="s">
        <v>35</v>
      </c>
      <c r="O349" s="26" t="s">
        <v>204</v>
      </c>
      <c r="P349" s="26" t="s">
        <v>75</v>
      </c>
      <c r="Q349" s="26" t="s">
        <v>29</v>
      </c>
      <c r="R349" s="26" t="s">
        <v>10</v>
      </c>
      <c r="S349" s="26" t="s">
        <v>429</v>
      </c>
      <c r="T349" s="26" t="s">
        <v>430</v>
      </c>
      <c r="U349" s="26">
        <v>0</v>
      </c>
    </row>
    <row r="350" spans="1:21" ht="18" customHeight="1">
      <c r="A350" s="48">
        <v>87</v>
      </c>
      <c r="B350" s="81"/>
      <c r="C350" s="81"/>
      <c r="D350" s="81"/>
      <c r="E350" s="80"/>
      <c r="F350" s="91"/>
      <c r="G350" s="36" t="s">
        <v>14</v>
      </c>
      <c r="H350" s="26" t="s">
        <v>519</v>
      </c>
      <c r="I350" s="26">
        <v>39</v>
      </c>
      <c r="J350" s="26">
        <v>165</v>
      </c>
      <c r="K350" s="26" t="s">
        <v>520</v>
      </c>
      <c r="L350" s="26" t="s">
        <v>470</v>
      </c>
      <c r="M350" s="26" t="s">
        <v>10</v>
      </c>
      <c r="N350" s="26" t="s">
        <v>23</v>
      </c>
      <c r="O350" s="26" t="s">
        <v>500</v>
      </c>
      <c r="P350" s="26" t="s">
        <v>9</v>
      </c>
      <c r="Q350" s="26" t="s">
        <v>10</v>
      </c>
      <c r="R350" s="26" t="s">
        <v>10</v>
      </c>
      <c r="S350" s="26" t="s">
        <v>521</v>
      </c>
      <c r="T350" s="26" t="s">
        <v>522</v>
      </c>
      <c r="U350" s="26" t="s">
        <v>523</v>
      </c>
    </row>
    <row r="351" spans="1:21" ht="18" customHeight="1">
      <c r="A351" s="48">
        <v>225</v>
      </c>
      <c r="B351" s="88">
        <v>1</v>
      </c>
      <c r="C351" s="88"/>
      <c r="D351" s="88"/>
      <c r="E351" s="80"/>
      <c r="F351" s="91"/>
      <c r="G351" s="26" t="s">
        <v>8</v>
      </c>
      <c r="H351" s="26" t="s">
        <v>1215</v>
      </c>
      <c r="I351" s="26">
        <v>40</v>
      </c>
      <c r="J351" s="26">
        <v>170</v>
      </c>
      <c r="K351" s="26" t="s">
        <v>1216</v>
      </c>
      <c r="L351" s="26" t="s">
        <v>461</v>
      </c>
      <c r="M351" s="26" t="s">
        <v>10</v>
      </c>
      <c r="N351" s="26" t="s">
        <v>59</v>
      </c>
      <c r="O351" s="26" t="s">
        <v>10</v>
      </c>
      <c r="P351" s="26" t="s">
        <v>9</v>
      </c>
      <c r="Q351" s="26" t="s">
        <v>10</v>
      </c>
      <c r="R351" s="26" t="s">
        <v>10</v>
      </c>
      <c r="S351" s="26" t="s">
        <v>1217</v>
      </c>
      <c r="T351" s="26" t="s">
        <v>1218</v>
      </c>
      <c r="U351" s="26">
        <v>0</v>
      </c>
    </row>
    <row r="352" spans="1:21" ht="18" customHeight="1">
      <c r="A352" s="48">
        <v>207</v>
      </c>
      <c r="B352" s="85"/>
      <c r="C352" s="85"/>
      <c r="D352" s="85"/>
      <c r="E352" s="80"/>
      <c r="F352" s="91"/>
      <c r="G352" s="26" t="s">
        <v>8</v>
      </c>
      <c r="H352" s="26" t="s">
        <v>146</v>
      </c>
      <c r="I352" s="26">
        <v>40</v>
      </c>
      <c r="J352" s="26">
        <v>167</v>
      </c>
      <c r="K352" s="26" t="s">
        <v>147</v>
      </c>
      <c r="L352" s="26" t="s">
        <v>470</v>
      </c>
      <c r="M352" s="26" t="s">
        <v>64</v>
      </c>
      <c r="N352" s="26" t="s">
        <v>148</v>
      </c>
      <c r="O352" s="26" t="s">
        <v>10</v>
      </c>
      <c r="P352" s="26" t="s">
        <v>31</v>
      </c>
      <c r="Q352" s="26" t="s">
        <v>10</v>
      </c>
      <c r="R352" s="26" t="s">
        <v>10</v>
      </c>
      <c r="S352" s="26" t="s">
        <v>149</v>
      </c>
      <c r="T352" s="26">
        <v>0</v>
      </c>
      <c r="U352" s="26">
        <v>0</v>
      </c>
    </row>
    <row r="353" spans="1:21" ht="18" customHeight="1">
      <c r="A353" s="48">
        <v>23</v>
      </c>
      <c r="B353" s="80"/>
      <c r="C353" s="80"/>
      <c r="D353" s="80"/>
      <c r="E353" s="80"/>
      <c r="F353" s="91"/>
      <c r="G353" s="26" t="s">
        <v>8</v>
      </c>
      <c r="H353" s="26" t="s">
        <v>1007</v>
      </c>
      <c r="I353" s="26">
        <v>40</v>
      </c>
      <c r="J353" s="26">
        <v>176</v>
      </c>
      <c r="K353" s="26" t="s">
        <v>1008</v>
      </c>
      <c r="L353" s="26" t="s">
        <v>461</v>
      </c>
      <c r="M353" s="26" t="s">
        <v>34</v>
      </c>
      <c r="N353" s="26" t="s">
        <v>23</v>
      </c>
      <c r="O353" s="26" t="s">
        <v>10</v>
      </c>
      <c r="P353" s="26" t="s">
        <v>9</v>
      </c>
      <c r="Q353" s="26" t="s">
        <v>10</v>
      </c>
      <c r="R353" s="26" t="s">
        <v>10</v>
      </c>
      <c r="S353" s="26" t="s">
        <v>1009</v>
      </c>
      <c r="T353" s="26">
        <v>0</v>
      </c>
      <c r="U353" s="26">
        <v>0</v>
      </c>
    </row>
    <row r="354" spans="1:21" ht="18" customHeight="1">
      <c r="A354" s="48">
        <v>352</v>
      </c>
      <c r="F354" s="106"/>
      <c r="G354" s="26" t="s">
        <v>8</v>
      </c>
      <c r="H354" s="26" t="s">
        <v>2017</v>
      </c>
      <c r="I354" s="26">
        <v>40</v>
      </c>
      <c r="J354" s="26">
        <v>175</v>
      </c>
      <c r="K354" s="26" t="s">
        <v>2018</v>
      </c>
      <c r="L354" s="26" t="s">
        <v>462</v>
      </c>
      <c r="M354" s="26" t="s">
        <v>34</v>
      </c>
      <c r="N354" s="26" t="s">
        <v>23</v>
      </c>
      <c r="O354" s="26" t="s">
        <v>10</v>
      </c>
      <c r="P354" s="26" t="s">
        <v>9</v>
      </c>
      <c r="Q354" s="26" t="s">
        <v>10</v>
      </c>
      <c r="R354" s="26" t="s">
        <v>10</v>
      </c>
      <c r="S354" s="26" t="s">
        <v>2019</v>
      </c>
      <c r="T354" s="26">
        <v>0</v>
      </c>
      <c r="U354" s="26">
        <v>0</v>
      </c>
    </row>
    <row r="355" spans="1:21" ht="18" customHeight="1">
      <c r="A355" s="48">
        <v>358</v>
      </c>
      <c r="F355" s="26"/>
      <c r="G355" s="26" t="s">
        <v>8</v>
      </c>
      <c r="H355" s="26" t="s">
        <v>2057</v>
      </c>
      <c r="I355" s="26">
        <v>40</v>
      </c>
      <c r="J355" s="26">
        <v>175</v>
      </c>
      <c r="K355" s="26" t="s">
        <v>2058</v>
      </c>
      <c r="L355" s="26" t="s">
        <v>2059</v>
      </c>
      <c r="M355" s="26" t="s">
        <v>2060</v>
      </c>
      <c r="N355" s="26" t="s">
        <v>18</v>
      </c>
      <c r="O355" s="26" t="s">
        <v>10</v>
      </c>
      <c r="P355" s="26" t="s">
        <v>75</v>
      </c>
      <c r="Q355" s="26" t="s">
        <v>63</v>
      </c>
      <c r="R355" s="26" t="s">
        <v>10</v>
      </c>
      <c r="S355" s="26" t="s">
        <v>2061</v>
      </c>
      <c r="T355" s="26" t="s">
        <v>2062</v>
      </c>
      <c r="U355" s="26">
        <v>0</v>
      </c>
    </row>
    <row r="356" spans="1:21" ht="18" customHeight="1">
      <c r="A356" s="48">
        <v>321</v>
      </c>
      <c r="B356" s="81">
        <v>1</v>
      </c>
      <c r="C356" s="81"/>
      <c r="D356" s="81"/>
      <c r="E356" s="80"/>
      <c r="F356" s="91"/>
      <c r="G356" s="36" t="s">
        <v>14</v>
      </c>
      <c r="H356" s="26" t="s">
        <v>667</v>
      </c>
      <c r="I356" s="26">
        <v>40</v>
      </c>
      <c r="J356" s="26">
        <v>165</v>
      </c>
      <c r="K356" s="26" t="s">
        <v>1782</v>
      </c>
      <c r="L356" s="26" t="s">
        <v>467</v>
      </c>
      <c r="M356" s="26" t="s">
        <v>463</v>
      </c>
      <c r="N356" s="26" t="s">
        <v>35</v>
      </c>
      <c r="O356" s="26" t="s">
        <v>10</v>
      </c>
      <c r="P356" s="26" t="s">
        <v>49</v>
      </c>
      <c r="Q356" s="26" t="s">
        <v>10</v>
      </c>
      <c r="R356" s="26" t="s">
        <v>10</v>
      </c>
      <c r="S356" s="26" t="s">
        <v>1783</v>
      </c>
      <c r="T356" s="26" t="s">
        <v>1784</v>
      </c>
      <c r="U356" s="26">
        <v>0</v>
      </c>
    </row>
    <row r="357" spans="1:21" ht="18" customHeight="1">
      <c r="A357" s="48">
        <v>287</v>
      </c>
      <c r="F357" s="106"/>
      <c r="G357" s="26" t="s">
        <v>14</v>
      </c>
      <c r="H357" s="26" t="s">
        <v>1358</v>
      </c>
      <c r="I357" s="26">
        <v>40</v>
      </c>
      <c r="J357" s="26">
        <v>163</v>
      </c>
      <c r="K357" s="26" t="s">
        <v>1548</v>
      </c>
      <c r="L357" s="26" t="s">
        <v>844</v>
      </c>
      <c r="M357" s="26" t="s">
        <v>93</v>
      </c>
      <c r="N357" s="26" t="s">
        <v>59</v>
      </c>
      <c r="O357" s="26" t="s">
        <v>10</v>
      </c>
      <c r="P357" s="26" t="s">
        <v>9</v>
      </c>
      <c r="Q357" s="26" t="s">
        <v>10</v>
      </c>
      <c r="R357" s="26" t="s">
        <v>1536</v>
      </c>
      <c r="S357" s="26" t="s">
        <v>1549</v>
      </c>
      <c r="T357" s="26" t="s">
        <v>1550</v>
      </c>
      <c r="U357" s="26">
        <v>0</v>
      </c>
    </row>
    <row r="358" spans="1:21" ht="18" customHeight="1">
      <c r="A358" s="48">
        <v>285</v>
      </c>
      <c r="F358" s="106"/>
      <c r="G358" s="26" t="s">
        <v>14</v>
      </c>
      <c r="H358" s="26" t="s">
        <v>1397</v>
      </c>
      <c r="I358" s="26">
        <v>40</v>
      </c>
      <c r="J358" s="26">
        <v>167</v>
      </c>
      <c r="K358" s="26" t="s">
        <v>196</v>
      </c>
      <c r="L358" s="26" t="s">
        <v>1618</v>
      </c>
      <c r="M358" s="26" t="s">
        <v>55</v>
      </c>
      <c r="N358" s="26" t="s">
        <v>66</v>
      </c>
      <c r="O358" s="26" t="s">
        <v>10</v>
      </c>
      <c r="P358" s="26" t="s">
        <v>9</v>
      </c>
      <c r="Q358" s="26" t="s">
        <v>10</v>
      </c>
      <c r="R358" s="26" t="s">
        <v>10</v>
      </c>
      <c r="S358" s="26" t="s">
        <v>808</v>
      </c>
      <c r="T358" s="26" t="s">
        <v>1544</v>
      </c>
      <c r="U358" s="26">
        <v>0</v>
      </c>
    </row>
    <row r="359" spans="1:21" ht="18" customHeight="1">
      <c r="A359" s="48">
        <v>258</v>
      </c>
      <c r="B359" s="78"/>
      <c r="C359" s="78"/>
      <c r="D359" s="78"/>
      <c r="F359" s="106"/>
      <c r="G359" s="26" t="s">
        <v>14</v>
      </c>
      <c r="H359" s="26" t="s">
        <v>1397</v>
      </c>
      <c r="I359" s="26">
        <v>40</v>
      </c>
      <c r="J359" s="26">
        <v>167</v>
      </c>
      <c r="K359" s="26" t="s">
        <v>1399</v>
      </c>
      <c r="L359" s="26" t="s">
        <v>10</v>
      </c>
      <c r="M359" s="26" t="s">
        <v>55</v>
      </c>
      <c r="N359" s="26" t="s">
        <v>66</v>
      </c>
      <c r="O359" s="26" t="s">
        <v>10</v>
      </c>
      <c r="P359" s="26" t="s">
        <v>9</v>
      </c>
      <c r="Q359" s="26" t="s">
        <v>10</v>
      </c>
      <c r="R359" s="26" t="s">
        <v>10</v>
      </c>
      <c r="S359" s="26" t="s">
        <v>1400</v>
      </c>
      <c r="T359" s="26" t="s">
        <v>1401</v>
      </c>
      <c r="U359" s="26"/>
    </row>
    <row r="360" spans="1:21">
      <c r="A360" s="48">
        <v>209</v>
      </c>
      <c r="B360" s="85"/>
      <c r="C360" s="85"/>
      <c r="D360" s="85"/>
      <c r="E360" s="80"/>
      <c r="F360" s="91"/>
      <c r="G360" s="26" t="s">
        <v>14</v>
      </c>
      <c r="H360" s="26" t="s">
        <v>838</v>
      </c>
      <c r="I360" s="26">
        <v>40</v>
      </c>
      <c r="J360" s="26">
        <v>155</v>
      </c>
      <c r="K360" s="26" t="s">
        <v>840</v>
      </c>
      <c r="L360" s="26" t="s">
        <v>467</v>
      </c>
      <c r="M360" s="26" t="s">
        <v>55</v>
      </c>
      <c r="N360" s="26" t="s">
        <v>37</v>
      </c>
      <c r="O360" s="26" t="s">
        <v>10</v>
      </c>
      <c r="P360" s="26" t="s">
        <v>20</v>
      </c>
      <c r="Q360" s="26" t="s">
        <v>10</v>
      </c>
      <c r="R360" s="26" t="s">
        <v>32</v>
      </c>
      <c r="S360" s="26" t="s">
        <v>841</v>
      </c>
      <c r="T360" s="26" t="s">
        <v>842</v>
      </c>
      <c r="U360" s="26">
        <v>0</v>
      </c>
    </row>
    <row r="361" spans="1:21">
      <c r="A361" s="48">
        <v>60</v>
      </c>
      <c r="B361" s="81"/>
      <c r="C361" s="81"/>
      <c r="D361" s="81"/>
      <c r="E361" s="80"/>
      <c r="F361" s="91"/>
      <c r="G361" s="36" t="s">
        <v>14</v>
      </c>
      <c r="H361" s="26" t="s">
        <v>712</v>
      </c>
      <c r="I361" s="26">
        <v>40</v>
      </c>
      <c r="J361" s="26">
        <v>157</v>
      </c>
      <c r="K361" s="26" t="s">
        <v>713</v>
      </c>
      <c r="L361" s="26" t="s">
        <v>10</v>
      </c>
      <c r="M361" s="26" t="s">
        <v>458</v>
      </c>
      <c r="N361" s="26" t="s">
        <v>13</v>
      </c>
      <c r="O361" s="26" t="s">
        <v>714</v>
      </c>
      <c r="P361" s="26" t="s">
        <v>9</v>
      </c>
      <c r="Q361" s="26" t="s">
        <v>10</v>
      </c>
      <c r="R361" s="26" t="s">
        <v>10</v>
      </c>
      <c r="S361" s="26" t="s">
        <v>715</v>
      </c>
      <c r="T361" s="26" t="s">
        <v>716</v>
      </c>
      <c r="U361" s="26">
        <v>0</v>
      </c>
    </row>
    <row r="362" spans="1:21">
      <c r="A362" s="105">
        <v>137</v>
      </c>
      <c r="B362" s="81"/>
      <c r="C362" s="81"/>
      <c r="D362" s="81"/>
      <c r="E362" s="80"/>
      <c r="F362" s="80"/>
      <c r="G362" s="36" t="s">
        <v>14</v>
      </c>
      <c r="H362" s="26" t="s">
        <v>1096</v>
      </c>
      <c r="I362" s="26">
        <v>40</v>
      </c>
      <c r="J362" s="26">
        <v>164</v>
      </c>
      <c r="K362" s="26" t="s">
        <v>1098</v>
      </c>
      <c r="L362" s="26" t="s">
        <v>470</v>
      </c>
      <c r="M362" s="26" t="s">
        <v>458</v>
      </c>
      <c r="N362" s="26" t="s">
        <v>19</v>
      </c>
      <c r="O362" s="26" t="s">
        <v>10</v>
      </c>
      <c r="P362" s="26" t="s">
        <v>20</v>
      </c>
      <c r="Q362" s="26" t="s">
        <v>10</v>
      </c>
      <c r="R362" s="26" t="s">
        <v>10</v>
      </c>
      <c r="S362" s="26" t="s">
        <v>1099</v>
      </c>
      <c r="T362" s="26" t="s">
        <v>1100</v>
      </c>
      <c r="U362" s="26">
        <v>0</v>
      </c>
    </row>
    <row r="363" spans="1:21">
      <c r="A363" s="105">
        <v>129</v>
      </c>
      <c r="B363" s="81"/>
      <c r="C363" s="81"/>
      <c r="D363" s="81"/>
      <c r="E363" s="80"/>
      <c r="F363" s="80"/>
      <c r="G363" s="26" t="s">
        <v>14</v>
      </c>
      <c r="H363" s="26" t="s">
        <v>872</v>
      </c>
      <c r="I363" s="26">
        <v>40</v>
      </c>
      <c r="J363" s="26">
        <v>168</v>
      </c>
      <c r="K363" s="26" t="s">
        <v>873</v>
      </c>
      <c r="L363" s="26" t="s">
        <v>467</v>
      </c>
      <c r="M363" s="26" t="s">
        <v>93</v>
      </c>
      <c r="N363" s="26" t="s">
        <v>19</v>
      </c>
      <c r="O363" s="26" t="s">
        <v>10</v>
      </c>
      <c r="P363" s="26" t="s">
        <v>9</v>
      </c>
      <c r="Q363" s="26" t="s">
        <v>29</v>
      </c>
      <c r="R363" s="26" t="s">
        <v>10</v>
      </c>
      <c r="S363" s="26" t="s">
        <v>874</v>
      </c>
      <c r="T363" s="26" t="s">
        <v>875</v>
      </c>
      <c r="U363" s="26">
        <v>0</v>
      </c>
    </row>
    <row r="364" spans="1:21">
      <c r="A364" s="105">
        <v>168</v>
      </c>
      <c r="B364" s="81"/>
      <c r="C364" s="81"/>
      <c r="D364" s="81"/>
      <c r="E364" s="80"/>
      <c r="F364" s="80"/>
      <c r="G364" s="36" t="s">
        <v>14</v>
      </c>
      <c r="H364" s="26" t="s">
        <v>667</v>
      </c>
      <c r="I364" s="26">
        <v>40</v>
      </c>
      <c r="J364" s="26">
        <v>165</v>
      </c>
      <c r="K364" s="26" t="s">
        <v>668</v>
      </c>
      <c r="L364" s="26" t="s">
        <v>467</v>
      </c>
      <c r="M364" s="26" t="s">
        <v>10</v>
      </c>
      <c r="N364" s="26" t="s">
        <v>35</v>
      </c>
      <c r="O364" s="26" t="s">
        <v>10</v>
      </c>
      <c r="P364" s="26" t="s">
        <v>9</v>
      </c>
      <c r="Q364" s="26" t="s">
        <v>10</v>
      </c>
      <c r="R364" s="26" t="s">
        <v>11</v>
      </c>
      <c r="S364" s="26" t="s">
        <v>669</v>
      </c>
      <c r="T364" s="26" t="s">
        <v>670</v>
      </c>
      <c r="U364" s="26" t="s">
        <v>671</v>
      </c>
    </row>
    <row r="365" spans="1:21">
      <c r="A365" s="105">
        <v>105</v>
      </c>
      <c r="B365" s="80">
        <v>1</v>
      </c>
      <c r="C365" s="80"/>
      <c r="D365" s="80"/>
      <c r="E365" s="80"/>
      <c r="F365" s="80"/>
      <c r="G365" s="26" t="s">
        <v>8</v>
      </c>
      <c r="H365" s="26" t="s">
        <v>423</v>
      </c>
      <c r="I365" s="26">
        <v>41</v>
      </c>
      <c r="J365" s="26">
        <v>176</v>
      </c>
      <c r="K365" s="26" t="s">
        <v>424</v>
      </c>
      <c r="L365" s="26" t="s">
        <v>466</v>
      </c>
      <c r="M365" s="26" t="s">
        <v>769</v>
      </c>
      <c r="N365" s="26" t="s">
        <v>30</v>
      </c>
      <c r="O365" s="26" t="s">
        <v>10</v>
      </c>
      <c r="P365" s="26" t="s">
        <v>9</v>
      </c>
      <c r="Q365" s="26" t="s">
        <v>29</v>
      </c>
      <c r="R365" s="26" t="s">
        <v>10</v>
      </c>
      <c r="S365" s="26" t="s">
        <v>425</v>
      </c>
      <c r="T365" s="26" t="s">
        <v>426</v>
      </c>
      <c r="U365" s="26">
        <v>0</v>
      </c>
    </row>
    <row r="366" spans="1:21">
      <c r="A366" s="48">
        <v>102</v>
      </c>
      <c r="B366" s="81"/>
      <c r="C366" s="81"/>
      <c r="D366" s="81"/>
      <c r="E366" s="80"/>
      <c r="F366" s="80"/>
      <c r="G366" s="26" t="s">
        <v>8</v>
      </c>
      <c r="H366" s="26" t="s">
        <v>1051</v>
      </c>
      <c r="I366" s="26">
        <v>41</v>
      </c>
      <c r="J366" s="26">
        <v>176</v>
      </c>
      <c r="K366" s="26" t="s">
        <v>1052</v>
      </c>
      <c r="L366" s="26" t="s">
        <v>462</v>
      </c>
      <c r="M366" s="26" t="s">
        <v>64</v>
      </c>
      <c r="N366" s="26" t="s">
        <v>30</v>
      </c>
      <c r="O366" s="26" t="s">
        <v>10</v>
      </c>
      <c r="P366" s="26" t="s">
        <v>20</v>
      </c>
      <c r="Q366" s="26" t="s">
        <v>10</v>
      </c>
      <c r="R366" s="26" t="s">
        <v>10</v>
      </c>
      <c r="S366" s="26" t="s">
        <v>1053</v>
      </c>
      <c r="T366" s="26" t="s">
        <v>1054</v>
      </c>
      <c r="U366" s="26">
        <v>0</v>
      </c>
    </row>
    <row r="367" spans="1:21">
      <c r="A367" s="48">
        <v>300</v>
      </c>
      <c r="B367" s="79" t="s">
        <v>1753</v>
      </c>
      <c r="G367" s="26" t="s">
        <v>14</v>
      </c>
      <c r="H367" s="26" t="s">
        <v>1637</v>
      </c>
      <c r="I367" s="26">
        <v>41</v>
      </c>
      <c r="J367" s="26">
        <v>172</v>
      </c>
      <c r="K367" s="26" t="s">
        <v>1638</v>
      </c>
      <c r="L367" s="26" t="s">
        <v>1616</v>
      </c>
      <c r="M367" s="26" t="s">
        <v>65</v>
      </c>
      <c r="N367" s="26" t="s">
        <v>76</v>
      </c>
      <c r="O367" s="26" t="s">
        <v>10</v>
      </c>
      <c r="P367" s="26" t="s">
        <v>9</v>
      </c>
      <c r="Q367" s="26" t="s">
        <v>10</v>
      </c>
      <c r="R367" s="26" t="s">
        <v>10</v>
      </c>
      <c r="S367" s="26" t="s">
        <v>1678</v>
      </c>
      <c r="T367" s="26" t="s">
        <v>1679</v>
      </c>
      <c r="U367" s="26" t="s">
        <v>1680</v>
      </c>
    </row>
    <row r="368" spans="1:21">
      <c r="A368" s="48">
        <v>342</v>
      </c>
      <c r="B368" s="79" t="s">
        <v>1978</v>
      </c>
      <c r="G368" s="26" t="s">
        <v>14</v>
      </c>
      <c r="H368" s="26" t="s">
        <v>1918</v>
      </c>
      <c r="I368" s="26">
        <v>41</v>
      </c>
      <c r="J368" s="26">
        <v>162</v>
      </c>
      <c r="K368" s="26" t="s">
        <v>1919</v>
      </c>
      <c r="L368" s="26" t="s">
        <v>467</v>
      </c>
      <c r="M368" s="26" t="s">
        <v>55</v>
      </c>
      <c r="N368" s="26" t="s">
        <v>37</v>
      </c>
      <c r="O368" s="26" t="s">
        <v>10</v>
      </c>
      <c r="P368" s="26" t="s">
        <v>49</v>
      </c>
      <c r="Q368" s="26" t="s">
        <v>29</v>
      </c>
      <c r="R368" s="26" t="s">
        <v>10</v>
      </c>
      <c r="S368" s="26" t="s">
        <v>1920</v>
      </c>
      <c r="T368" s="26" t="s">
        <v>1921</v>
      </c>
      <c r="U368" s="26" t="s">
        <v>1922</v>
      </c>
    </row>
    <row r="369" spans="1:21">
      <c r="A369" s="48">
        <v>17</v>
      </c>
      <c r="B369" s="80"/>
      <c r="C369" s="80"/>
      <c r="D369" s="80"/>
      <c r="E369" s="80"/>
      <c r="F369" s="80"/>
      <c r="G369" s="26" t="s">
        <v>14</v>
      </c>
      <c r="H369" s="26" t="s">
        <v>789</v>
      </c>
      <c r="I369" s="26">
        <v>41</v>
      </c>
      <c r="J369" s="26">
        <v>164</v>
      </c>
      <c r="K369" s="26" t="s">
        <v>790</v>
      </c>
      <c r="L369" s="26" t="s">
        <v>470</v>
      </c>
      <c r="M369" s="26" t="s">
        <v>458</v>
      </c>
      <c r="N369" s="26" t="s">
        <v>791</v>
      </c>
      <c r="O369" s="26" t="s">
        <v>10</v>
      </c>
      <c r="P369" s="26" t="s">
        <v>9</v>
      </c>
      <c r="Q369" s="26" t="s">
        <v>10</v>
      </c>
      <c r="R369" s="26" t="s">
        <v>11</v>
      </c>
      <c r="S369" s="26" t="s">
        <v>792</v>
      </c>
      <c r="T369" s="26" t="s">
        <v>793</v>
      </c>
      <c r="U369" s="26">
        <v>0</v>
      </c>
    </row>
    <row r="370" spans="1:21">
      <c r="A370" s="48">
        <v>143</v>
      </c>
      <c r="B370" s="81"/>
      <c r="C370" s="81"/>
      <c r="D370" s="81"/>
      <c r="E370" s="80"/>
      <c r="F370" s="80"/>
      <c r="G370" s="36" t="s">
        <v>14</v>
      </c>
      <c r="H370" s="26" t="s">
        <v>235</v>
      </c>
      <c r="I370" s="26">
        <v>41</v>
      </c>
      <c r="J370" s="26">
        <v>161</v>
      </c>
      <c r="K370" s="26" t="s">
        <v>236</v>
      </c>
      <c r="L370" s="26" t="s">
        <v>467</v>
      </c>
      <c r="M370" s="26" t="s">
        <v>15</v>
      </c>
      <c r="N370" s="26" t="s">
        <v>237</v>
      </c>
      <c r="O370" s="26" t="s">
        <v>238</v>
      </c>
      <c r="P370" s="26" t="s">
        <v>9</v>
      </c>
      <c r="Q370" s="26">
        <v>0</v>
      </c>
      <c r="R370" s="26" t="s">
        <v>10</v>
      </c>
      <c r="S370" s="26" t="s">
        <v>239</v>
      </c>
      <c r="T370" s="26" t="s">
        <v>240</v>
      </c>
      <c r="U370" s="26">
        <v>0</v>
      </c>
    </row>
    <row r="371" spans="1:21">
      <c r="A371" s="48">
        <v>157</v>
      </c>
      <c r="B371" s="81"/>
      <c r="C371" s="81"/>
      <c r="D371" s="81"/>
      <c r="E371" s="80"/>
      <c r="F371" s="80"/>
      <c r="G371" s="26" t="s">
        <v>8</v>
      </c>
      <c r="H371" s="26" t="s">
        <v>222</v>
      </c>
      <c r="I371" s="26">
        <v>42</v>
      </c>
      <c r="J371" s="26">
        <v>174</v>
      </c>
      <c r="K371" s="26" t="s">
        <v>223</v>
      </c>
      <c r="L371" s="26" t="s">
        <v>36</v>
      </c>
      <c r="M371" s="26" t="s">
        <v>772</v>
      </c>
      <c r="N371" s="26" t="s">
        <v>72</v>
      </c>
      <c r="O371" s="26" t="s">
        <v>10</v>
      </c>
      <c r="P371" s="26" t="s">
        <v>224</v>
      </c>
      <c r="Q371" s="26" t="s">
        <v>10</v>
      </c>
      <c r="R371" s="26" t="s">
        <v>10</v>
      </c>
      <c r="S371" s="26" t="s">
        <v>225</v>
      </c>
      <c r="T371" s="26" t="s">
        <v>226</v>
      </c>
      <c r="U371" s="26" t="s">
        <v>471</v>
      </c>
    </row>
    <row r="372" spans="1:21">
      <c r="A372" s="48">
        <v>114</v>
      </c>
      <c r="B372" s="81"/>
      <c r="C372" s="81"/>
      <c r="D372" s="81"/>
      <c r="E372" s="80"/>
      <c r="F372" s="80"/>
      <c r="G372" s="26" t="s">
        <v>8</v>
      </c>
      <c r="H372" s="26" t="s">
        <v>284</v>
      </c>
      <c r="I372" s="26">
        <v>43</v>
      </c>
      <c r="J372" s="26">
        <v>174</v>
      </c>
      <c r="K372" s="26" t="s">
        <v>285</v>
      </c>
      <c r="L372" s="26" t="s">
        <v>465</v>
      </c>
      <c r="M372" s="26" t="s">
        <v>34</v>
      </c>
      <c r="N372" s="26" t="s">
        <v>13</v>
      </c>
      <c r="O372" s="26" t="s">
        <v>10</v>
      </c>
      <c r="P372" s="26" t="s">
        <v>9</v>
      </c>
      <c r="Q372" s="26" t="s">
        <v>10</v>
      </c>
      <c r="R372" s="26" t="s">
        <v>10</v>
      </c>
      <c r="S372" s="26" t="s">
        <v>286</v>
      </c>
      <c r="T372" s="26" t="s">
        <v>287</v>
      </c>
      <c r="U372" s="26">
        <v>0</v>
      </c>
    </row>
    <row r="373" spans="1:21" ht="18" customHeight="1">
      <c r="A373" s="48">
        <v>14</v>
      </c>
      <c r="B373" s="80"/>
      <c r="C373" s="80"/>
      <c r="D373" s="80"/>
      <c r="E373" s="80"/>
      <c r="F373" s="80"/>
      <c r="G373" s="26" t="s">
        <v>8</v>
      </c>
      <c r="H373" s="26" t="s">
        <v>942</v>
      </c>
      <c r="I373" s="26">
        <v>43</v>
      </c>
      <c r="J373" s="26">
        <v>175</v>
      </c>
      <c r="K373" s="26" t="s">
        <v>944</v>
      </c>
      <c r="L373" s="26" t="s">
        <v>466</v>
      </c>
      <c r="M373" s="26" t="s">
        <v>21</v>
      </c>
      <c r="N373" s="26" t="s">
        <v>19</v>
      </c>
      <c r="O373" s="26" t="s">
        <v>945</v>
      </c>
      <c r="P373" s="26" t="s">
        <v>9</v>
      </c>
      <c r="Q373" s="26" t="s">
        <v>10</v>
      </c>
      <c r="R373" s="26" t="s">
        <v>646</v>
      </c>
      <c r="S373" s="26" t="s">
        <v>946</v>
      </c>
      <c r="T373" s="26" t="s">
        <v>947</v>
      </c>
      <c r="U373" s="26" t="s">
        <v>948</v>
      </c>
    </row>
    <row r="374" spans="1:21">
      <c r="A374" s="48">
        <v>275</v>
      </c>
      <c r="G374" s="26" t="s">
        <v>14</v>
      </c>
      <c r="H374" s="26" t="s">
        <v>1500</v>
      </c>
      <c r="I374" s="26">
        <v>43</v>
      </c>
      <c r="J374" s="26">
        <v>159</v>
      </c>
      <c r="K374" s="26" t="s">
        <v>1501</v>
      </c>
      <c r="L374" s="26" t="s">
        <v>467</v>
      </c>
      <c r="M374" s="26" t="s">
        <v>55</v>
      </c>
      <c r="N374" s="26" t="s">
        <v>732</v>
      </c>
      <c r="O374" s="26" t="s">
        <v>1502</v>
      </c>
      <c r="P374" s="26" t="s">
        <v>9</v>
      </c>
      <c r="Q374" s="26" t="s">
        <v>10</v>
      </c>
      <c r="R374" s="26" t="s">
        <v>10</v>
      </c>
      <c r="S374" s="26" t="s">
        <v>1503</v>
      </c>
      <c r="T374" s="26" t="s">
        <v>1504</v>
      </c>
      <c r="U374" s="26" t="s">
        <v>1505</v>
      </c>
    </row>
    <row r="375" spans="1:21">
      <c r="A375" s="48">
        <v>262</v>
      </c>
      <c r="B375" s="89"/>
      <c r="C375" s="89"/>
      <c r="D375" s="89"/>
      <c r="G375" s="26" t="s">
        <v>14</v>
      </c>
      <c r="H375" s="26" t="s">
        <v>1444</v>
      </c>
      <c r="I375" s="26">
        <v>43</v>
      </c>
      <c r="J375" s="26">
        <v>163</v>
      </c>
      <c r="K375" s="26" t="s">
        <v>1445</v>
      </c>
      <c r="L375" s="26" t="s">
        <v>39</v>
      </c>
      <c r="M375" s="26" t="s">
        <v>93</v>
      </c>
      <c r="N375" s="26" t="s">
        <v>480</v>
      </c>
      <c r="O375" s="26" t="s">
        <v>1446</v>
      </c>
      <c r="P375" s="26" t="s">
        <v>9</v>
      </c>
      <c r="Q375" s="26" t="s">
        <v>10</v>
      </c>
      <c r="R375" s="26" t="s">
        <v>11</v>
      </c>
      <c r="S375" s="26" t="s">
        <v>1447</v>
      </c>
      <c r="T375" s="26" t="s">
        <v>1448</v>
      </c>
      <c r="U375" s="26">
        <v>0</v>
      </c>
    </row>
    <row r="376" spans="1:21">
      <c r="A376" s="48">
        <v>94</v>
      </c>
      <c r="B376" s="80">
        <v>1</v>
      </c>
      <c r="C376" s="80"/>
      <c r="D376" s="80"/>
      <c r="E376" s="80"/>
      <c r="F376" s="80"/>
      <c r="G376" s="26" t="s">
        <v>14</v>
      </c>
      <c r="H376" s="26" t="s">
        <v>1017</v>
      </c>
      <c r="I376" s="26">
        <v>44</v>
      </c>
      <c r="J376" s="26">
        <v>165</v>
      </c>
      <c r="K376" s="26" t="s">
        <v>1018</v>
      </c>
      <c r="L376" s="26" t="s">
        <v>467</v>
      </c>
      <c r="M376" s="26" t="s">
        <v>15</v>
      </c>
      <c r="N376" s="26" t="s">
        <v>907</v>
      </c>
      <c r="O376" s="26" t="s">
        <v>1019</v>
      </c>
      <c r="P376" s="26" t="s">
        <v>9</v>
      </c>
      <c r="Q376" s="26" t="s">
        <v>10</v>
      </c>
      <c r="R376" s="26" t="s">
        <v>319</v>
      </c>
      <c r="S376" s="26" t="s">
        <v>1020</v>
      </c>
      <c r="T376" s="26" t="s">
        <v>1021</v>
      </c>
      <c r="U376" s="26">
        <v>0</v>
      </c>
    </row>
    <row r="377" spans="1:21">
      <c r="A377" s="48">
        <v>96</v>
      </c>
      <c r="B377" s="80"/>
      <c r="C377" s="80"/>
      <c r="D377" s="80"/>
      <c r="E377" s="80"/>
      <c r="F377" s="81"/>
      <c r="G377" s="26" t="s">
        <v>8</v>
      </c>
      <c r="H377" s="26" t="s">
        <v>717</v>
      </c>
      <c r="I377" s="26">
        <v>45</v>
      </c>
      <c r="J377" s="26">
        <v>173</v>
      </c>
      <c r="K377" s="26" t="s">
        <v>718</v>
      </c>
      <c r="L377" s="26" t="s">
        <v>10</v>
      </c>
      <c r="M377" s="26" t="s">
        <v>10</v>
      </c>
      <c r="N377" s="26" t="s">
        <v>13</v>
      </c>
      <c r="O377" s="26" t="s">
        <v>10</v>
      </c>
      <c r="P377" s="26" t="s">
        <v>31</v>
      </c>
      <c r="Q377" s="26" t="s">
        <v>29</v>
      </c>
      <c r="R377" s="26" t="s">
        <v>10</v>
      </c>
      <c r="S377" s="26" t="s">
        <v>719</v>
      </c>
      <c r="T377" s="26" t="s">
        <v>720</v>
      </c>
      <c r="U377" s="26" t="s">
        <v>721</v>
      </c>
    </row>
    <row r="378" spans="1:21">
      <c r="A378" s="48">
        <v>4</v>
      </c>
      <c r="B378" s="80"/>
      <c r="C378" s="80"/>
      <c r="D378" s="80"/>
      <c r="E378" s="80"/>
      <c r="F378" s="81"/>
      <c r="G378" s="36" t="s">
        <v>14</v>
      </c>
      <c r="H378" s="26" t="s">
        <v>843</v>
      </c>
      <c r="I378" s="26">
        <v>45</v>
      </c>
      <c r="J378" s="26">
        <v>170</v>
      </c>
      <c r="K378" s="26" t="s">
        <v>196</v>
      </c>
      <c r="L378" s="26" t="s">
        <v>844</v>
      </c>
      <c r="M378" s="26" t="s">
        <v>93</v>
      </c>
      <c r="N378" s="26" t="s">
        <v>12</v>
      </c>
      <c r="O378" s="26" t="s">
        <v>10</v>
      </c>
      <c r="P378" s="26" t="s">
        <v>20</v>
      </c>
      <c r="Q378" s="26" t="s">
        <v>10</v>
      </c>
      <c r="R378" s="26" t="s">
        <v>10</v>
      </c>
      <c r="S378" s="26" t="s">
        <v>845</v>
      </c>
      <c r="T378" s="26" t="s">
        <v>846</v>
      </c>
      <c r="U378" s="26">
        <v>0</v>
      </c>
    </row>
    <row r="379" spans="1:21">
      <c r="A379" s="48">
        <v>10</v>
      </c>
      <c r="B379" s="80"/>
      <c r="C379" s="80"/>
      <c r="D379" s="80"/>
      <c r="E379" s="80"/>
      <c r="F379" s="81"/>
      <c r="G379" s="26" t="s">
        <v>8</v>
      </c>
      <c r="H379" s="26" t="s">
        <v>540</v>
      </c>
      <c r="I379" s="26">
        <v>49</v>
      </c>
      <c r="J379" s="26">
        <v>175</v>
      </c>
      <c r="K379" s="26" t="s">
        <v>541</v>
      </c>
      <c r="L379" s="26" t="s">
        <v>39</v>
      </c>
      <c r="M379" s="26" t="s">
        <v>22</v>
      </c>
      <c r="N379" s="26" t="s">
        <v>105</v>
      </c>
      <c r="O379" s="26" t="s">
        <v>10</v>
      </c>
      <c r="P379" s="26" t="s">
        <v>9</v>
      </c>
      <c r="Q379" s="26" t="s">
        <v>10</v>
      </c>
      <c r="R379" s="26" t="s">
        <v>10</v>
      </c>
      <c r="S379" s="26" t="s">
        <v>542</v>
      </c>
      <c r="T379" s="26" t="s">
        <v>543</v>
      </c>
      <c r="U379" s="26" t="s">
        <v>132</v>
      </c>
    </row>
    <row r="380" spans="1:21">
      <c r="A380" s="48">
        <v>295</v>
      </c>
      <c r="B380" s="79" t="s">
        <v>3104</v>
      </c>
      <c r="F380" s="1"/>
      <c r="G380" s="26" t="s">
        <v>8</v>
      </c>
      <c r="H380" s="26" t="s">
        <v>1625</v>
      </c>
      <c r="I380" s="26">
        <v>25</v>
      </c>
      <c r="J380" s="26">
        <v>171</v>
      </c>
      <c r="K380" s="26" t="s">
        <v>3105</v>
      </c>
      <c r="L380" s="26" t="s">
        <v>33</v>
      </c>
      <c r="M380" s="26" t="s">
        <v>22</v>
      </c>
      <c r="N380" s="26" t="s">
        <v>12</v>
      </c>
      <c r="O380" s="26" t="s">
        <v>10</v>
      </c>
      <c r="P380" s="26" t="s">
        <v>9</v>
      </c>
      <c r="Q380" s="26" t="s">
        <v>10</v>
      </c>
      <c r="R380" s="26" t="s">
        <v>1670</v>
      </c>
      <c r="S380" s="26" t="s">
        <v>3106</v>
      </c>
      <c r="T380" s="26" t="s">
        <v>1669</v>
      </c>
      <c r="U380" s="26">
        <v>0</v>
      </c>
    </row>
  </sheetData>
  <autoFilter ref="A1:U323">
    <sortState ref="A2:U379">
      <sortCondition ref="I1:I323"/>
    </sortState>
  </autoFilter>
  <phoneticPr fontId="1" type="noConversion"/>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9"/>
  <sheetViews>
    <sheetView topLeftCell="D1" zoomScale="85" zoomScaleNormal="85" workbookViewId="0">
      <pane ySplit="1" topLeftCell="A2" activePane="bottomLeft" state="frozen"/>
      <selection pane="bottomLeft" activeCell="I16" sqref="I16"/>
    </sheetView>
  </sheetViews>
  <sheetFormatPr defaultRowHeight="16.5"/>
  <cols>
    <col min="1" max="1" width="4.875" style="38" bestFit="1" customWidth="1"/>
    <col min="2" max="5" width="4.875" style="79" customWidth="1"/>
    <col min="6" max="7" width="4.875" style="82" customWidth="1"/>
    <col min="8" max="8" width="10.375" style="82" bestFit="1" customWidth="1"/>
    <col min="9" max="10" width="7.375" style="1" bestFit="1" customWidth="1"/>
    <col min="11" max="11" width="23.375" style="1" customWidth="1"/>
    <col min="12" max="12" width="6.125" style="1" bestFit="1" customWidth="1"/>
    <col min="13" max="13" width="41.25" style="1" customWidth="1"/>
    <col min="14" max="20" width="9" style="1"/>
    <col min="21" max="21" width="25.75" style="1" customWidth="1"/>
    <col min="22" max="22" width="30.375" style="1" customWidth="1"/>
    <col min="23" max="16384" width="9" style="1"/>
  </cols>
  <sheetData>
    <row r="1" spans="1:23">
      <c r="A1" s="49" t="s">
        <v>1043</v>
      </c>
      <c r="B1" s="79" t="s">
        <v>1751</v>
      </c>
      <c r="C1" s="79" t="s">
        <v>2740</v>
      </c>
      <c r="D1" s="79" t="s">
        <v>2741</v>
      </c>
      <c r="E1" s="79" t="s">
        <v>2742</v>
      </c>
      <c r="F1" s="82" t="s">
        <v>2743</v>
      </c>
      <c r="G1" s="21" t="s">
        <v>27</v>
      </c>
      <c r="H1" s="21" t="s">
        <v>40</v>
      </c>
      <c r="I1" s="21" t="s">
        <v>2</v>
      </c>
      <c r="J1" s="21" t="s">
        <v>4</v>
      </c>
      <c r="K1" s="21" t="s">
        <v>5</v>
      </c>
      <c r="L1" s="17" t="s">
        <v>41</v>
      </c>
      <c r="M1" s="21" t="s">
        <v>42</v>
      </c>
      <c r="N1" s="21" t="s">
        <v>6</v>
      </c>
      <c r="O1" s="21" t="s">
        <v>43</v>
      </c>
      <c r="P1" s="21" t="s">
        <v>3</v>
      </c>
      <c r="Q1" s="21" t="s">
        <v>45</v>
      </c>
      <c r="R1" s="4" t="s">
        <v>44</v>
      </c>
      <c r="S1" s="21" t="s">
        <v>46</v>
      </c>
      <c r="T1" s="17" t="s">
        <v>47</v>
      </c>
      <c r="U1" s="26" t="s">
        <v>87</v>
      </c>
    </row>
    <row r="2" spans="1:23">
      <c r="A2" s="48">
        <v>381</v>
      </c>
      <c r="B2" s="38"/>
      <c r="D2" s="79" t="s">
        <v>1121</v>
      </c>
      <c r="E2" s="82"/>
      <c r="G2" s="26" t="s">
        <v>14</v>
      </c>
      <c r="H2" s="26" t="s">
        <v>1031</v>
      </c>
      <c r="I2" s="26">
        <v>20</v>
      </c>
      <c r="J2" s="26">
        <v>155</v>
      </c>
      <c r="K2" s="26" t="s">
        <v>2801</v>
      </c>
      <c r="L2" s="26" t="s">
        <v>768</v>
      </c>
      <c r="M2" s="26" t="s">
        <v>15</v>
      </c>
      <c r="N2" s="4" t="s">
        <v>884</v>
      </c>
      <c r="O2" s="4" t="s">
        <v>10</v>
      </c>
      <c r="P2" s="4" t="s">
        <v>9</v>
      </c>
      <c r="Q2" s="4" t="s">
        <v>10</v>
      </c>
      <c r="R2" s="4" t="s">
        <v>10</v>
      </c>
      <c r="S2" s="4" t="s">
        <v>2802</v>
      </c>
      <c r="T2" s="4" t="s">
        <v>2803</v>
      </c>
      <c r="U2" s="4">
        <v>0</v>
      </c>
      <c r="V2" s="109"/>
      <c r="W2" s="109"/>
    </row>
    <row r="3" spans="1:23" ht="18.95" customHeight="1">
      <c r="A3" s="48">
        <v>63</v>
      </c>
      <c r="E3" s="82"/>
      <c r="G3" s="26" t="s">
        <v>14</v>
      </c>
      <c r="H3" s="26" t="s">
        <v>888</v>
      </c>
      <c r="I3" s="26">
        <v>23</v>
      </c>
      <c r="J3" s="26">
        <v>168</v>
      </c>
      <c r="K3" s="26" t="s">
        <v>3018</v>
      </c>
      <c r="L3" s="26" t="s">
        <v>737</v>
      </c>
      <c r="M3" s="26" t="s">
        <v>93</v>
      </c>
      <c r="N3" s="26" t="s">
        <v>1141</v>
      </c>
      <c r="O3" s="26" t="s">
        <v>891</v>
      </c>
      <c r="P3" s="26" t="s">
        <v>56</v>
      </c>
      <c r="Q3" s="26" t="s">
        <v>29</v>
      </c>
      <c r="R3" s="26" t="s">
        <v>10</v>
      </c>
      <c r="S3" s="26" t="s">
        <v>892</v>
      </c>
      <c r="T3" s="26" t="s">
        <v>893</v>
      </c>
      <c r="U3" s="26" t="s">
        <v>894</v>
      </c>
      <c r="V3" s="89" t="s">
        <v>1697</v>
      </c>
      <c r="W3" s="89">
        <v>0</v>
      </c>
    </row>
    <row r="4" spans="1:23" ht="18.95" customHeight="1">
      <c r="A4" s="48">
        <v>37</v>
      </c>
      <c r="E4" s="82"/>
      <c r="G4" s="26" t="s">
        <v>8</v>
      </c>
      <c r="H4" s="26" t="s">
        <v>652</v>
      </c>
      <c r="I4" s="26">
        <v>26</v>
      </c>
      <c r="J4" s="26">
        <v>175</v>
      </c>
      <c r="K4" s="26" t="s">
        <v>653</v>
      </c>
      <c r="L4" s="26" t="s">
        <v>62</v>
      </c>
      <c r="M4" s="26" t="s">
        <v>22</v>
      </c>
      <c r="N4" s="26" t="s">
        <v>2825</v>
      </c>
      <c r="O4" s="26" t="s">
        <v>10</v>
      </c>
      <c r="P4" s="26" t="s">
        <v>9</v>
      </c>
      <c r="Q4" s="26" t="s">
        <v>10</v>
      </c>
      <c r="R4" s="26" t="s">
        <v>646</v>
      </c>
      <c r="S4" s="26" t="s">
        <v>654</v>
      </c>
      <c r="T4" s="26" t="s">
        <v>655</v>
      </c>
      <c r="U4" s="26" t="s">
        <v>656</v>
      </c>
      <c r="V4" s="89" t="s">
        <v>426</v>
      </c>
      <c r="W4" s="89">
        <v>0</v>
      </c>
    </row>
    <row r="5" spans="1:23" ht="18.95" customHeight="1">
      <c r="A5" s="48">
        <v>43</v>
      </c>
      <c r="E5" s="82"/>
      <c r="G5" s="26" t="s">
        <v>14</v>
      </c>
      <c r="H5" s="26" t="s">
        <v>570</v>
      </c>
      <c r="I5" s="26">
        <v>27</v>
      </c>
      <c r="J5" s="26">
        <v>165</v>
      </c>
      <c r="K5" s="26" t="s">
        <v>571</v>
      </c>
      <c r="L5" s="26" t="s">
        <v>460</v>
      </c>
      <c r="M5" s="26" t="s">
        <v>93</v>
      </c>
      <c r="N5" s="26" t="s">
        <v>2822</v>
      </c>
      <c r="O5" s="26" t="s">
        <v>572</v>
      </c>
      <c r="P5" s="26" t="s">
        <v>9</v>
      </c>
      <c r="Q5" s="26" t="s">
        <v>29</v>
      </c>
      <c r="R5" s="26" t="s">
        <v>11</v>
      </c>
      <c r="S5" s="26" t="s">
        <v>573</v>
      </c>
      <c r="T5" s="26" t="s">
        <v>2963</v>
      </c>
      <c r="U5" s="26" t="s">
        <v>575</v>
      </c>
      <c r="V5" s="89" t="s">
        <v>412</v>
      </c>
      <c r="W5" s="89" t="s">
        <v>413</v>
      </c>
    </row>
    <row r="6" spans="1:23" ht="18.95" customHeight="1">
      <c r="A6" s="48">
        <v>50</v>
      </c>
      <c r="E6" s="82"/>
      <c r="G6" s="26" t="s">
        <v>1148</v>
      </c>
      <c r="H6" s="26" t="s">
        <v>1844</v>
      </c>
      <c r="I6" s="26">
        <v>27</v>
      </c>
      <c r="J6" s="26">
        <v>164</v>
      </c>
      <c r="K6" s="26" t="s">
        <v>1845</v>
      </c>
      <c r="L6" s="26" t="s">
        <v>25</v>
      </c>
      <c r="M6" s="26" t="s">
        <v>93</v>
      </c>
      <c r="N6" s="26" t="s">
        <v>2629</v>
      </c>
      <c r="O6" s="26" t="s">
        <v>1841</v>
      </c>
      <c r="P6" s="26" t="s">
        <v>9</v>
      </c>
      <c r="Q6" s="26" t="s">
        <v>29</v>
      </c>
      <c r="R6" s="26" t="s">
        <v>707</v>
      </c>
      <c r="S6" s="26" t="s">
        <v>1842</v>
      </c>
      <c r="T6" s="26" t="s">
        <v>1843</v>
      </c>
      <c r="U6" s="26"/>
      <c r="V6" s="89" t="s">
        <v>1193</v>
      </c>
      <c r="W6" s="89">
        <v>0</v>
      </c>
    </row>
    <row r="7" spans="1:23" ht="18.95" customHeight="1">
      <c r="A7" s="48">
        <v>48</v>
      </c>
      <c r="E7" s="82"/>
      <c r="G7" s="26" t="s">
        <v>8</v>
      </c>
      <c r="H7" s="26" t="s">
        <v>1909</v>
      </c>
      <c r="I7" s="26">
        <v>27</v>
      </c>
      <c r="J7" s="26">
        <v>183</v>
      </c>
      <c r="K7" s="26" t="s">
        <v>1910</v>
      </c>
      <c r="L7" s="26" t="s">
        <v>33</v>
      </c>
      <c r="M7" s="26" t="s">
        <v>774</v>
      </c>
      <c r="N7" s="26" t="s">
        <v>2825</v>
      </c>
      <c r="O7" s="26" t="s">
        <v>10</v>
      </c>
      <c r="P7" s="26" t="s">
        <v>31</v>
      </c>
      <c r="Q7" s="26" t="s">
        <v>10</v>
      </c>
      <c r="R7" s="26" t="s">
        <v>10</v>
      </c>
      <c r="S7" s="26" t="s">
        <v>1911</v>
      </c>
      <c r="T7" s="26" t="s">
        <v>1912</v>
      </c>
      <c r="U7" s="26" t="s">
        <v>1913</v>
      </c>
      <c r="V7" s="89" t="s">
        <v>1332</v>
      </c>
      <c r="W7" s="89">
        <v>0</v>
      </c>
    </row>
    <row r="8" spans="1:23" ht="18.95" customHeight="1">
      <c r="A8" s="48">
        <v>33</v>
      </c>
      <c r="E8" s="82"/>
      <c r="G8" s="26" t="s">
        <v>14</v>
      </c>
      <c r="H8" s="26" t="s">
        <v>2959</v>
      </c>
      <c r="I8" s="26">
        <v>27</v>
      </c>
      <c r="J8" s="26">
        <v>165</v>
      </c>
      <c r="K8" s="26" t="s">
        <v>1644</v>
      </c>
      <c r="L8" s="26" t="s">
        <v>460</v>
      </c>
      <c r="M8" s="26" t="s">
        <v>458</v>
      </c>
      <c r="N8" s="26" t="s">
        <v>2629</v>
      </c>
      <c r="O8" s="26" t="s">
        <v>1446</v>
      </c>
      <c r="P8" s="26">
        <v>0</v>
      </c>
      <c r="Q8" s="26" t="s">
        <v>9</v>
      </c>
      <c r="R8" s="26" t="s">
        <v>10</v>
      </c>
      <c r="S8" s="26" t="s">
        <v>2960</v>
      </c>
      <c r="T8" s="26" t="s">
        <v>2961</v>
      </c>
      <c r="U8" s="26" t="s">
        <v>2962</v>
      </c>
      <c r="V8" s="89" t="s">
        <v>1859</v>
      </c>
      <c r="W8" s="89" t="s">
        <v>1860</v>
      </c>
    </row>
    <row r="9" spans="1:23" ht="18.95" customHeight="1">
      <c r="A9" s="48">
        <v>12</v>
      </c>
      <c r="E9" s="1"/>
      <c r="G9" s="26" t="s">
        <v>1148</v>
      </c>
      <c r="H9" s="26" t="s">
        <v>2954</v>
      </c>
      <c r="I9" s="26">
        <v>27</v>
      </c>
      <c r="J9" s="26">
        <v>171</v>
      </c>
      <c r="K9" s="26" t="s">
        <v>2955</v>
      </c>
      <c r="L9" s="26" t="s">
        <v>1161</v>
      </c>
      <c r="M9" s="26" t="s">
        <v>1162</v>
      </c>
      <c r="N9" s="26" t="s">
        <v>2692</v>
      </c>
      <c r="O9" s="26" t="s">
        <v>2956</v>
      </c>
      <c r="P9" s="26" t="s">
        <v>9</v>
      </c>
      <c r="Q9" s="26" t="s">
        <v>10</v>
      </c>
      <c r="R9" s="26" t="s">
        <v>2957</v>
      </c>
      <c r="S9" s="26" t="s">
        <v>2958</v>
      </c>
      <c r="T9" s="26"/>
      <c r="U9" s="26"/>
      <c r="V9" s="89" t="s">
        <v>271</v>
      </c>
      <c r="W9" s="89">
        <v>0</v>
      </c>
    </row>
    <row r="10" spans="1:23" ht="18.95" customHeight="1">
      <c r="A10" s="48">
        <v>7</v>
      </c>
      <c r="E10" s="1"/>
      <c r="G10" s="26" t="s">
        <v>7</v>
      </c>
      <c r="H10" s="26" t="s">
        <v>2907</v>
      </c>
      <c r="I10" s="26">
        <v>27</v>
      </c>
      <c r="J10" s="26">
        <v>178</v>
      </c>
      <c r="K10" s="26" t="s">
        <v>2908</v>
      </c>
      <c r="L10" s="26" t="s">
        <v>2909</v>
      </c>
      <c r="M10" s="26" t="s">
        <v>22</v>
      </c>
      <c r="N10" s="26" t="s">
        <v>2910</v>
      </c>
      <c r="O10" s="26" t="s">
        <v>2911</v>
      </c>
      <c r="P10" s="26" t="s">
        <v>1314</v>
      </c>
      <c r="Q10" s="26" t="s">
        <v>10</v>
      </c>
      <c r="R10" s="26" t="s">
        <v>10</v>
      </c>
      <c r="S10" s="26" t="s">
        <v>2912</v>
      </c>
      <c r="T10" s="26"/>
      <c r="U10" s="26"/>
      <c r="V10" s="89" t="s">
        <v>1218</v>
      </c>
      <c r="W10" s="89">
        <v>0</v>
      </c>
    </row>
    <row r="11" spans="1:23" ht="18.95" customHeight="1">
      <c r="A11" s="48">
        <v>47</v>
      </c>
      <c r="E11" s="82"/>
      <c r="G11" s="26" t="s">
        <v>14</v>
      </c>
      <c r="H11" s="26" t="s">
        <v>730</v>
      </c>
      <c r="I11" s="26">
        <v>28</v>
      </c>
      <c r="J11" s="26">
        <v>162</v>
      </c>
      <c r="K11" s="26" t="s">
        <v>731</v>
      </c>
      <c r="L11" s="26" t="s">
        <v>25</v>
      </c>
      <c r="M11" s="26" t="s">
        <v>15</v>
      </c>
      <c r="N11" s="26" t="s">
        <v>2629</v>
      </c>
      <c r="O11" s="26" t="s">
        <v>10</v>
      </c>
      <c r="P11" s="26" t="s">
        <v>9</v>
      </c>
      <c r="Q11" s="26" t="s">
        <v>10</v>
      </c>
      <c r="R11" s="26" t="s">
        <v>10</v>
      </c>
      <c r="S11" s="26" t="s">
        <v>733</v>
      </c>
      <c r="T11" s="26" t="s">
        <v>734</v>
      </c>
      <c r="U11" s="26">
        <v>0</v>
      </c>
      <c r="V11" s="89" t="s">
        <v>893</v>
      </c>
      <c r="W11" s="89" t="s">
        <v>894</v>
      </c>
    </row>
    <row r="12" spans="1:23" ht="18.95" customHeight="1">
      <c r="A12" s="48">
        <v>372</v>
      </c>
      <c r="B12" s="81">
        <v>1</v>
      </c>
      <c r="C12" s="81"/>
      <c r="D12" s="81">
        <v>1</v>
      </c>
      <c r="E12" s="80"/>
      <c r="F12" s="81"/>
      <c r="G12" s="26" t="s">
        <v>14</v>
      </c>
      <c r="H12" s="103" t="s">
        <v>2734</v>
      </c>
      <c r="I12" s="26">
        <v>28</v>
      </c>
      <c r="J12" s="26">
        <v>174</v>
      </c>
      <c r="K12" s="26" t="s">
        <v>1931</v>
      </c>
      <c r="L12" s="26" t="s">
        <v>462</v>
      </c>
      <c r="M12" s="26" t="s">
        <v>93</v>
      </c>
      <c r="N12" s="4" t="s">
        <v>30</v>
      </c>
      <c r="O12" s="4" t="s">
        <v>10</v>
      </c>
      <c r="P12" s="4" t="s">
        <v>9</v>
      </c>
      <c r="Q12" s="4" t="s">
        <v>10</v>
      </c>
      <c r="R12" s="4" t="s">
        <v>10</v>
      </c>
      <c r="S12" s="4" t="s">
        <v>2735</v>
      </c>
      <c r="T12" s="4" t="s">
        <v>2736</v>
      </c>
      <c r="U12" s="4" t="s">
        <v>2695</v>
      </c>
    </row>
    <row r="13" spans="1:23" ht="18.95" customHeight="1">
      <c r="A13" s="48">
        <v>32</v>
      </c>
      <c r="E13" s="82"/>
      <c r="G13" s="26" t="s">
        <v>8</v>
      </c>
      <c r="H13" s="26" t="s">
        <v>1629</v>
      </c>
      <c r="I13" s="26">
        <v>28</v>
      </c>
      <c r="J13" s="26">
        <v>175</v>
      </c>
      <c r="K13" s="26" t="s">
        <v>1631</v>
      </c>
      <c r="L13" s="26" t="s">
        <v>33</v>
      </c>
      <c r="M13" s="26" t="s">
        <v>10</v>
      </c>
      <c r="N13" s="26" t="s">
        <v>2692</v>
      </c>
      <c r="O13" s="26" t="s">
        <v>10</v>
      </c>
      <c r="P13" s="4"/>
      <c r="Q13" s="26">
        <v>0</v>
      </c>
      <c r="R13" s="26" t="s">
        <v>10</v>
      </c>
      <c r="S13" s="26" t="s">
        <v>2917</v>
      </c>
      <c r="T13" s="26">
        <v>0</v>
      </c>
      <c r="U13" s="26" t="s">
        <v>2918</v>
      </c>
      <c r="V13" s="26" t="s">
        <v>688</v>
      </c>
      <c r="W13" s="26">
        <v>0</v>
      </c>
    </row>
    <row r="14" spans="1:23" ht="18.95" customHeight="1">
      <c r="A14" s="48">
        <v>49</v>
      </c>
      <c r="E14" s="82"/>
      <c r="F14" s="1"/>
      <c r="G14" s="26" t="s">
        <v>14</v>
      </c>
      <c r="H14" s="26" t="s">
        <v>1947</v>
      </c>
      <c r="I14" s="26">
        <v>28</v>
      </c>
      <c r="J14" s="26">
        <v>163</v>
      </c>
      <c r="K14" s="26" t="s">
        <v>273</v>
      </c>
      <c r="L14" s="26" t="s">
        <v>459</v>
      </c>
      <c r="M14" s="26" t="s">
        <v>93</v>
      </c>
      <c r="N14" s="26" t="s">
        <v>2629</v>
      </c>
      <c r="O14" s="26" t="s">
        <v>1948</v>
      </c>
      <c r="P14" s="26" t="s">
        <v>9</v>
      </c>
      <c r="Q14" s="26" t="s">
        <v>29</v>
      </c>
      <c r="R14" s="26" t="s">
        <v>69</v>
      </c>
      <c r="S14" s="26" t="s">
        <v>1949</v>
      </c>
      <c r="T14" s="26" t="s">
        <v>1950</v>
      </c>
      <c r="U14" s="26" t="s">
        <v>1951</v>
      </c>
      <c r="V14" s="4" t="s">
        <v>2726</v>
      </c>
      <c r="W14" s="4">
        <v>0</v>
      </c>
    </row>
    <row r="15" spans="1:23" ht="18.95" customHeight="1">
      <c r="A15" s="48">
        <v>20</v>
      </c>
      <c r="C15" s="1"/>
      <c r="D15" s="1"/>
      <c r="E15" s="82">
        <v>1</v>
      </c>
      <c r="F15" s="82">
        <v>1</v>
      </c>
      <c r="G15" s="26" t="s">
        <v>14</v>
      </c>
      <c r="H15" s="26" t="s">
        <v>2968</v>
      </c>
      <c r="I15" s="26">
        <v>28</v>
      </c>
      <c r="J15" s="26">
        <v>165</v>
      </c>
      <c r="K15" s="26" t="s">
        <v>1292</v>
      </c>
      <c r="L15" s="26" t="s">
        <v>1161</v>
      </c>
      <c r="M15" s="26" t="s">
        <v>1162</v>
      </c>
      <c r="N15" s="26" t="s">
        <v>2969</v>
      </c>
      <c r="O15" s="26" t="s">
        <v>10</v>
      </c>
      <c r="P15" s="26" t="s">
        <v>9</v>
      </c>
      <c r="Q15" s="26" t="s">
        <v>10</v>
      </c>
      <c r="R15" s="26" t="s">
        <v>69</v>
      </c>
      <c r="S15" s="26" t="s">
        <v>2970</v>
      </c>
      <c r="T15" s="26" t="s">
        <v>2971</v>
      </c>
      <c r="U15" s="26"/>
      <c r="V15" s="26" t="s">
        <v>1781</v>
      </c>
      <c r="W15" s="26">
        <v>0</v>
      </c>
    </row>
    <row r="16" spans="1:23" ht="18.95" customHeight="1">
      <c r="A16" s="48">
        <v>4</v>
      </c>
      <c r="E16" s="1"/>
      <c r="G16" s="26" t="s">
        <v>7</v>
      </c>
      <c r="H16" s="26" t="s">
        <v>2913</v>
      </c>
      <c r="I16" s="26">
        <v>28</v>
      </c>
      <c r="J16" s="26">
        <v>178</v>
      </c>
      <c r="K16" s="26" t="s">
        <v>2914</v>
      </c>
      <c r="L16" s="26" t="s">
        <v>2909</v>
      </c>
      <c r="M16" s="26" t="s">
        <v>22</v>
      </c>
      <c r="N16" s="26" t="s">
        <v>2584</v>
      </c>
      <c r="O16" s="26" t="s">
        <v>2915</v>
      </c>
      <c r="P16" s="26" t="s">
        <v>9</v>
      </c>
      <c r="Q16" s="26" t="s">
        <v>10</v>
      </c>
      <c r="R16" s="26" t="s">
        <v>10</v>
      </c>
      <c r="S16" s="26" t="s">
        <v>2916</v>
      </c>
      <c r="T16" s="26"/>
      <c r="U16" s="26"/>
      <c r="V16" s="26" t="s">
        <v>1337</v>
      </c>
      <c r="W16" s="26">
        <v>0</v>
      </c>
    </row>
    <row r="17" spans="1:23" ht="18.95" customHeight="1">
      <c r="A17" s="48">
        <v>58</v>
      </c>
      <c r="E17" s="82"/>
      <c r="G17" s="26" t="s">
        <v>8</v>
      </c>
      <c r="H17" s="26" t="s">
        <v>1545</v>
      </c>
      <c r="I17" s="26">
        <v>28</v>
      </c>
      <c r="J17" s="26">
        <v>187</v>
      </c>
      <c r="K17" s="26" t="s">
        <v>1546</v>
      </c>
      <c r="L17" s="26" t="s">
        <v>767</v>
      </c>
      <c r="M17" s="26" t="s">
        <v>769</v>
      </c>
      <c r="N17" s="26" t="s">
        <v>2910</v>
      </c>
      <c r="O17" s="26" t="s">
        <v>10</v>
      </c>
      <c r="P17" s="26" t="s">
        <v>9</v>
      </c>
      <c r="Q17" s="26" t="s">
        <v>10</v>
      </c>
      <c r="R17" s="26" t="s">
        <v>10</v>
      </c>
      <c r="S17" s="26" t="s">
        <v>1547</v>
      </c>
      <c r="T17" s="26">
        <v>0</v>
      </c>
      <c r="U17" s="26">
        <v>0</v>
      </c>
      <c r="V17" s="26">
        <v>0</v>
      </c>
      <c r="W17" s="26">
        <v>0</v>
      </c>
    </row>
    <row r="18" spans="1:23" ht="18.95" customHeight="1">
      <c r="A18" s="48">
        <v>54</v>
      </c>
      <c r="E18" s="82"/>
      <c r="G18" s="26" t="s">
        <v>8</v>
      </c>
      <c r="H18" s="26" t="s">
        <v>1758</v>
      </c>
      <c r="I18" s="26">
        <v>28</v>
      </c>
      <c r="J18" s="26">
        <v>168</v>
      </c>
      <c r="K18" s="26" t="s">
        <v>2919</v>
      </c>
      <c r="L18" s="26" t="s">
        <v>1156</v>
      </c>
      <c r="M18" s="26" t="s">
        <v>91</v>
      </c>
      <c r="N18" s="26" t="s">
        <v>1141</v>
      </c>
      <c r="O18" s="26" t="s">
        <v>10</v>
      </c>
      <c r="P18" s="26" t="s">
        <v>9</v>
      </c>
      <c r="Q18" s="26" t="s">
        <v>10</v>
      </c>
      <c r="R18" s="26" t="s">
        <v>10</v>
      </c>
      <c r="S18" s="26" t="s">
        <v>2920</v>
      </c>
      <c r="T18" s="26" t="s">
        <v>2921</v>
      </c>
      <c r="U18" s="26">
        <v>0</v>
      </c>
      <c r="V18" s="4" t="s">
        <v>403</v>
      </c>
      <c r="W18" s="4" t="s">
        <v>404</v>
      </c>
    </row>
    <row r="19" spans="1:23" ht="18.95" customHeight="1">
      <c r="A19" s="48">
        <v>31</v>
      </c>
      <c r="E19" s="82"/>
      <c r="G19" s="26" t="s">
        <v>14</v>
      </c>
      <c r="H19" s="26" t="s">
        <v>2972</v>
      </c>
      <c r="I19" s="26">
        <v>28</v>
      </c>
      <c r="J19" s="26">
        <v>162</v>
      </c>
      <c r="K19" s="26" t="s">
        <v>2973</v>
      </c>
      <c r="L19" s="26" t="s">
        <v>25</v>
      </c>
      <c r="M19" s="26" t="s">
        <v>458</v>
      </c>
      <c r="N19" s="26" t="s">
        <v>2663</v>
      </c>
      <c r="O19" s="26" t="s">
        <v>10</v>
      </c>
      <c r="P19" s="4"/>
      <c r="Q19" s="26"/>
      <c r="R19" s="26" t="s">
        <v>2974</v>
      </c>
      <c r="S19" s="26" t="s">
        <v>2975</v>
      </c>
      <c r="T19" s="26" t="s">
        <v>2976</v>
      </c>
      <c r="U19" s="26"/>
      <c r="V19" s="26" t="s">
        <v>1114</v>
      </c>
      <c r="W19" s="26">
        <v>0</v>
      </c>
    </row>
    <row r="20" spans="1:23" ht="18.95" customHeight="1">
      <c r="A20" s="48">
        <v>13</v>
      </c>
      <c r="E20" s="1"/>
      <c r="G20" s="26" t="s">
        <v>1148</v>
      </c>
      <c r="H20" s="26" t="s">
        <v>2964</v>
      </c>
      <c r="I20" s="26">
        <v>28</v>
      </c>
      <c r="J20" s="26">
        <v>168</v>
      </c>
      <c r="K20" s="26" t="s">
        <v>2965</v>
      </c>
      <c r="L20" s="26" t="s">
        <v>1161</v>
      </c>
      <c r="M20" s="26" t="s">
        <v>93</v>
      </c>
      <c r="N20" s="26" t="s">
        <v>1768</v>
      </c>
      <c r="O20" s="26" t="s">
        <v>2966</v>
      </c>
      <c r="P20" s="26" t="s">
        <v>9</v>
      </c>
      <c r="Q20" s="26" t="s">
        <v>10</v>
      </c>
      <c r="R20" s="26" t="s">
        <v>10</v>
      </c>
      <c r="S20" s="26" t="s">
        <v>2967</v>
      </c>
      <c r="T20" s="26"/>
      <c r="U20" s="26"/>
      <c r="V20" s="26" t="s">
        <v>1201</v>
      </c>
      <c r="W20" s="26">
        <v>0</v>
      </c>
    </row>
    <row r="21" spans="1:23" ht="18.95" customHeight="1">
      <c r="A21" s="48">
        <v>57</v>
      </c>
      <c r="E21" s="82"/>
      <c r="G21" s="26" t="s">
        <v>8</v>
      </c>
      <c r="H21" s="26" t="s">
        <v>134</v>
      </c>
      <c r="I21" s="26">
        <v>28</v>
      </c>
      <c r="J21" s="26">
        <v>181</v>
      </c>
      <c r="K21" s="26" t="s">
        <v>135</v>
      </c>
      <c r="L21" s="26" t="s">
        <v>459</v>
      </c>
      <c r="M21" s="26" t="s">
        <v>34</v>
      </c>
      <c r="N21" s="26" t="s">
        <v>1768</v>
      </c>
      <c r="O21" s="26" t="s">
        <v>10</v>
      </c>
      <c r="P21" s="26" t="s">
        <v>9</v>
      </c>
      <c r="Q21" s="26" t="s">
        <v>10</v>
      </c>
      <c r="R21" s="26" t="s">
        <v>10</v>
      </c>
      <c r="S21" s="26" t="s">
        <v>136</v>
      </c>
      <c r="T21" s="26" t="s">
        <v>137</v>
      </c>
      <c r="U21" s="26">
        <v>0</v>
      </c>
      <c r="V21" s="26" t="s">
        <v>651</v>
      </c>
      <c r="W21" s="26">
        <v>0</v>
      </c>
    </row>
    <row r="22" spans="1:23" ht="18.95" customHeight="1">
      <c r="A22" s="48">
        <v>64</v>
      </c>
      <c r="E22" s="82"/>
      <c r="G22" s="26" t="s">
        <v>14</v>
      </c>
      <c r="H22" s="26" t="s">
        <v>1143</v>
      </c>
      <c r="I22" s="26">
        <v>28</v>
      </c>
      <c r="J22" s="26">
        <v>158</v>
      </c>
      <c r="K22" s="26" t="s">
        <v>1160</v>
      </c>
      <c r="L22" s="26" t="s">
        <v>1161</v>
      </c>
      <c r="M22" s="26" t="s">
        <v>1162</v>
      </c>
      <c r="N22" s="26" t="s">
        <v>2831</v>
      </c>
      <c r="O22" s="26" t="s">
        <v>3019</v>
      </c>
      <c r="P22" s="26" t="s">
        <v>9</v>
      </c>
      <c r="Q22" s="26" t="s">
        <v>29</v>
      </c>
      <c r="R22" s="26">
        <v>0</v>
      </c>
      <c r="S22" s="26" t="s">
        <v>1163</v>
      </c>
      <c r="T22" s="26">
        <v>0</v>
      </c>
      <c r="U22" s="26">
        <v>0</v>
      </c>
      <c r="V22" s="26" t="s">
        <v>1691</v>
      </c>
      <c r="W22" s="26">
        <v>0</v>
      </c>
    </row>
    <row r="23" spans="1:23" ht="18.95" customHeight="1">
      <c r="A23" s="48">
        <v>14</v>
      </c>
      <c r="E23" s="1"/>
      <c r="G23" s="26" t="s">
        <v>1148</v>
      </c>
      <c r="H23" s="26" t="s">
        <v>2977</v>
      </c>
      <c r="I23" s="26">
        <v>29</v>
      </c>
      <c r="J23" s="26">
        <v>163</v>
      </c>
      <c r="K23" s="26" t="s">
        <v>2978</v>
      </c>
      <c r="L23" s="26" t="s">
        <v>17</v>
      </c>
      <c r="M23" s="26" t="s">
        <v>15</v>
      </c>
      <c r="N23" s="26" t="s">
        <v>2629</v>
      </c>
      <c r="O23" s="26" t="s">
        <v>2979</v>
      </c>
      <c r="P23" s="26" t="s">
        <v>9</v>
      </c>
      <c r="Q23" s="26" t="s">
        <v>10</v>
      </c>
      <c r="R23" s="26" t="s">
        <v>69</v>
      </c>
      <c r="S23" s="26" t="s">
        <v>2980</v>
      </c>
      <c r="T23" s="26"/>
      <c r="U23" s="26"/>
      <c r="V23" s="4" t="s">
        <v>249</v>
      </c>
      <c r="W23" s="4">
        <v>0</v>
      </c>
    </row>
    <row r="24" spans="1:23" ht="18.95" customHeight="1">
      <c r="A24" s="48">
        <v>30</v>
      </c>
      <c r="E24" s="82"/>
      <c r="G24" s="26" t="s">
        <v>14</v>
      </c>
      <c r="H24" s="26" t="s">
        <v>2985</v>
      </c>
      <c r="I24" s="26">
        <v>29</v>
      </c>
      <c r="J24" s="26">
        <v>158</v>
      </c>
      <c r="K24" s="26" t="s">
        <v>2986</v>
      </c>
      <c r="L24" s="26" t="s">
        <v>17</v>
      </c>
      <c r="M24" s="26" t="s">
        <v>1162</v>
      </c>
      <c r="N24" s="26" t="s">
        <v>2987</v>
      </c>
      <c r="O24" s="26" t="s">
        <v>10</v>
      </c>
      <c r="P24" s="4"/>
      <c r="Q24" s="26"/>
      <c r="R24" s="26" t="s">
        <v>10</v>
      </c>
      <c r="S24" s="26" t="s">
        <v>2988</v>
      </c>
      <c r="T24" s="26" t="s">
        <v>2989</v>
      </c>
      <c r="U24" s="26"/>
      <c r="V24" s="4" t="s">
        <v>2733</v>
      </c>
      <c r="W24" s="4">
        <v>0</v>
      </c>
    </row>
    <row r="25" spans="1:23" ht="18.95" customHeight="1">
      <c r="A25" s="48">
        <v>17</v>
      </c>
      <c r="C25" s="1"/>
      <c r="D25" s="1"/>
      <c r="E25" s="1"/>
      <c r="G25" s="26" t="s">
        <v>1148</v>
      </c>
      <c r="H25" s="26" t="s">
        <v>2981</v>
      </c>
      <c r="I25" s="26">
        <v>29</v>
      </c>
      <c r="J25" s="26">
        <v>165</v>
      </c>
      <c r="K25" s="26" t="s">
        <v>2982</v>
      </c>
      <c r="L25" s="26" t="s">
        <v>1161</v>
      </c>
      <c r="M25" s="26" t="s">
        <v>2983</v>
      </c>
      <c r="N25" s="26" t="s">
        <v>1141</v>
      </c>
      <c r="O25" s="26" t="s">
        <v>10</v>
      </c>
      <c r="P25" s="26" t="s">
        <v>9</v>
      </c>
      <c r="Q25" s="26" t="s">
        <v>63</v>
      </c>
      <c r="R25" s="26" t="s">
        <v>646</v>
      </c>
      <c r="S25" s="26" t="s">
        <v>2984</v>
      </c>
      <c r="T25" s="26"/>
      <c r="U25" s="26"/>
      <c r="V25" s="4" t="s">
        <v>2732</v>
      </c>
      <c r="W25" s="4">
        <v>0</v>
      </c>
    </row>
    <row r="26" spans="1:23" ht="18.95" customHeight="1">
      <c r="A26" s="48">
        <v>65</v>
      </c>
      <c r="E26" s="82"/>
      <c r="G26" s="26" t="s">
        <v>14</v>
      </c>
      <c r="H26" s="26" t="s">
        <v>2049</v>
      </c>
      <c r="I26" s="26">
        <v>29</v>
      </c>
      <c r="J26" s="26">
        <v>158</v>
      </c>
      <c r="K26" s="26" t="s">
        <v>2050</v>
      </c>
      <c r="L26" s="26" t="s">
        <v>2051</v>
      </c>
      <c r="M26" s="26" t="s">
        <v>15</v>
      </c>
      <c r="N26" s="26" t="s">
        <v>1766</v>
      </c>
      <c r="O26" s="26" t="s">
        <v>10</v>
      </c>
      <c r="P26" s="26" t="s">
        <v>10</v>
      </c>
      <c r="Q26" s="26" t="s">
        <v>9</v>
      </c>
      <c r="R26" s="26" t="s">
        <v>10</v>
      </c>
      <c r="S26" s="26" t="s">
        <v>2052</v>
      </c>
      <c r="T26" s="26">
        <v>0</v>
      </c>
      <c r="U26" s="26">
        <v>0</v>
      </c>
      <c r="V26" s="4" t="s">
        <v>2739</v>
      </c>
      <c r="W26" s="4" t="s">
        <v>2701</v>
      </c>
    </row>
    <row r="27" spans="1:23" ht="18.95" customHeight="1">
      <c r="A27" s="48">
        <v>38</v>
      </c>
      <c r="E27" s="82"/>
      <c r="G27" s="26" t="s">
        <v>8</v>
      </c>
      <c r="H27" s="26" t="s">
        <v>1306</v>
      </c>
      <c r="I27" s="26">
        <v>29</v>
      </c>
      <c r="J27" s="26">
        <v>175</v>
      </c>
      <c r="K27" s="26" t="s">
        <v>1307</v>
      </c>
      <c r="L27" s="26" t="s">
        <v>737</v>
      </c>
      <c r="M27" s="26" t="s">
        <v>22</v>
      </c>
      <c r="N27" s="26" t="s">
        <v>2910</v>
      </c>
      <c r="O27" s="26" t="s">
        <v>10</v>
      </c>
      <c r="P27" s="26" t="s">
        <v>9</v>
      </c>
      <c r="Q27" s="26" t="s">
        <v>10</v>
      </c>
      <c r="R27" s="26" t="s">
        <v>10</v>
      </c>
      <c r="S27" s="26" t="s">
        <v>1308</v>
      </c>
      <c r="T27" s="26" t="s">
        <v>1309</v>
      </c>
      <c r="U27" s="26">
        <v>0</v>
      </c>
      <c r="V27" s="4" t="s">
        <v>1326</v>
      </c>
      <c r="W27" s="4" t="s">
        <v>1327</v>
      </c>
    </row>
    <row r="28" spans="1:23" ht="18.95" customHeight="1">
      <c r="A28" s="48">
        <v>69</v>
      </c>
      <c r="E28" s="82"/>
      <c r="G28" s="26" t="s">
        <v>14</v>
      </c>
      <c r="H28" s="26" t="s">
        <v>3027</v>
      </c>
      <c r="I28" s="26">
        <v>29</v>
      </c>
      <c r="J28" s="26">
        <v>161</v>
      </c>
      <c r="K28" s="26" t="s">
        <v>1640</v>
      </c>
      <c r="L28" s="26" t="s">
        <v>25</v>
      </c>
      <c r="M28" s="26" t="s">
        <v>15</v>
      </c>
      <c r="N28" s="26" t="s">
        <v>1141</v>
      </c>
      <c r="O28" s="26" t="s">
        <v>390</v>
      </c>
      <c r="P28" s="26" t="s">
        <v>9</v>
      </c>
      <c r="Q28" s="26" t="s">
        <v>10</v>
      </c>
      <c r="R28" s="26" t="s">
        <v>10</v>
      </c>
      <c r="S28" s="26" t="s">
        <v>1681</v>
      </c>
      <c r="T28" s="26" t="s">
        <v>1682</v>
      </c>
      <c r="U28" s="26" t="s">
        <v>1683</v>
      </c>
      <c r="V28" s="26" t="s">
        <v>226</v>
      </c>
      <c r="W28" s="26" t="s">
        <v>471</v>
      </c>
    </row>
    <row r="29" spans="1:23" ht="16.5" customHeight="1">
      <c r="A29" s="48">
        <v>60</v>
      </c>
      <c r="E29" s="82"/>
      <c r="G29" s="26" t="s">
        <v>8</v>
      </c>
      <c r="H29" s="26" t="s">
        <v>1665</v>
      </c>
      <c r="I29" s="26">
        <v>29</v>
      </c>
      <c r="J29" s="26">
        <v>177</v>
      </c>
      <c r="K29" s="26" t="s">
        <v>1666</v>
      </c>
      <c r="L29" s="26" t="s">
        <v>62</v>
      </c>
      <c r="M29" s="26" t="s">
        <v>591</v>
      </c>
      <c r="N29" s="26" t="s">
        <v>1765</v>
      </c>
      <c r="O29" s="26" t="s">
        <v>10</v>
      </c>
      <c r="P29" s="26" t="s">
        <v>9</v>
      </c>
      <c r="Q29" s="26" t="s">
        <v>10</v>
      </c>
      <c r="R29" s="26" t="s">
        <v>10</v>
      </c>
      <c r="S29" s="26" t="s">
        <v>1714</v>
      </c>
      <c r="T29" s="26" t="s">
        <v>1715</v>
      </c>
      <c r="U29" s="26">
        <v>0</v>
      </c>
      <c r="V29" s="26" t="s">
        <v>574</v>
      </c>
      <c r="W29" s="26" t="s">
        <v>575</v>
      </c>
    </row>
    <row r="30" spans="1:23" ht="16.5" customHeight="1">
      <c r="A30" s="48">
        <v>26</v>
      </c>
      <c r="E30" s="82"/>
      <c r="G30" s="26" t="s">
        <v>14</v>
      </c>
      <c r="H30" s="26" t="s">
        <v>2897</v>
      </c>
      <c r="I30" s="26">
        <v>30</v>
      </c>
      <c r="J30" s="26">
        <v>159</v>
      </c>
      <c r="K30" s="26" t="s">
        <v>2898</v>
      </c>
      <c r="L30" s="26" t="s">
        <v>2899</v>
      </c>
      <c r="M30" s="26" t="s">
        <v>93</v>
      </c>
      <c r="N30" s="26" t="s">
        <v>2822</v>
      </c>
      <c r="O30" s="26" t="s">
        <v>2900</v>
      </c>
      <c r="P30" s="4"/>
      <c r="Q30" s="26"/>
      <c r="R30" s="26" t="s">
        <v>2901</v>
      </c>
      <c r="S30" s="26" t="s">
        <v>2902</v>
      </c>
      <c r="T30" s="26" t="s">
        <v>2903</v>
      </c>
      <c r="U30" s="26"/>
      <c r="V30" s="4" t="s">
        <v>2869</v>
      </c>
      <c r="W30" s="4">
        <v>0</v>
      </c>
    </row>
    <row r="31" spans="1:23" ht="16.5" customHeight="1">
      <c r="A31" s="48">
        <v>70</v>
      </c>
      <c r="E31" s="82"/>
      <c r="G31" s="26" t="s">
        <v>8</v>
      </c>
      <c r="H31" s="26" t="s">
        <v>1980</v>
      </c>
      <c r="I31" s="26">
        <v>30</v>
      </c>
      <c r="J31" s="26">
        <v>182</v>
      </c>
      <c r="K31" s="26" t="s">
        <v>1981</v>
      </c>
      <c r="L31" s="26" t="s">
        <v>460</v>
      </c>
      <c r="M31" s="26" t="s">
        <v>774</v>
      </c>
      <c r="N31" s="26" t="s">
        <v>1141</v>
      </c>
      <c r="O31" s="26" t="s">
        <v>10</v>
      </c>
      <c r="P31" s="26" t="s">
        <v>20</v>
      </c>
      <c r="Q31" s="26" t="s">
        <v>10</v>
      </c>
      <c r="R31" s="26" t="s">
        <v>10</v>
      </c>
      <c r="S31" s="26" t="s">
        <v>1982</v>
      </c>
      <c r="T31" s="26" t="s">
        <v>1983</v>
      </c>
      <c r="U31" s="26"/>
      <c r="V31" s="26" t="s">
        <v>1205</v>
      </c>
      <c r="W31" s="26">
        <v>0</v>
      </c>
    </row>
    <row r="32" spans="1:23" ht="16.5" customHeight="1">
      <c r="A32" s="48">
        <v>23</v>
      </c>
      <c r="E32" s="82"/>
      <c r="G32" s="26" t="s">
        <v>8</v>
      </c>
      <c r="H32" s="26" t="s">
        <v>2925</v>
      </c>
      <c r="I32" s="26">
        <v>30</v>
      </c>
      <c r="J32" s="26">
        <v>172</v>
      </c>
      <c r="K32" s="26" t="s">
        <v>2926</v>
      </c>
      <c r="L32" s="26" t="s">
        <v>2909</v>
      </c>
      <c r="M32" s="26" t="s">
        <v>591</v>
      </c>
      <c r="N32" s="26" t="s">
        <v>1768</v>
      </c>
      <c r="O32" s="26" t="s">
        <v>2927</v>
      </c>
      <c r="P32" s="26" t="s">
        <v>646</v>
      </c>
      <c r="Q32" s="26" t="s">
        <v>49</v>
      </c>
      <c r="R32" s="26" t="s">
        <v>29</v>
      </c>
      <c r="S32" s="26" t="s">
        <v>2928</v>
      </c>
      <c r="T32" s="26">
        <v>0</v>
      </c>
      <c r="U32" s="26">
        <v>0</v>
      </c>
      <c r="V32" s="26" t="s">
        <v>808</v>
      </c>
      <c r="W32" s="26">
        <v>0</v>
      </c>
    </row>
    <row r="33" spans="1:23" ht="16.5" customHeight="1">
      <c r="A33" s="48">
        <v>59</v>
      </c>
      <c r="E33" s="82"/>
      <c r="G33" s="26" t="s">
        <v>8</v>
      </c>
      <c r="H33" s="36" t="s">
        <v>1871</v>
      </c>
      <c r="I33" s="26">
        <v>30</v>
      </c>
      <c r="J33" s="26">
        <v>184</v>
      </c>
      <c r="K33" s="26" t="s">
        <v>1873</v>
      </c>
      <c r="L33" s="26" t="s">
        <v>62</v>
      </c>
      <c r="M33" s="26" t="s">
        <v>1621</v>
      </c>
      <c r="N33" s="26" t="s">
        <v>1840</v>
      </c>
      <c r="O33" s="26" t="s">
        <v>1874</v>
      </c>
      <c r="P33" s="89" t="s">
        <v>20</v>
      </c>
      <c r="Q33" s="26" t="s">
        <v>10</v>
      </c>
      <c r="R33" s="26" t="s">
        <v>10</v>
      </c>
      <c r="S33" s="26" t="s">
        <v>1875</v>
      </c>
      <c r="T33" s="26" t="s">
        <v>1876</v>
      </c>
      <c r="U33" s="26">
        <v>0</v>
      </c>
      <c r="V33" s="26">
        <v>0</v>
      </c>
      <c r="W33" s="26">
        <v>0</v>
      </c>
    </row>
    <row r="34" spans="1:23" ht="16.5" customHeight="1">
      <c r="A34" s="48">
        <v>8</v>
      </c>
      <c r="E34" s="1"/>
      <c r="G34" s="26" t="s">
        <v>7</v>
      </c>
      <c r="H34" s="26" t="s">
        <v>2922</v>
      </c>
      <c r="I34" s="26">
        <v>30</v>
      </c>
      <c r="J34" s="26">
        <v>180</v>
      </c>
      <c r="K34" s="26" t="s">
        <v>2923</v>
      </c>
      <c r="L34" s="26" t="s">
        <v>1156</v>
      </c>
      <c r="M34" s="26" t="s">
        <v>21</v>
      </c>
      <c r="N34" s="26" t="s">
        <v>1768</v>
      </c>
      <c r="O34" s="26" t="s">
        <v>2924</v>
      </c>
      <c r="P34" s="89" t="s">
        <v>9</v>
      </c>
      <c r="Q34" s="26" t="s">
        <v>29</v>
      </c>
      <c r="R34" s="26" t="s">
        <v>11</v>
      </c>
      <c r="S34" s="26"/>
      <c r="T34" s="26"/>
      <c r="U34" s="26"/>
      <c r="V34" s="26" t="s">
        <v>1006</v>
      </c>
      <c r="W34" s="26">
        <v>0</v>
      </c>
    </row>
    <row r="35" spans="1:23" ht="16.5" customHeight="1">
      <c r="A35" s="48">
        <v>66</v>
      </c>
      <c r="E35" s="82"/>
      <c r="G35" s="26" t="s">
        <v>14</v>
      </c>
      <c r="H35" s="26" t="s">
        <v>1406</v>
      </c>
      <c r="I35" s="26">
        <v>30</v>
      </c>
      <c r="J35" s="26">
        <v>156</v>
      </c>
      <c r="K35" s="26" t="s">
        <v>1408</v>
      </c>
      <c r="L35" s="26" t="s">
        <v>459</v>
      </c>
      <c r="M35" s="26" t="s">
        <v>458</v>
      </c>
      <c r="N35" s="26" t="s">
        <v>3020</v>
      </c>
      <c r="O35" s="26" t="s">
        <v>10</v>
      </c>
      <c r="P35" s="89" t="s">
        <v>9</v>
      </c>
      <c r="Q35" s="26" t="s">
        <v>10</v>
      </c>
      <c r="R35" s="26" t="s">
        <v>10</v>
      </c>
      <c r="S35" s="26" t="s">
        <v>1410</v>
      </c>
      <c r="T35" s="26" t="s">
        <v>1411</v>
      </c>
      <c r="U35" s="26" t="s">
        <v>1412</v>
      </c>
      <c r="V35" s="26" t="s">
        <v>1987</v>
      </c>
      <c r="W35" s="26">
        <v>0</v>
      </c>
    </row>
    <row r="36" spans="1:23" ht="16.5" customHeight="1">
      <c r="A36" s="48">
        <v>39</v>
      </c>
      <c r="E36" s="82"/>
      <c r="G36" s="26" t="s">
        <v>14</v>
      </c>
      <c r="H36" s="26" t="s">
        <v>809</v>
      </c>
      <c r="I36" s="26">
        <v>31</v>
      </c>
      <c r="J36" s="26">
        <v>155</v>
      </c>
      <c r="K36" s="26" t="s">
        <v>811</v>
      </c>
      <c r="L36" s="26" t="s">
        <v>25</v>
      </c>
      <c r="M36" s="26" t="s">
        <v>15</v>
      </c>
      <c r="N36" s="26" t="s">
        <v>1840</v>
      </c>
      <c r="O36" s="26" t="s">
        <v>10</v>
      </c>
      <c r="P36" s="89" t="s">
        <v>9</v>
      </c>
      <c r="Q36" s="26" t="s">
        <v>29</v>
      </c>
      <c r="R36" s="26" t="s">
        <v>10</v>
      </c>
      <c r="S36" s="26" t="s">
        <v>812</v>
      </c>
      <c r="T36" s="26" t="s">
        <v>813</v>
      </c>
      <c r="U36" s="26" t="s">
        <v>814</v>
      </c>
      <c r="V36" s="26" t="s">
        <v>1889</v>
      </c>
      <c r="W36" s="26" t="s">
        <v>1287</v>
      </c>
    </row>
    <row r="37" spans="1:23" ht="16.5" customHeight="1">
      <c r="A37" s="48">
        <v>18</v>
      </c>
      <c r="C37" s="1"/>
      <c r="D37" s="1"/>
      <c r="E37" s="1"/>
      <c r="G37" s="26" t="s">
        <v>1148</v>
      </c>
      <c r="H37" s="26" t="s">
        <v>2990</v>
      </c>
      <c r="I37" s="26">
        <v>31</v>
      </c>
      <c r="J37" s="26">
        <v>169</v>
      </c>
      <c r="K37" s="26" t="s">
        <v>2991</v>
      </c>
      <c r="L37" s="26" t="s">
        <v>1161</v>
      </c>
      <c r="M37" s="26" t="s">
        <v>463</v>
      </c>
      <c r="N37" s="26" t="s">
        <v>2663</v>
      </c>
      <c r="O37" s="26" t="s">
        <v>10</v>
      </c>
      <c r="P37" s="89" t="s">
        <v>20</v>
      </c>
      <c r="Q37" s="26" t="s">
        <v>63</v>
      </c>
      <c r="R37" s="26" t="s">
        <v>10</v>
      </c>
      <c r="S37" s="26" t="s">
        <v>2992</v>
      </c>
      <c r="T37" s="26"/>
      <c r="U37" s="26"/>
      <c r="V37" s="26" t="s">
        <v>1699</v>
      </c>
      <c r="W37" s="26">
        <v>0</v>
      </c>
    </row>
    <row r="38" spans="1:23" ht="16.5" customHeight="1">
      <c r="A38" s="48">
        <v>24</v>
      </c>
      <c r="E38" s="82"/>
      <c r="G38" s="26" t="s">
        <v>14</v>
      </c>
      <c r="H38" s="26" t="s">
        <v>2993</v>
      </c>
      <c r="I38" s="26">
        <v>31</v>
      </c>
      <c r="J38" s="26">
        <v>160</v>
      </c>
      <c r="K38" s="26" t="s">
        <v>2994</v>
      </c>
      <c r="L38" s="26" t="s">
        <v>17</v>
      </c>
      <c r="M38" s="26" t="s">
        <v>2995</v>
      </c>
      <c r="N38" s="26" t="s">
        <v>2646</v>
      </c>
      <c r="O38" s="26" t="s">
        <v>10</v>
      </c>
      <c r="P38" s="109"/>
      <c r="Q38" s="26"/>
      <c r="R38" s="26" t="s">
        <v>10</v>
      </c>
      <c r="S38" s="26" t="s">
        <v>2996</v>
      </c>
      <c r="T38" s="26" t="s">
        <v>2997</v>
      </c>
      <c r="U38" s="26"/>
      <c r="V38" s="26" t="s">
        <v>1889</v>
      </c>
      <c r="W38" s="26" t="s">
        <v>1287</v>
      </c>
    </row>
    <row r="39" spans="1:23" ht="16.5" customHeight="1">
      <c r="A39" s="48">
        <v>19</v>
      </c>
      <c r="E39" s="82"/>
      <c r="G39" s="26" t="s">
        <v>7</v>
      </c>
      <c r="H39" s="26" t="s">
        <v>2929</v>
      </c>
      <c r="I39" s="26">
        <v>31</v>
      </c>
      <c r="J39" s="26">
        <v>177</v>
      </c>
      <c r="K39" s="26" t="s">
        <v>2930</v>
      </c>
      <c r="L39" s="26" t="s">
        <v>1161</v>
      </c>
      <c r="M39" s="26" t="s">
        <v>10</v>
      </c>
      <c r="N39" s="26" t="s">
        <v>1141</v>
      </c>
      <c r="O39" s="26" t="s">
        <v>10</v>
      </c>
      <c r="P39" s="89" t="s">
        <v>31</v>
      </c>
      <c r="Q39" s="26" t="s">
        <v>1828</v>
      </c>
      <c r="R39" s="26" t="s">
        <v>10</v>
      </c>
      <c r="S39" s="26" t="s">
        <v>2931</v>
      </c>
      <c r="T39" s="26" t="s">
        <v>2932</v>
      </c>
      <c r="U39" s="26"/>
      <c r="V39" s="26">
        <v>0</v>
      </c>
      <c r="W39" s="26">
        <v>0</v>
      </c>
    </row>
    <row r="40" spans="1:23" ht="16.5" customHeight="1">
      <c r="A40" s="48">
        <v>36</v>
      </c>
      <c r="E40" s="82"/>
      <c r="G40" s="26" t="s">
        <v>8</v>
      </c>
      <c r="H40" s="26" t="s">
        <v>1027</v>
      </c>
      <c r="I40" s="26">
        <v>31</v>
      </c>
      <c r="J40" s="26">
        <v>176</v>
      </c>
      <c r="K40" s="26" t="s">
        <v>1028</v>
      </c>
      <c r="L40" s="26" t="s">
        <v>459</v>
      </c>
      <c r="M40" s="26" t="s">
        <v>34</v>
      </c>
      <c r="N40" s="26" t="s">
        <v>1767</v>
      </c>
      <c r="O40" s="26" t="s">
        <v>10</v>
      </c>
      <c r="P40" s="89" t="s">
        <v>31</v>
      </c>
      <c r="Q40" s="26" t="s">
        <v>10</v>
      </c>
      <c r="R40" s="26" t="s">
        <v>10</v>
      </c>
      <c r="S40" s="26" t="s">
        <v>1029</v>
      </c>
      <c r="T40" s="26" t="s">
        <v>1030</v>
      </c>
      <c r="U40" s="26">
        <v>0</v>
      </c>
      <c r="V40" s="4" t="s">
        <v>1309</v>
      </c>
      <c r="W40" s="4">
        <v>0</v>
      </c>
    </row>
    <row r="41" spans="1:23" ht="21" customHeight="1">
      <c r="A41" s="48">
        <v>377</v>
      </c>
      <c r="B41" s="1"/>
      <c r="C41" s="79" t="s">
        <v>1121</v>
      </c>
      <c r="E41" s="82"/>
      <c r="G41" s="26" t="s">
        <v>14</v>
      </c>
      <c r="H41" s="103" t="s">
        <v>2759</v>
      </c>
      <c r="I41" s="26">
        <v>31</v>
      </c>
      <c r="J41" s="26">
        <v>168</v>
      </c>
      <c r="K41" s="26" t="s">
        <v>2760</v>
      </c>
      <c r="L41" s="26" t="s">
        <v>82</v>
      </c>
      <c r="M41" s="26" t="s">
        <v>93</v>
      </c>
      <c r="N41" s="4" t="s">
        <v>35</v>
      </c>
      <c r="O41" s="4" t="s">
        <v>2761</v>
      </c>
      <c r="P41" s="4" t="s">
        <v>9</v>
      </c>
      <c r="Q41" s="4" t="s">
        <v>63</v>
      </c>
      <c r="R41" s="4" t="s">
        <v>11</v>
      </c>
      <c r="S41" s="4" t="s">
        <v>2762</v>
      </c>
      <c r="T41" s="4" t="s">
        <v>2763</v>
      </c>
      <c r="U41" s="4" t="s">
        <v>2071</v>
      </c>
      <c r="V41" s="4"/>
      <c r="W41" s="4"/>
    </row>
    <row r="42" spans="1:23" ht="21" customHeight="1">
      <c r="A42" s="48">
        <v>46</v>
      </c>
      <c r="E42" s="82"/>
      <c r="G42" s="26" t="s">
        <v>14</v>
      </c>
      <c r="H42" s="26" t="s">
        <v>555</v>
      </c>
      <c r="I42" s="26">
        <v>31</v>
      </c>
      <c r="J42" s="26">
        <v>169</v>
      </c>
      <c r="K42" s="26" t="s">
        <v>556</v>
      </c>
      <c r="L42" s="26" t="s">
        <v>462</v>
      </c>
      <c r="M42" s="26" t="s">
        <v>65</v>
      </c>
      <c r="N42" s="26" t="s">
        <v>2822</v>
      </c>
      <c r="O42" s="26" t="s">
        <v>10</v>
      </c>
      <c r="P42" s="26" t="s">
        <v>9</v>
      </c>
      <c r="Q42" s="26" t="s">
        <v>29</v>
      </c>
      <c r="R42" s="26" t="s">
        <v>10</v>
      </c>
      <c r="S42" s="26" t="s">
        <v>558</v>
      </c>
      <c r="T42" s="26" t="s">
        <v>559</v>
      </c>
      <c r="U42" s="26">
        <v>0</v>
      </c>
      <c r="V42" s="26" t="s">
        <v>1673</v>
      </c>
      <c r="W42" s="26" t="s">
        <v>1674</v>
      </c>
    </row>
    <row r="43" spans="1:23" ht="21" customHeight="1">
      <c r="A43" s="107">
        <v>386</v>
      </c>
      <c r="B43" s="38"/>
      <c r="D43" s="79" t="s">
        <v>1121</v>
      </c>
      <c r="E43" s="79" t="s">
        <v>1121</v>
      </c>
      <c r="G43" s="26" t="s">
        <v>8</v>
      </c>
      <c r="H43" s="26" t="s">
        <v>2875</v>
      </c>
      <c r="I43" s="26">
        <v>31</v>
      </c>
      <c r="J43" s="26">
        <v>178</v>
      </c>
      <c r="K43" s="26" t="s">
        <v>2876</v>
      </c>
      <c r="L43" s="26" t="s">
        <v>460</v>
      </c>
      <c r="M43" s="26" t="s">
        <v>10</v>
      </c>
      <c r="N43" s="4" t="s">
        <v>203</v>
      </c>
      <c r="O43" s="4" t="s">
        <v>10</v>
      </c>
      <c r="P43" s="4" t="s">
        <v>9</v>
      </c>
      <c r="Q43" s="4" t="s">
        <v>63</v>
      </c>
      <c r="R43" s="4" t="s">
        <v>10</v>
      </c>
      <c r="S43" s="4" t="s">
        <v>2877</v>
      </c>
      <c r="T43" s="4" t="s">
        <v>2878</v>
      </c>
      <c r="U43" s="4">
        <v>0</v>
      </c>
      <c r="V43" s="4"/>
      <c r="W43" s="4"/>
    </row>
    <row r="44" spans="1:23" ht="21" customHeight="1">
      <c r="A44" s="48">
        <v>383</v>
      </c>
      <c r="B44" s="38">
        <v>1</v>
      </c>
      <c r="C44" s="79" t="s">
        <v>1121</v>
      </c>
      <c r="D44" s="79" t="s">
        <v>1121</v>
      </c>
      <c r="E44" s="82">
        <v>1</v>
      </c>
      <c r="F44" s="82">
        <v>1</v>
      </c>
      <c r="G44" s="26" t="s">
        <v>14</v>
      </c>
      <c r="H44" s="26" t="s">
        <v>2806</v>
      </c>
      <c r="I44" s="26">
        <v>32</v>
      </c>
      <c r="J44" s="26">
        <v>164</v>
      </c>
      <c r="K44" s="26" t="s">
        <v>2807</v>
      </c>
      <c r="L44" s="26" t="s">
        <v>25</v>
      </c>
      <c r="M44" s="26" t="s">
        <v>93</v>
      </c>
      <c r="N44" s="4" t="s">
        <v>30</v>
      </c>
      <c r="O44" s="4" t="s">
        <v>2808</v>
      </c>
      <c r="P44" s="4" t="s">
        <v>9</v>
      </c>
      <c r="Q44" s="4" t="s">
        <v>63</v>
      </c>
      <c r="R44" s="4" t="s">
        <v>10</v>
      </c>
      <c r="S44" s="4" t="s">
        <v>2809</v>
      </c>
      <c r="T44" s="4" t="s">
        <v>2810</v>
      </c>
      <c r="U44" s="4">
        <v>0</v>
      </c>
      <c r="V44" s="4"/>
      <c r="W44" s="4"/>
    </row>
    <row r="45" spans="1:23">
      <c r="A45" s="48">
        <v>44</v>
      </c>
      <c r="E45" s="82"/>
      <c r="G45" s="26" t="s">
        <v>14</v>
      </c>
      <c r="H45" s="26" t="s">
        <v>206</v>
      </c>
      <c r="I45" s="26">
        <v>32</v>
      </c>
      <c r="J45" s="26">
        <v>158</v>
      </c>
      <c r="K45" s="26" t="s">
        <v>207</v>
      </c>
      <c r="L45" s="26" t="s">
        <v>36</v>
      </c>
      <c r="M45" s="26" t="s">
        <v>55</v>
      </c>
      <c r="N45" s="26" t="s">
        <v>1141</v>
      </c>
      <c r="O45" s="26" t="s">
        <v>208</v>
      </c>
      <c r="P45" s="26" t="s">
        <v>75</v>
      </c>
      <c r="Q45" s="26" t="s">
        <v>29</v>
      </c>
      <c r="R45" s="26" t="s">
        <v>79</v>
      </c>
      <c r="S45" s="26" t="s">
        <v>3002</v>
      </c>
      <c r="T45" s="26" t="s">
        <v>3003</v>
      </c>
      <c r="U45" s="26">
        <v>0</v>
      </c>
      <c r="V45" s="26" t="s">
        <v>1921</v>
      </c>
      <c r="W45" s="26" t="s">
        <v>1922</v>
      </c>
    </row>
    <row r="46" spans="1:23">
      <c r="A46" s="48">
        <v>378</v>
      </c>
      <c r="B46" s="38">
        <v>1</v>
      </c>
      <c r="C46" s="79" t="s">
        <v>1121</v>
      </c>
      <c r="D46" s="79" t="s">
        <v>1121</v>
      </c>
      <c r="E46" s="82"/>
      <c r="G46" s="26" t="s">
        <v>14</v>
      </c>
      <c r="H46" s="26" t="s">
        <v>2788</v>
      </c>
      <c r="I46" s="26">
        <v>32</v>
      </c>
      <c r="J46" s="26">
        <v>165</v>
      </c>
      <c r="K46" s="26" t="s">
        <v>2789</v>
      </c>
      <c r="L46" s="26" t="s">
        <v>36</v>
      </c>
      <c r="M46" s="26" t="s">
        <v>93</v>
      </c>
      <c r="N46" s="4" t="s">
        <v>35</v>
      </c>
      <c r="O46" s="4" t="s">
        <v>10</v>
      </c>
      <c r="P46" s="4" t="s">
        <v>9</v>
      </c>
      <c r="Q46" s="4" t="s">
        <v>63</v>
      </c>
      <c r="R46" s="4" t="s">
        <v>1367</v>
      </c>
      <c r="S46" s="4" t="s">
        <v>2790</v>
      </c>
      <c r="T46" s="4" t="s">
        <v>2791</v>
      </c>
      <c r="U46" s="4">
        <v>0</v>
      </c>
      <c r="V46" s="4"/>
      <c r="W46" s="4"/>
    </row>
    <row r="47" spans="1:23">
      <c r="A47" s="48">
        <v>55</v>
      </c>
      <c r="E47" s="82"/>
      <c r="G47" s="26" t="s">
        <v>8</v>
      </c>
      <c r="H47" s="26" t="s">
        <v>1368</v>
      </c>
      <c r="I47" s="26">
        <v>32</v>
      </c>
      <c r="J47" s="26">
        <v>175</v>
      </c>
      <c r="K47" s="26" t="s">
        <v>1370</v>
      </c>
      <c r="L47" s="26" t="s">
        <v>459</v>
      </c>
      <c r="M47" s="26" t="s">
        <v>591</v>
      </c>
      <c r="N47" s="26" t="s">
        <v>2597</v>
      </c>
      <c r="O47" s="26" t="s">
        <v>10</v>
      </c>
      <c r="P47" s="26" t="s">
        <v>9</v>
      </c>
      <c r="Q47" s="26" t="s">
        <v>29</v>
      </c>
      <c r="R47" s="26"/>
      <c r="S47" s="26" t="s">
        <v>1371</v>
      </c>
      <c r="T47" s="26" t="s">
        <v>1372</v>
      </c>
      <c r="U47" s="26"/>
      <c r="V47" s="26" t="s">
        <v>1021</v>
      </c>
      <c r="W47" s="26">
        <v>0</v>
      </c>
    </row>
    <row r="48" spans="1:23">
      <c r="A48" s="48">
        <v>56</v>
      </c>
      <c r="E48" s="82"/>
      <c r="G48" s="26" t="s">
        <v>8</v>
      </c>
      <c r="H48" s="26" t="s">
        <v>1551</v>
      </c>
      <c r="I48" s="26">
        <v>32</v>
      </c>
      <c r="J48" s="26">
        <v>185</v>
      </c>
      <c r="K48" s="26" t="s">
        <v>1552</v>
      </c>
      <c r="L48" s="26" t="s">
        <v>460</v>
      </c>
      <c r="M48" s="26" t="s">
        <v>772</v>
      </c>
      <c r="N48" s="26" t="s">
        <v>1765</v>
      </c>
      <c r="O48" s="26" t="s">
        <v>10</v>
      </c>
      <c r="P48" s="26" t="s">
        <v>20</v>
      </c>
      <c r="Q48" s="26" t="s">
        <v>10</v>
      </c>
      <c r="R48" s="26" t="s">
        <v>10</v>
      </c>
      <c r="S48" s="26" t="s">
        <v>1553</v>
      </c>
      <c r="T48" s="26" t="s">
        <v>1554</v>
      </c>
      <c r="U48" s="26">
        <v>0</v>
      </c>
      <c r="V48" s="26" t="s">
        <v>1784</v>
      </c>
      <c r="W48" s="26">
        <v>0</v>
      </c>
    </row>
    <row r="49" spans="1:23">
      <c r="A49" s="48">
        <v>6</v>
      </c>
      <c r="E49" s="1"/>
      <c r="G49" s="26" t="s">
        <v>1148</v>
      </c>
      <c r="H49" s="26" t="s">
        <v>2998</v>
      </c>
      <c r="I49" s="26">
        <v>32</v>
      </c>
      <c r="J49" s="26">
        <v>168</v>
      </c>
      <c r="K49" s="26" t="s">
        <v>2999</v>
      </c>
      <c r="L49" s="26" t="s">
        <v>1903</v>
      </c>
      <c r="M49" s="26" t="s">
        <v>458</v>
      </c>
      <c r="N49" s="26" t="s">
        <v>2629</v>
      </c>
      <c r="O49" s="26" t="s">
        <v>3000</v>
      </c>
      <c r="P49" s="26" t="s">
        <v>9</v>
      </c>
      <c r="Q49" s="26" t="s">
        <v>10</v>
      </c>
      <c r="R49" s="26" t="s">
        <v>10</v>
      </c>
      <c r="S49" s="26" t="s">
        <v>3001</v>
      </c>
      <c r="T49" s="26"/>
      <c r="U49" s="26"/>
      <c r="V49" s="26" t="s">
        <v>2034</v>
      </c>
      <c r="W49" s="26">
        <v>0</v>
      </c>
    </row>
    <row r="50" spans="1:23">
      <c r="A50" s="48">
        <v>35</v>
      </c>
      <c r="E50" s="82"/>
      <c r="G50" s="26" t="s">
        <v>14</v>
      </c>
      <c r="H50" s="26" t="s">
        <v>387</v>
      </c>
      <c r="I50" s="26">
        <v>33</v>
      </c>
      <c r="J50" s="26">
        <v>157</v>
      </c>
      <c r="K50" s="26" t="s">
        <v>389</v>
      </c>
      <c r="L50" s="26" t="s">
        <v>25</v>
      </c>
      <c r="M50" s="26" t="s">
        <v>55</v>
      </c>
      <c r="N50" s="26" t="s">
        <v>1766</v>
      </c>
      <c r="O50" s="26" t="s">
        <v>390</v>
      </c>
      <c r="P50" s="26" t="s">
        <v>9</v>
      </c>
      <c r="Q50" s="26" t="s">
        <v>10</v>
      </c>
      <c r="R50" s="26" t="s">
        <v>10</v>
      </c>
      <c r="S50" s="26" t="s">
        <v>391</v>
      </c>
      <c r="T50" s="26" t="s">
        <v>392</v>
      </c>
      <c r="U50" s="26">
        <v>0</v>
      </c>
      <c r="V50" s="26" t="s">
        <v>130</v>
      </c>
      <c r="W50" s="26" t="s">
        <v>131</v>
      </c>
    </row>
    <row r="51" spans="1:23">
      <c r="A51" s="48">
        <v>42</v>
      </c>
      <c r="E51" s="82"/>
      <c r="G51" s="26" t="s">
        <v>8</v>
      </c>
      <c r="H51" s="26" t="s">
        <v>320</v>
      </c>
      <c r="I51" s="26">
        <v>33</v>
      </c>
      <c r="J51" s="26">
        <v>185</v>
      </c>
      <c r="K51" s="26" t="s">
        <v>321</v>
      </c>
      <c r="L51" s="26" t="s">
        <v>459</v>
      </c>
      <c r="M51" s="26" t="s">
        <v>773</v>
      </c>
      <c r="N51" s="26" t="s">
        <v>1767</v>
      </c>
      <c r="O51" s="26" t="s">
        <v>38</v>
      </c>
      <c r="P51" s="26" t="s">
        <v>9</v>
      </c>
      <c r="Q51" s="26" t="s">
        <v>29</v>
      </c>
      <c r="R51" s="26" t="s">
        <v>324</v>
      </c>
      <c r="S51" s="26" t="s">
        <v>2937</v>
      </c>
      <c r="T51" s="26" t="s">
        <v>323</v>
      </c>
      <c r="U51" s="26" t="s">
        <v>2938</v>
      </c>
      <c r="V51" s="26" t="s">
        <v>1241</v>
      </c>
      <c r="W51" s="26">
        <v>0</v>
      </c>
    </row>
    <row r="52" spans="1:23">
      <c r="A52" s="48">
        <v>376</v>
      </c>
      <c r="B52" s="1"/>
      <c r="E52" s="82"/>
      <c r="F52" s="82">
        <v>1</v>
      </c>
      <c r="G52" s="26" t="s">
        <v>8</v>
      </c>
      <c r="H52" s="103" t="s">
        <v>2754</v>
      </c>
      <c r="I52" s="26">
        <v>33</v>
      </c>
      <c r="J52" s="26">
        <v>176</v>
      </c>
      <c r="K52" s="26" t="s">
        <v>2755</v>
      </c>
      <c r="L52" s="26" t="s">
        <v>25</v>
      </c>
      <c r="M52" s="26" t="s">
        <v>591</v>
      </c>
      <c r="N52" s="4" t="s">
        <v>71</v>
      </c>
      <c r="O52" s="4" t="s">
        <v>2756</v>
      </c>
      <c r="P52" s="4" t="s">
        <v>9</v>
      </c>
      <c r="Q52" s="4" t="s">
        <v>63</v>
      </c>
      <c r="R52" s="4" t="s">
        <v>79</v>
      </c>
      <c r="S52" s="4" t="s">
        <v>2757</v>
      </c>
      <c r="T52" s="4" t="s">
        <v>2758</v>
      </c>
      <c r="U52" s="4" t="s">
        <v>2071</v>
      </c>
      <c r="V52" s="4"/>
      <c r="W52" s="4"/>
    </row>
    <row r="53" spans="1:23">
      <c r="A53" s="48">
        <v>10</v>
      </c>
      <c r="E53" s="1"/>
      <c r="G53" s="26" t="s">
        <v>7</v>
      </c>
      <c r="H53" s="26" t="s">
        <v>2933</v>
      </c>
      <c r="I53" s="26">
        <v>33</v>
      </c>
      <c r="J53" s="26">
        <v>172</v>
      </c>
      <c r="K53" s="26" t="s">
        <v>2934</v>
      </c>
      <c r="L53" s="26" t="s">
        <v>2909</v>
      </c>
      <c r="M53" s="26" t="s">
        <v>34</v>
      </c>
      <c r="N53" s="26" t="s">
        <v>2692</v>
      </c>
      <c r="O53" s="26" t="s">
        <v>2935</v>
      </c>
      <c r="P53" s="26" t="s">
        <v>9</v>
      </c>
      <c r="Q53" s="26" t="s">
        <v>10</v>
      </c>
      <c r="R53" s="26" t="s">
        <v>10</v>
      </c>
      <c r="S53" s="26" t="s">
        <v>2936</v>
      </c>
      <c r="T53" s="26"/>
      <c r="U53" s="26"/>
      <c r="V53" s="26" t="s">
        <v>377</v>
      </c>
      <c r="W53" s="26">
        <v>0</v>
      </c>
    </row>
    <row r="54" spans="1:23">
      <c r="A54" s="48">
        <v>380</v>
      </c>
      <c r="B54" s="38"/>
      <c r="D54" s="79" t="s">
        <v>1121</v>
      </c>
      <c r="E54" s="82"/>
      <c r="G54" s="26" t="s">
        <v>8</v>
      </c>
      <c r="H54" s="26" t="s">
        <v>2796</v>
      </c>
      <c r="I54" s="26">
        <v>33</v>
      </c>
      <c r="J54" s="26">
        <v>174</v>
      </c>
      <c r="K54" s="26" t="s">
        <v>2797</v>
      </c>
      <c r="L54" s="26" t="s">
        <v>25</v>
      </c>
      <c r="M54" s="26" t="s">
        <v>22</v>
      </c>
      <c r="N54" s="4" t="s">
        <v>66</v>
      </c>
      <c r="O54" s="4" t="s">
        <v>2798</v>
      </c>
      <c r="P54" s="4" t="s">
        <v>9</v>
      </c>
      <c r="Q54" s="4" t="s">
        <v>63</v>
      </c>
      <c r="R54" s="4" t="s">
        <v>599</v>
      </c>
      <c r="S54" s="4" t="s">
        <v>2799</v>
      </c>
      <c r="T54" s="4" t="s">
        <v>2800</v>
      </c>
      <c r="U54" s="4">
        <v>0</v>
      </c>
      <c r="V54" s="4"/>
      <c r="W54" s="4"/>
    </row>
    <row r="55" spans="1:23">
      <c r="A55" s="48">
        <v>16</v>
      </c>
      <c r="D55" s="1"/>
      <c r="E55" s="1"/>
      <c r="G55" s="26" t="s">
        <v>1148</v>
      </c>
      <c r="H55" s="26" t="s">
        <v>3008</v>
      </c>
      <c r="I55" s="26">
        <v>33</v>
      </c>
      <c r="J55" s="26">
        <v>164</v>
      </c>
      <c r="K55" s="26" t="s">
        <v>3009</v>
      </c>
      <c r="L55" s="26" t="s">
        <v>17</v>
      </c>
      <c r="M55" s="26" t="s">
        <v>3010</v>
      </c>
      <c r="N55" s="26" t="s">
        <v>3011</v>
      </c>
      <c r="O55" s="26" t="s">
        <v>76</v>
      </c>
      <c r="P55" s="26" t="s">
        <v>9</v>
      </c>
      <c r="Q55" s="26" t="s">
        <v>10</v>
      </c>
      <c r="R55" s="26" t="s">
        <v>1614</v>
      </c>
      <c r="S55" s="26" t="s">
        <v>3012</v>
      </c>
      <c r="T55" s="26"/>
      <c r="U55" s="26"/>
      <c r="V55" s="4" t="s">
        <v>1884</v>
      </c>
      <c r="W55" s="4">
        <v>0</v>
      </c>
    </row>
    <row r="56" spans="1:23">
      <c r="A56" s="48">
        <v>9</v>
      </c>
      <c r="E56" s="1"/>
      <c r="G56" s="26" t="s">
        <v>1148</v>
      </c>
      <c r="H56" s="26" t="s">
        <v>3004</v>
      </c>
      <c r="I56" s="26">
        <v>33</v>
      </c>
      <c r="J56" s="26">
        <v>168</v>
      </c>
      <c r="K56" s="26" t="s">
        <v>3005</v>
      </c>
      <c r="L56" s="26" t="s">
        <v>2051</v>
      </c>
      <c r="M56" s="26" t="s">
        <v>93</v>
      </c>
      <c r="N56" s="26" t="s">
        <v>2692</v>
      </c>
      <c r="O56" s="26" t="s">
        <v>3006</v>
      </c>
      <c r="P56" s="26" t="s">
        <v>9</v>
      </c>
      <c r="Q56" s="26" t="s">
        <v>29</v>
      </c>
      <c r="R56" s="26" t="s">
        <v>79</v>
      </c>
      <c r="S56" s="26" t="s">
        <v>3007</v>
      </c>
      <c r="T56" s="26"/>
      <c r="U56" s="26"/>
      <c r="V56" s="26" t="s">
        <v>1997</v>
      </c>
      <c r="W56" s="26">
        <v>0</v>
      </c>
    </row>
    <row r="57" spans="1:23">
      <c r="A57" s="48">
        <v>53</v>
      </c>
      <c r="E57" s="82"/>
      <c r="G57" s="26" t="s">
        <v>8</v>
      </c>
      <c r="H57" s="26" t="s">
        <v>2495</v>
      </c>
      <c r="I57" s="26">
        <v>33</v>
      </c>
      <c r="J57" s="26">
        <v>171</v>
      </c>
      <c r="K57" s="26" t="s">
        <v>1790</v>
      </c>
      <c r="L57" s="26" t="s">
        <v>62</v>
      </c>
      <c r="M57" s="26" t="s">
        <v>22</v>
      </c>
      <c r="N57" s="26" t="s">
        <v>1767</v>
      </c>
      <c r="O57" s="26" t="s">
        <v>10</v>
      </c>
      <c r="P57" s="26" t="s">
        <v>9</v>
      </c>
      <c r="Q57" s="26" t="s">
        <v>29</v>
      </c>
      <c r="R57" s="26" t="s">
        <v>10</v>
      </c>
      <c r="S57" s="26" t="s">
        <v>1791</v>
      </c>
      <c r="T57" s="26" t="s">
        <v>567</v>
      </c>
      <c r="U57" s="26">
        <v>0</v>
      </c>
      <c r="V57" s="26" t="s">
        <v>283</v>
      </c>
      <c r="W57" s="26">
        <v>0</v>
      </c>
    </row>
    <row r="58" spans="1:23">
      <c r="A58" s="48">
        <v>11</v>
      </c>
      <c r="E58" s="1"/>
      <c r="G58" s="26" t="s">
        <v>7</v>
      </c>
      <c r="H58" s="26" t="s">
        <v>2939</v>
      </c>
      <c r="I58" s="26">
        <v>34</v>
      </c>
      <c r="J58" s="26">
        <v>182</v>
      </c>
      <c r="K58" s="26" t="s">
        <v>2940</v>
      </c>
      <c r="L58" s="26" t="s">
        <v>1161</v>
      </c>
      <c r="M58" s="26" t="s">
        <v>773</v>
      </c>
      <c r="N58" s="26" t="s">
        <v>2910</v>
      </c>
      <c r="O58" s="26" t="s">
        <v>2941</v>
      </c>
      <c r="P58" s="26" t="s">
        <v>1127</v>
      </c>
      <c r="Q58" s="26" t="s">
        <v>29</v>
      </c>
      <c r="R58" s="26" t="s">
        <v>11</v>
      </c>
      <c r="S58" s="26" t="s">
        <v>2942</v>
      </c>
      <c r="T58" s="26" t="s">
        <v>2943</v>
      </c>
      <c r="U58" s="26"/>
      <c r="V58" s="26" t="s">
        <v>1245</v>
      </c>
      <c r="W58" s="26">
        <v>0</v>
      </c>
    </row>
    <row r="59" spans="1:23">
      <c r="A59" s="48">
        <v>68</v>
      </c>
      <c r="E59" s="82"/>
      <c r="G59" s="26" t="s">
        <v>8</v>
      </c>
      <c r="H59" s="26" t="s">
        <v>663</v>
      </c>
      <c r="I59" s="26">
        <v>34</v>
      </c>
      <c r="J59" s="26">
        <v>185</v>
      </c>
      <c r="K59" s="26" t="s">
        <v>664</v>
      </c>
      <c r="L59" s="26" t="s">
        <v>25</v>
      </c>
      <c r="M59" s="26" t="s">
        <v>34</v>
      </c>
      <c r="N59" s="26" t="s">
        <v>1766</v>
      </c>
      <c r="O59" s="26" t="s">
        <v>10</v>
      </c>
      <c r="P59" s="26" t="s">
        <v>9</v>
      </c>
      <c r="Q59" s="26" t="s">
        <v>29</v>
      </c>
      <c r="R59" s="26" t="s">
        <v>10</v>
      </c>
      <c r="S59" s="26" t="s">
        <v>665</v>
      </c>
      <c r="T59" s="26" t="s">
        <v>666</v>
      </c>
      <c r="U59" s="26">
        <v>0</v>
      </c>
      <c r="V59" s="26" t="s">
        <v>947</v>
      </c>
      <c r="W59" s="26" t="s">
        <v>948</v>
      </c>
    </row>
    <row r="60" spans="1:23">
      <c r="A60" s="48">
        <v>41</v>
      </c>
      <c r="E60" s="82"/>
      <c r="G60" s="26" t="s">
        <v>8</v>
      </c>
      <c r="H60" s="26" t="s">
        <v>1022</v>
      </c>
      <c r="I60" s="26">
        <v>34</v>
      </c>
      <c r="J60" s="26">
        <v>183</v>
      </c>
      <c r="K60" s="26" t="s">
        <v>1023</v>
      </c>
      <c r="L60" s="26" t="s">
        <v>25</v>
      </c>
      <c r="M60" s="26" t="s">
        <v>773</v>
      </c>
      <c r="N60" s="26" t="s">
        <v>2825</v>
      </c>
      <c r="O60" s="26" t="s">
        <v>10</v>
      </c>
      <c r="P60" s="26" t="s">
        <v>9</v>
      </c>
      <c r="Q60" s="26" t="s">
        <v>10</v>
      </c>
      <c r="R60" s="26" t="s">
        <v>10</v>
      </c>
      <c r="S60" s="26" t="s">
        <v>2948</v>
      </c>
      <c r="T60" s="26">
        <v>0</v>
      </c>
      <c r="U60" s="26">
        <v>0</v>
      </c>
      <c r="V60" s="26" t="s">
        <v>684</v>
      </c>
      <c r="W60" s="26">
        <v>0</v>
      </c>
    </row>
    <row r="61" spans="1:23">
      <c r="A61" s="48">
        <v>45</v>
      </c>
      <c r="E61" s="82"/>
      <c r="G61" s="26" t="s">
        <v>8</v>
      </c>
      <c r="H61" s="26" t="s">
        <v>84</v>
      </c>
      <c r="I61" s="26">
        <v>34</v>
      </c>
      <c r="J61" s="26">
        <v>179</v>
      </c>
      <c r="K61" s="26" t="s">
        <v>162</v>
      </c>
      <c r="L61" s="26" t="s">
        <v>25</v>
      </c>
      <c r="M61" s="26" t="s">
        <v>772</v>
      </c>
      <c r="N61" s="26" t="s">
        <v>2825</v>
      </c>
      <c r="O61" s="26" t="s">
        <v>10</v>
      </c>
      <c r="P61" s="26" t="s">
        <v>9</v>
      </c>
      <c r="Q61" s="26" t="s">
        <v>57</v>
      </c>
      <c r="R61" s="26" t="s">
        <v>10</v>
      </c>
      <c r="S61" s="26" t="s">
        <v>2949</v>
      </c>
      <c r="T61" s="26" t="s">
        <v>164</v>
      </c>
      <c r="U61" s="26">
        <v>0</v>
      </c>
      <c r="V61" s="26" t="s">
        <v>392</v>
      </c>
      <c r="W61" s="26">
        <v>0</v>
      </c>
    </row>
    <row r="62" spans="1:23">
      <c r="A62" s="48">
        <v>21</v>
      </c>
      <c r="C62" s="1"/>
      <c r="D62" s="1"/>
      <c r="E62" s="82"/>
      <c r="G62" s="26" t="s">
        <v>8</v>
      </c>
      <c r="H62" s="26" t="s">
        <v>3028</v>
      </c>
      <c r="I62" s="26">
        <v>34</v>
      </c>
      <c r="J62" s="26">
        <v>175</v>
      </c>
      <c r="K62" s="26" t="s">
        <v>3029</v>
      </c>
      <c r="L62" s="26" t="s">
        <v>1161</v>
      </c>
      <c r="M62" s="26" t="s">
        <v>34</v>
      </c>
      <c r="N62" s="26" t="s">
        <v>3011</v>
      </c>
      <c r="O62" s="26" t="s">
        <v>3030</v>
      </c>
      <c r="P62" s="26" t="s">
        <v>31</v>
      </c>
      <c r="Q62" s="26" t="s">
        <v>2814</v>
      </c>
      <c r="R62" s="26" t="s">
        <v>10</v>
      </c>
      <c r="S62" s="26" t="s">
        <v>3031</v>
      </c>
      <c r="T62" s="26" t="s">
        <v>3032</v>
      </c>
      <c r="U62" s="26"/>
      <c r="V62" s="26" t="s">
        <v>1054</v>
      </c>
      <c r="W62" s="26">
        <v>0</v>
      </c>
    </row>
    <row r="63" spans="1:23">
      <c r="A63" s="48">
        <v>15</v>
      </c>
      <c r="E63" s="1"/>
      <c r="F63" s="1"/>
      <c r="G63" s="26" t="s">
        <v>1148</v>
      </c>
      <c r="H63" s="26" t="s">
        <v>3013</v>
      </c>
      <c r="I63" s="26">
        <v>34</v>
      </c>
      <c r="J63" s="26">
        <v>155</v>
      </c>
      <c r="K63" s="26" t="s">
        <v>3014</v>
      </c>
      <c r="L63" s="26" t="s">
        <v>3015</v>
      </c>
      <c r="M63" s="26" t="s">
        <v>15</v>
      </c>
      <c r="N63" s="26" t="s">
        <v>1840</v>
      </c>
      <c r="O63" s="26" t="s">
        <v>3016</v>
      </c>
      <c r="P63" s="26" t="s">
        <v>9</v>
      </c>
      <c r="Q63" s="26" t="s">
        <v>10</v>
      </c>
      <c r="R63" s="26" t="s">
        <v>10</v>
      </c>
      <c r="S63" s="26" t="s">
        <v>3017</v>
      </c>
      <c r="T63" s="26"/>
      <c r="U63" s="26"/>
      <c r="V63" s="26" t="s">
        <v>1702</v>
      </c>
      <c r="W63" s="26">
        <v>0</v>
      </c>
    </row>
    <row r="64" spans="1:23">
      <c r="A64" s="48">
        <v>52</v>
      </c>
      <c r="E64" s="82"/>
      <c r="G64" s="26" t="s">
        <v>14</v>
      </c>
      <c r="H64" s="26" t="s">
        <v>2548</v>
      </c>
      <c r="I64" s="26">
        <v>34</v>
      </c>
      <c r="J64" s="26">
        <v>164</v>
      </c>
      <c r="K64" s="26" t="s">
        <v>1906</v>
      </c>
      <c r="L64" s="26" t="s">
        <v>1903</v>
      </c>
      <c r="M64" s="26" t="s">
        <v>55</v>
      </c>
      <c r="N64" s="26" t="s">
        <v>1767</v>
      </c>
      <c r="O64" s="26" t="s">
        <v>10</v>
      </c>
      <c r="P64" s="26" t="s">
        <v>56</v>
      </c>
      <c r="Q64" s="26" t="s">
        <v>57</v>
      </c>
      <c r="R64" s="26">
        <v>0</v>
      </c>
      <c r="S64" s="26" t="s">
        <v>1905</v>
      </c>
      <c r="T64" s="26" t="s">
        <v>1904</v>
      </c>
      <c r="U64" s="26">
        <v>0</v>
      </c>
      <c r="V64" s="26" t="s">
        <v>1694</v>
      </c>
      <c r="W64" s="26" t="s">
        <v>1695</v>
      </c>
    </row>
    <row r="65" spans="1:23">
      <c r="A65" s="48">
        <v>27</v>
      </c>
      <c r="E65" s="82"/>
      <c r="G65" s="26" t="s">
        <v>8</v>
      </c>
      <c r="H65" s="26" t="s">
        <v>2944</v>
      </c>
      <c r="I65" s="26">
        <v>34</v>
      </c>
      <c r="J65" s="26">
        <v>171</v>
      </c>
      <c r="K65" s="26" t="s">
        <v>2945</v>
      </c>
      <c r="L65" s="26" t="s">
        <v>33</v>
      </c>
      <c r="M65" s="26" t="s">
        <v>21</v>
      </c>
      <c r="N65" s="26" t="s">
        <v>2845</v>
      </c>
      <c r="O65" s="26" t="s">
        <v>10</v>
      </c>
      <c r="P65" s="4"/>
      <c r="Q65" s="26"/>
      <c r="R65" s="26" t="s">
        <v>79</v>
      </c>
      <c r="S65" s="26" t="s">
        <v>2946</v>
      </c>
      <c r="T65" s="26" t="s">
        <v>2947</v>
      </c>
      <c r="U65" s="26"/>
      <c r="V65" s="26" t="s">
        <v>1118</v>
      </c>
      <c r="W65" s="26">
        <v>0</v>
      </c>
    </row>
    <row r="66" spans="1:23">
      <c r="A66" s="82">
        <v>384</v>
      </c>
      <c r="B66" s="38"/>
      <c r="C66" s="79" t="s">
        <v>1121</v>
      </c>
      <c r="E66" s="82"/>
      <c r="G66" s="26" t="s">
        <v>8</v>
      </c>
      <c r="H66" s="26" t="s">
        <v>2811</v>
      </c>
      <c r="I66" s="26">
        <v>35</v>
      </c>
      <c r="J66" s="26">
        <v>173</v>
      </c>
      <c r="K66" s="26" t="s">
        <v>2812</v>
      </c>
      <c r="L66" s="26" t="s">
        <v>460</v>
      </c>
      <c r="M66" s="26" t="s">
        <v>21</v>
      </c>
      <c r="N66" s="4" t="s">
        <v>480</v>
      </c>
      <c r="O66" s="4" t="s">
        <v>2813</v>
      </c>
      <c r="P66" s="4" t="s">
        <v>9</v>
      </c>
      <c r="Q66" s="4" t="s">
        <v>2814</v>
      </c>
      <c r="R66" s="4" t="s">
        <v>10</v>
      </c>
      <c r="S66" s="4" t="s">
        <v>2815</v>
      </c>
      <c r="T66" s="4" t="s">
        <v>2816</v>
      </c>
      <c r="U66" s="4" t="s">
        <v>2817</v>
      </c>
      <c r="V66" s="4"/>
      <c r="W66" s="4"/>
    </row>
    <row r="67" spans="1:23" ht="16.5" customHeight="1">
      <c r="A67" s="48">
        <v>375</v>
      </c>
      <c r="B67" s="1"/>
      <c r="D67" s="79" t="s">
        <v>1121</v>
      </c>
      <c r="E67" s="82"/>
      <c r="F67" s="82">
        <v>1</v>
      </c>
      <c r="G67" s="26" t="s">
        <v>14</v>
      </c>
      <c r="H67" s="26" t="s">
        <v>2750</v>
      </c>
      <c r="I67" s="26">
        <v>35</v>
      </c>
      <c r="J67" s="26">
        <v>168</v>
      </c>
      <c r="K67" s="26" t="s">
        <v>2751</v>
      </c>
      <c r="L67" s="26" t="s">
        <v>461</v>
      </c>
      <c r="M67" s="26" t="s">
        <v>15</v>
      </c>
      <c r="N67" s="4" t="s">
        <v>13</v>
      </c>
      <c r="O67" s="4" t="s">
        <v>10</v>
      </c>
      <c r="P67" s="4" t="s">
        <v>9</v>
      </c>
      <c r="Q67" s="4" t="s">
        <v>63</v>
      </c>
      <c r="R67" s="4" t="s">
        <v>10</v>
      </c>
      <c r="S67" s="4" t="s">
        <v>2752</v>
      </c>
      <c r="T67" s="4" t="s">
        <v>2753</v>
      </c>
      <c r="U67" s="4">
        <v>0</v>
      </c>
      <c r="V67" s="4"/>
      <c r="W67" s="4"/>
    </row>
    <row r="68" spans="1:23" ht="16.5" customHeight="1">
      <c r="A68" s="48">
        <v>374</v>
      </c>
      <c r="B68" s="1"/>
      <c r="D68" s="79" t="s">
        <v>1121</v>
      </c>
      <c r="E68" s="82"/>
      <c r="G68" s="26" t="s">
        <v>8</v>
      </c>
      <c r="H68" s="26" t="s">
        <v>2744</v>
      </c>
      <c r="I68" s="26">
        <v>35</v>
      </c>
      <c r="J68" s="26">
        <v>167</v>
      </c>
      <c r="K68" s="26" t="s">
        <v>2746</v>
      </c>
      <c r="L68" s="26" t="s">
        <v>462</v>
      </c>
      <c r="M68" s="26" t="s">
        <v>21</v>
      </c>
      <c r="N68" s="4" t="s">
        <v>557</v>
      </c>
      <c r="O68" s="4" t="s">
        <v>10</v>
      </c>
      <c r="P68" s="4" t="s">
        <v>9</v>
      </c>
      <c r="Q68" s="4" t="s">
        <v>10</v>
      </c>
      <c r="R68" s="4" t="s">
        <v>2749</v>
      </c>
      <c r="S68" s="4" t="s">
        <v>2747</v>
      </c>
      <c r="T68" s="4" t="s">
        <v>2748</v>
      </c>
      <c r="U68" s="4">
        <v>0</v>
      </c>
      <c r="V68" s="4"/>
      <c r="W68" s="4"/>
    </row>
    <row r="69" spans="1:23" ht="16.5" customHeight="1">
      <c r="A69" s="48">
        <v>67</v>
      </c>
      <c r="E69" s="82"/>
      <c r="G69" s="26" t="s">
        <v>8</v>
      </c>
      <c r="H69" s="26" t="s">
        <v>726</v>
      </c>
      <c r="I69" s="26">
        <v>35</v>
      </c>
      <c r="J69" s="26">
        <v>174</v>
      </c>
      <c r="K69" s="26" t="s">
        <v>727</v>
      </c>
      <c r="L69" s="26" t="s">
        <v>459</v>
      </c>
      <c r="M69" s="26" t="s">
        <v>34</v>
      </c>
      <c r="N69" s="26" t="s">
        <v>3011</v>
      </c>
      <c r="O69" s="26" t="s">
        <v>10</v>
      </c>
      <c r="P69" s="26" t="s">
        <v>31</v>
      </c>
      <c r="Q69" s="26" t="s">
        <v>57</v>
      </c>
      <c r="R69" s="26" t="s">
        <v>10</v>
      </c>
      <c r="S69" s="26" t="s">
        <v>728</v>
      </c>
      <c r="T69" s="26" t="s">
        <v>271</v>
      </c>
      <c r="U69" s="26" t="s">
        <v>729</v>
      </c>
      <c r="V69" s="26" t="s">
        <v>543</v>
      </c>
      <c r="W69" s="26" t="s">
        <v>132</v>
      </c>
    </row>
    <row r="70" spans="1:23" ht="16.5" customHeight="1">
      <c r="A70" s="48">
        <v>5</v>
      </c>
      <c r="E70" s="1"/>
      <c r="G70" s="26" t="s">
        <v>7</v>
      </c>
      <c r="H70" s="26" t="s">
        <v>2950</v>
      </c>
      <c r="I70" s="26">
        <v>35</v>
      </c>
      <c r="J70" s="26">
        <v>173</v>
      </c>
      <c r="K70" s="26" t="s">
        <v>2951</v>
      </c>
      <c r="L70" s="26" t="s">
        <v>2909</v>
      </c>
      <c r="M70" s="26" t="s">
        <v>21</v>
      </c>
      <c r="N70" s="26" t="s">
        <v>1141</v>
      </c>
      <c r="O70" s="26" t="s">
        <v>2952</v>
      </c>
      <c r="P70" s="26" t="s">
        <v>1127</v>
      </c>
      <c r="Q70" s="26" t="s">
        <v>29</v>
      </c>
      <c r="R70" s="26" t="s">
        <v>10</v>
      </c>
      <c r="S70" s="26" t="s">
        <v>2953</v>
      </c>
      <c r="T70" s="26"/>
      <c r="U70" s="26"/>
      <c r="V70" s="26" t="s">
        <v>1232</v>
      </c>
      <c r="W70" s="26">
        <v>0</v>
      </c>
    </row>
    <row r="71" spans="1:23" ht="16.5" customHeight="1">
      <c r="A71" s="48">
        <v>34</v>
      </c>
      <c r="E71" s="82"/>
      <c r="F71" s="1"/>
      <c r="G71" s="26" t="s">
        <v>8</v>
      </c>
      <c r="H71" s="26" t="s">
        <v>685</v>
      </c>
      <c r="I71" s="26">
        <v>35</v>
      </c>
      <c r="J71" s="26">
        <v>175</v>
      </c>
      <c r="K71" s="26" t="s">
        <v>686</v>
      </c>
      <c r="L71" s="26" t="s">
        <v>36</v>
      </c>
      <c r="M71" s="26" t="s">
        <v>591</v>
      </c>
      <c r="N71" s="26" t="s">
        <v>1768</v>
      </c>
      <c r="O71" s="26" t="s">
        <v>10</v>
      </c>
      <c r="P71" s="26" t="s">
        <v>49</v>
      </c>
      <c r="Q71" s="26" t="s">
        <v>10</v>
      </c>
      <c r="R71" s="26">
        <v>0</v>
      </c>
      <c r="S71" s="26" t="s">
        <v>687</v>
      </c>
      <c r="T71" s="26" t="s">
        <v>688</v>
      </c>
      <c r="U71" s="26">
        <v>0</v>
      </c>
      <c r="V71" s="26" t="s">
        <v>1794</v>
      </c>
      <c r="W71" s="26">
        <v>0</v>
      </c>
    </row>
    <row r="72" spans="1:23" ht="16.5" customHeight="1">
      <c r="A72" s="48">
        <v>71</v>
      </c>
      <c r="E72" s="82"/>
      <c r="G72" s="26" t="s">
        <v>8</v>
      </c>
      <c r="H72" s="26" t="s">
        <v>1877</v>
      </c>
      <c r="I72" s="26">
        <v>35</v>
      </c>
      <c r="J72" s="26">
        <v>177</v>
      </c>
      <c r="K72" s="26" t="s">
        <v>1878</v>
      </c>
      <c r="L72" s="26" t="s">
        <v>25</v>
      </c>
      <c r="M72" s="26" t="s">
        <v>21</v>
      </c>
      <c r="N72" s="26" t="s">
        <v>2890</v>
      </c>
      <c r="O72" s="26" t="s">
        <v>837</v>
      </c>
      <c r="P72" s="26" t="s">
        <v>20</v>
      </c>
      <c r="Q72" s="26" t="s">
        <v>10</v>
      </c>
      <c r="R72" s="26" t="s">
        <v>10</v>
      </c>
      <c r="S72" s="26" t="s">
        <v>1879</v>
      </c>
      <c r="T72" s="26" t="s">
        <v>1880</v>
      </c>
      <c r="U72" s="26">
        <v>0</v>
      </c>
      <c r="V72" s="4" t="s">
        <v>720</v>
      </c>
      <c r="W72" s="4" t="s">
        <v>721</v>
      </c>
    </row>
    <row r="73" spans="1:23" ht="16.5" customHeight="1">
      <c r="A73" s="48">
        <v>22</v>
      </c>
      <c r="C73" s="1"/>
      <c r="D73" s="1"/>
      <c r="E73" s="1"/>
      <c r="G73" s="26" t="s">
        <v>8</v>
      </c>
      <c r="H73" s="26" t="s">
        <v>3021</v>
      </c>
      <c r="I73" s="26">
        <v>36</v>
      </c>
      <c r="J73" s="26">
        <v>184</v>
      </c>
      <c r="K73" s="26" t="s">
        <v>3022</v>
      </c>
      <c r="L73" s="26" t="s">
        <v>10</v>
      </c>
      <c r="M73" s="26" t="s">
        <v>772</v>
      </c>
      <c r="N73" s="26" t="s">
        <v>1768</v>
      </c>
      <c r="O73" s="26" t="s">
        <v>3023</v>
      </c>
      <c r="P73" s="26" t="s">
        <v>10</v>
      </c>
      <c r="Q73" s="26" t="s">
        <v>3024</v>
      </c>
      <c r="R73" s="4"/>
      <c r="S73" s="26" t="s">
        <v>3025</v>
      </c>
      <c r="T73" s="111" t="s">
        <v>3026</v>
      </c>
      <c r="U73" s="26"/>
      <c r="V73" s="26" t="s">
        <v>287</v>
      </c>
      <c r="W73" s="26">
        <v>0</v>
      </c>
    </row>
    <row r="74" spans="1:23" ht="16.5" customHeight="1">
      <c r="A74" s="48">
        <v>61</v>
      </c>
      <c r="E74" s="82"/>
      <c r="G74" s="26" t="s">
        <v>8</v>
      </c>
      <c r="H74" s="26" t="s">
        <v>1540</v>
      </c>
      <c r="I74" s="26">
        <v>36</v>
      </c>
      <c r="J74" s="26">
        <v>185</v>
      </c>
      <c r="K74" s="26" t="s">
        <v>1541</v>
      </c>
      <c r="L74" s="26" t="s">
        <v>460</v>
      </c>
      <c r="M74" s="26" t="s">
        <v>1621</v>
      </c>
      <c r="N74" s="26" t="s">
        <v>2910</v>
      </c>
      <c r="O74" s="26" t="s">
        <v>10</v>
      </c>
      <c r="P74" s="26" t="s">
        <v>9</v>
      </c>
      <c r="Q74" s="26" t="s">
        <v>10</v>
      </c>
      <c r="R74" s="26" t="s">
        <v>10</v>
      </c>
      <c r="S74" s="26" t="s">
        <v>1542</v>
      </c>
      <c r="T74" s="26" t="s">
        <v>1543</v>
      </c>
      <c r="U74" s="26">
        <v>0</v>
      </c>
      <c r="V74" s="26" t="s">
        <v>1843</v>
      </c>
      <c r="W74" s="26"/>
    </row>
    <row r="75" spans="1:23" ht="16.5" customHeight="1">
      <c r="A75" s="48">
        <v>51</v>
      </c>
      <c r="E75" s="82"/>
      <c r="G75" s="26" t="s">
        <v>8</v>
      </c>
      <c r="H75" s="26" t="s">
        <v>2571</v>
      </c>
      <c r="I75" s="26">
        <v>36</v>
      </c>
      <c r="J75" s="26">
        <v>174</v>
      </c>
      <c r="K75" s="26" t="s">
        <v>1940</v>
      </c>
      <c r="L75" s="26" t="s">
        <v>25</v>
      </c>
      <c r="M75" s="26" t="s">
        <v>22</v>
      </c>
      <c r="N75" s="26" t="s">
        <v>1765</v>
      </c>
      <c r="O75" s="26" t="s">
        <v>10</v>
      </c>
      <c r="P75" s="26" t="s">
        <v>9</v>
      </c>
      <c r="Q75" s="26" t="s">
        <v>29</v>
      </c>
      <c r="R75" s="26" t="s">
        <v>10</v>
      </c>
      <c r="S75" s="26" t="s">
        <v>1941</v>
      </c>
      <c r="T75" s="26" t="s">
        <v>1942</v>
      </c>
      <c r="U75" s="26">
        <v>0</v>
      </c>
      <c r="V75" s="26" t="s">
        <v>931</v>
      </c>
      <c r="W75" s="26">
        <v>0</v>
      </c>
    </row>
    <row r="76" spans="1:23" ht="16.5" customHeight="1">
      <c r="A76" s="48">
        <v>382</v>
      </c>
      <c r="B76" s="38"/>
      <c r="C76" s="79" t="s">
        <v>1121</v>
      </c>
      <c r="E76" s="82">
        <v>1</v>
      </c>
      <c r="F76" s="82">
        <v>1</v>
      </c>
      <c r="G76" s="26" t="s">
        <v>14</v>
      </c>
      <c r="H76" s="26" t="s">
        <v>1035</v>
      </c>
      <c r="I76" s="26">
        <v>36</v>
      </c>
      <c r="J76" s="26">
        <v>156</v>
      </c>
      <c r="K76" s="26" t="s">
        <v>277</v>
      </c>
      <c r="L76" s="26" t="s">
        <v>36</v>
      </c>
      <c r="M76" s="26" t="s">
        <v>15</v>
      </c>
      <c r="N76" s="4" t="s">
        <v>907</v>
      </c>
      <c r="O76" s="4" t="s">
        <v>10</v>
      </c>
      <c r="P76" s="4" t="s">
        <v>31</v>
      </c>
      <c r="Q76" s="4" t="s">
        <v>10</v>
      </c>
      <c r="R76" s="4" t="s">
        <v>190</v>
      </c>
      <c r="S76" s="4" t="s">
        <v>2804</v>
      </c>
      <c r="T76" s="4" t="s">
        <v>2805</v>
      </c>
      <c r="U76" s="4">
        <v>0</v>
      </c>
      <c r="V76" s="4"/>
      <c r="W76" s="4"/>
    </row>
    <row r="77" spans="1:23" ht="16.5" customHeight="1">
      <c r="A77" s="107">
        <v>387</v>
      </c>
      <c r="B77" s="38"/>
      <c r="E77" s="79" t="s">
        <v>1121</v>
      </c>
      <c r="G77" s="26" t="s">
        <v>14</v>
      </c>
      <c r="H77" s="26" t="s">
        <v>405</v>
      </c>
      <c r="I77" s="26">
        <v>36</v>
      </c>
      <c r="J77" s="26">
        <v>164</v>
      </c>
      <c r="K77" s="26" t="s">
        <v>2879</v>
      </c>
      <c r="L77" s="26" t="s">
        <v>466</v>
      </c>
      <c r="M77" s="26" t="s">
        <v>93</v>
      </c>
      <c r="N77" s="4" t="s">
        <v>252</v>
      </c>
      <c r="O77" s="4" t="s">
        <v>10</v>
      </c>
      <c r="P77" s="4" t="s">
        <v>9</v>
      </c>
      <c r="Q77" s="4" t="s">
        <v>63</v>
      </c>
      <c r="R77" s="4" t="s">
        <v>2882</v>
      </c>
      <c r="S77" s="4" t="s">
        <v>2880</v>
      </c>
      <c r="T77" s="4" t="s">
        <v>2881</v>
      </c>
      <c r="U77" s="4">
        <v>0</v>
      </c>
      <c r="V77" s="4"/>
      <c r="W77" s="4"/>
    </row>
    <row r="78" spans="1:23">
      <c r="A78" s="48">
        <v>62</v>
      </c>
      <c r="E78" s="82"/>
      <c r="G78" s="26" t="s">
        <v>8</v>
      </c>
      <c r="H78" s="26" t="s">
        <v>1441</v>
      </c>
      <c r="I78" s="26">
        <v>37</v>
      </c>
      <c r="J78" s="26">
        <v>183</v>
      </c>
      <c r="K78" s="26" t="s">
        <v>1032</v>
      </c>
      <c r="L78" s="26" t="s">
        <v>462</v>
      </c>
      <c r="M78" s="26" t="s">
        <v>773</v>
      </c>
      <c r="N78" s="26" t="s">
        <v>2825</v>
      </c>
      <c r="O78" s="26" t="s">
        <v>10</v>
      </c>
      <c r="P78" s="26" t="s">
        <v>9</v>
      </c>
      <c r="Q78" s="26" t="s">
        <v>29</v>
      </c>
      <c r="R78" s="26" t="s">
        <v>10</v>
      </c>
      <c r="S78" s="26" t="s">
        <v>1442</v>
      </c>
      <c r="T78" s="26" t="s">
        <v>1443</v>
      </c>
      <c r="U78" s="26">
        <v>0</v>
      </c>
      <c r="V78" s="89" t="s">
        <v>1917</v>
      </c>
      <c r="W78" s="89">
        <v>0</v>
      </c>
    </row>
    <row r="79" spans="1:23">
      <c r="A79" s="48">
        <v>379</v>
      </c>
      <c r="B79" s="38"/>
      <c r="D79" s="79" t="s">
        <v>1121</v>
      </c>
      <c r="E79" s="82"/>
      <c r="G79" s="26" t="s">
        <v>8</v>
      </c>
      <c r="H79" s="26" t="s">
        <v>2792</v>
      </c>
      <c r="I79" s="26">
        <v>37</v>
      </c>
      <c r="J79" s="26">
        <v>170</v>
      </c>
      <c r="K79" s="26" t="s">
        <v>2793</v>
      </c>
      <c r="L79" s="26" t="s">
        <v>462</v>
      </c>
      <c r="M79" s="26" t="s">
        <v>21</v>
      </c>
      <c r="N79" s="4" t="s">
        <v>68</v>
      </c>
      <c r="O79" s="4" t="s">
        <v>10</v>
      </c>
      <c r="P79" s="4" t="s">
        <v>31</v>
      </c>
      <c r="Q79" s="4" t="s">
        <v>10</v>
      </c>
      <c r="R79" s="4" t="s">
        <v>10</v>
      </c>
      <c r="S79" s="4" t="s">
        <v>2794</v>
      </c>
      <c r="T79" s="4" t="s">
        <v>2795</v>
      </c>
      <c r="U79" s="4">
        <v>0</v>
      </c>
      <c r="V79" s="109"/>
      <c r="W79" s="109"/>
    </row>
  </sheetData>
  <autoFilter ref="A1:W77">
    <sortState ref="A2:W79">
      <sortCondition ref="I1:I77"/>
    </sortState>
  </autoFilter>
  <phoneticPr fontId="1" type="noConversion"/>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03"/>
  <sheetViews>
    <sheetView tabSelected="1" zoomScale="85" zoomScaleNormal="85" workbookViewId="0">
      <pane ySplit="1" topLeftCell="A2" activePane="bottomLeft" state="frozen"/>
      <selection pane="bottomLeft" activeCell="A28" sqref="A28:V28"/>
    </sheetView>
  </sheetViews>
  <sheetFormatPr defaultRowHeight="16.5"/>
  <cols>
    <col min="1" max="1" width="4.875" style="38" bestFit="1" customWidth="1"/>
    <col min="2" max="4" width="4.875" style="79" customWidth="1"/>
    <col min="5" max="6" width="4.875" style="82" customWidth="1"/>
    <col min="7" max="9" width="7.375" style="1" bestFit="1" customWidth="1"/>
    <col min="10" max="10" width="6.125" style="1" bestFit="1" customWidth="1"/>
    <col min="11" max="11" width="41.25" style="1" customWidth="1"/>
    <col min="12" max="18" width="9" style="1"/>
    <col min="19" max="19" width="25.75" style="1" customWidth="1"/>
    <col min="20" max="20" width="30.375" style="1" customWidth="1"/>
    <col min="21" max="16384" width="9" style="1"/>
  </cols>
  <sheetData>
    <row r="1" spans="1:25">
      <c r="A1" s="49" t="s">
        <v>1043</v>
      </c>
      <c r="B1" s="79" t="s">
        <v>1751</v>
      </c>
      <c r="C1" s="79" t="s">
        <v>2740</v>
      </c>
      <c r="D1" s="79" t="s">
        <v>2741</v>
      </c>
      <c r="E1" s="79" t="s">
        <v>2742</v>
      </c>
      <c r="F1" s="82" t="s">
        <v>2743</v>
      </c>
      <c r="G1" s="21" t="s">
        <v>27</v>
      </c>
      <c r="H1" s="21" t="s">
        <v>40</v>
      </c>
      <c r="I1" s="21" t="s">
        <v>2</v>
      </c>
      <c r="J1" s="21" t="s">
        <v>4</v>
      </c>
      <c r="K1" s="21" t="s">
        <v>5</v>
      </c>
      <c r="L1" s="17" t="s">
        <v>41</v>
      </c>
      <c r="M1" s="21" t="s">
        <v>42</v>
      </c>
      <c r="N1" s="21" t="s">
        <v>6</v>
      </c>
      <c r="O1" s="21" t="s">
        <v>43</v>
      </c>
      <c r="P1" s="21" t="s">
        <v>3</v>
      </c>
      <c r="Q1" s="21" t="s">
        <v>45</v>
      </c>
      <c r="R1" s="4" t="s">
        <v>44</v>
      </c>
      <c r="S1" s="21" t="s">
        <v>46</v>
      </c>
      <c r="T1" s="17" t="s">
        <v>47</v>
      </c>
      <c r="U1" s="26" t="s">
        <v>87</v>
      </c>
    </row>
    <row r="2" spans="1:25">
      <c r="A2" s="49"/>
      <c r="E2" s="79"/>
      <c r="G2" s="117" t="s">
        <v>2873</v>
      </c>
      <c r="H2" s="118"/>
      <c r="I2" s="118"/>
      <c r="J2" s="118"/>
      <c r="K2" s="118"/>
      <c r="L2" s="118"/>
      <c r="M2" s="118"/>
      <c r="N2" s="118"/>
      <c r="O2" s="118"/>
      <c r="P2" s="118"/>
      <c r="Q2" s="118"/>
      <c r="R2" s="118"/>
      <c r="S2" s="118"/>
      <c r="T2" s="118"/>
      <c r="U2" s="119"/>
    </row>
    <row r="3" spans="1:25">
      <c r="A3" s="48">
        <v>26</v>
      </c>
      <c r="B3" s="83"/>
      <c r="C3" s="83" t="s">
        <v>1121</v>
      </c>
      <c r="D3" s="83" t="s">
        <v>1121</v>
      </c>
      <c r="E3" s="83"/>
      <c r="F3" s="214"/>
      <c r="G3" s="26" t="s">
        <v>8</v>
      </c>
      <c r="H3" s="26" t="s">
        <v>2796</v>
      </c>
      <c r="I3" s="26">
        <v>33</v>
      </c>
      <c r="J3" s="26">
        <v>174</v>
      </c>
      <c r="K3" s="26" t="s">
        <v>2797</v>
      </c>
      <c r="L3" s="26" t="s">
        <v>25</v>
      </c>
      <c r="M3" s="26" t="s">
        <v>22</v>
      </c>
      <c r="N3" s="4" t="s">
        <v>66</v>
      </c>
      <c r="O3" s="4" t="s">
        <v>2798</v>
      </c>
      <c r="P3" s="4" t="s">
        <v>9</v>
      </c>
      <c r="Q3" s="4" t="s">
        <v>3109</v>
      </c>
      <c r="R3" s="4" t="s">
        <v>599</v>
      </c>
      <c r="S3" s="4" t="s">
        <v>2799</v>
      </c>
      <c r="T3" s="4" t="s">
        <v>2800</v>
      </c>
      <c r="U3" s="4">
        <v>0</v>
      </c>
    </row>
    <row r="4" spans="1:25">
      <c r="A4" s="48">
        <v>356</v>
      </c>
      <c r="B4" s="83"/>
      <c r="C4" s="83" t="s">
        <v>3104</v>
      </c>
      <c r="D4" s="83"/>
      <c r="E4" s="80"/>
      <c r="F4" s="83"/>
      <c r="G4" s="26" t="s">
        <v>8</v>
      </c>
      <c r="H4" s="26" t="s">
        <v>1980</v>
      </c>
      <c r="I4" s="36">
        <v>30</v>
      </c>
      <c r="J4" s="26">
        <v>182</v>
      </c>
      <c r="K4" s="26" t="s">
        <v>1981</v>
      </c>
      <c r="L4" s="26" t="s">
        <v>460</v>
      </c>
      <c r="M4" s="26" t="s">
        <v>774</v>
      </c>
      <c r="N4" s="26" t="s">
        <v>37</v>
      </c>
      <c r="O4" s="26" t="s">
        <v>10</v>
      </c>
      <c r="P4" s="26" t="s">
        <v>20</v>
      </c>
      <c r="Q4" s="26" t="s">
        <v>10</v>
      </c>
      <c r="R4" s="26" t="s">
        <v>1983</v>
      </c>
      <c r="S4" s="26" t="s">
        <v>10</v>
      </c>
      <c r="T4" s="26" t="s">
        <v>1982</v>
      </c>
      <c r="U4" s="213">
        <v>0</v>
      </c>
    </row>
    <row r="5" spans="1:25">
      <c r="A5" s="48">
        <v>19</v>
      </c>
      <c r="B5" s="81"/>
      <c r="C5" s="81">
        <v>1</v>
      </c>
      <c r="D5" s="81"/>
      <c r="E5" s="80"/>
      <c r="F5" s="80"/>
      <c r="G5" s="212" t="s">
        <v>8</v>
      </c>
      <c r="H5" s="26" t="s">
        <v>134</v>
      </c>
      <c r="I5" s="36">
        <v>28</v>
      </c>
      <c r="J5" s="26">
        <v>181</v>
      </c>
      <c r="K5" s="26" t="s">
        <v>135</v>
      </c>
      <c r="L5" s="26" t="s">
        <v>459</v>
      </c>
      <c r="M5" s="26" t="s">
        <v>34</v>
      </c>
      <c r="N5" s="26" t="s">
        <v>12</v>
      </c>
      <c r="O5" s="26" t="s">
        <v>10</v>
      </c>
      <c r="P5" s="26" t="s">
        <v>9</v>
      </c>
      <c r="Q5" s="26" t="s">
        <v>10</v>
      </c>
      <c r="R5" s="26" t="s">
        <v>10</v>
      </c>
      <c r="S5" s="26" t="s">
        <v>136</v>
      </c>
      <c r="T5" s="26" t="s">
        <v>137</v>
      </c>
      <c r="U5" s="213">
        <v>0</v>
      </c>
    </row>
    <row r="6" spans="1:25">
      <c r="A6" s="48">
        <v>391</v>
      </c>
      <c r="B6" s="83"/>
      <c r="C6" s="83" t="s">
        <v>3102</v>
      </c>
      <c r="D6" s="83"/>
      <c r="E6" s="80"/>
      <c r="F6" s="80"/>
      <c r="G6" s="26" t="s">
        <v>8</v>
      </c>
      <c r="H6" s="26" t="s">
        <v>3086</v>
      </c>
      <c r="I6" s="26">
        <v>27</v>
      </c>
      <c r="J6" s="26">
        <v>180</v>
      </c>
      <c r="K6" s="26" t="s">
        <v>3101</v>
      </c>
      <c r="L6" s="26" t="s">
        <v>62</v>
      </c>
      <c r="M6" s="26" t="s">
        <v>591</v>
      </c>
      <c r="N6" s="26" t="s">
        <v>13</v>
      </c>
      <c r="O6" s="26" t="s">
        <v>10</v>
      </c>
      <c r="P6" s="26" t="s">
        <v>9</v>
      </c>
      <c r="Q6" s="26" t="s">
        <v>10</v>
      </c>
      <c r="R6" s="26" t="s">
        <v>10</v>
      </c>
      <c r="S6" s="26" t="s">
        <v>3095</v>
      </c>
      <c r="T6" s="26" t="s">
        <v>3097</v>
      </c>
      <c r="U6" s="213">
        <v>0</v>
      </c>
    </row>
    <row r="7" spans="1:25">
      <c r="A7" s="107">
        <v>41</v>
      </c>
      <c r="B7" s="81">
        <v>1</v>
      </c>
      <c r="C7" s="80">
        <v>1</v>
      </c>
      <c r="D7" s="80"/>
      <c r="E7" s="80"/>
      <c r="F7" s="81"/>
      <c r="G7" s="26" t="s">
        <v>14</v>
      </c>
      <c r="H7" s="26" t="s">
        <v>1109</v>
      </c>
      <c r="I7" s="26">
        <v>26</v>
      </c>
      <c r="J7" s="26">
        <v>171</v>
      </c>
      <c r="K7" s="26" t="s">
        <v>1110</v>
      </c>
      <c r="L7" s="26" t="s">
        <v>460</v>
      </c>
      <c r="M7" s="26" t="s">
        <v>65</v>
      </c>
      <c r="N7" s="26" t="s">
        <v>1111</v>
      </c>
      <c r="O7" s="26" t="s">
        <v>1112</v>
      </c>
      <c r="P7" s="26" t="s">
        <v>9</v>
      </c>
      <c r="Q7" s="26" t="s">
        <v>29</v>
      </c>
      <c r="R7" s="26" t="s">
        <v>11</v>
      </c>
      <c r="S7" s="26" t="s">
        <v>1113</v>
      </c>
      <c r="T7" s="26" t="s">
        <v>1114</v>
      </c>
      <c r="U7" s="213">
        <v>0</v>
      </c>
    </row>
    <row r="8" spans="1:25">
      <c r="A8" s="107">
        <v>305</v>
      </c>
      <c r="B8" s="85" t="s">
        <v>1121</v>
      </c>
      <c r="C8" s="85" t="s">
        <v>3104</v>
      </c>
      <c r="D8" s="85"/>
      <c r="E8" s="80"/>
      <c r="F8" s="80"/>
      <c r="G8" s="26" t="s">
        <v>14</v>
      </c>
      <c r="H8" s="26" t="s">
        <v>1648</v>
      </c>
      <c r="I8" s="26">
        <v>26</v>
      </c>
      <c r="J8" s="26">
        <v>164</v>
      </c>
      <c r="K8" s="26" t="s">
        <v>1649</v>
      </c>
      <c r="L8" s="26" t="s">
        <v>62</v>
      </c>
      <c r="M8" s="26" t="s">
        <v>15</v>
      </c>
      <c r="N8" s="26" t="s">
        <v>12</v>
      </c>
      <c r="O8" s="26" t="s">
        <v>10</v>
      </c>
      <c r="P8" s="26" t="s">
        <v>9</v>
      </c>
      <c r="Q8" s="26" t="s">
        <v>57</v>
      </c>
      <c r="R8" s="26" t="s">
        <v>11</v>
      </c>
      <c r="S8" s="26" t="s">
        <v>1690</v>
      </c>
      <c r="T8" s="26" t="s">
        <v>1691</v>
      </c>
      <c r="U8" s="213">
        <v>0</v>
      </c>
    </row>
    <row r="9" spans="1:25">
      <c r="A9" s="107">
        <v>34</v>
      </c>
      <c r="B9" s="80"/>
      <c r="C9" s="80">
        <v>1</v>
      </c>
      <c r="D9" s="80">
        <v>1</v>
      </c>
      <c r="E9" s="80"/>
      <c r="F9" s="81"/>
      <c r="G9" s="36" t="s">
        <v>14</v>
      </c>
      <c r="H9" s="26" t="s">
        <v>419</v>
      </c>
      <c r="I9" s="26">
        <v>27</v>
      </c>
      <c r="J9" s="26">
        <v>169</v>
      </c>
      <c r="K9" s="26" t="s">
        <v>420</v>
      </c>
      <c r="L9" s="26" t="s">
        <v>25</v>
      </c>
      <c r="M9" s="26" t="s">
        <v>15</v>
      </c>
      <c r="N9" s="26" t="s">
        <v>76</v>
      </c>
      <c r="O9" s="26" t="s">
        <v>10</v>
      </c>
      <c r="P9" s="26" t="s">
        <v>9</v>
      </c>
      <c r="Q9" s="26" t="s">
        <v>10</v>
      </c>
      <c r="R9" s="26" t="s">
        <v>10</v>
      </c>
      <c r="S9" s="26" t="s">
        <v>421</v>
      </c>
      <c r="T9" s="26" t="s">
        <v>422</v>
      </c>
      <c r="U9" s="213">
        <v>0</v>
      </c>
    </row>
    <row r="10" spans="1:25">
      <c r="A10" s="48">
        <v>389</v>
      </c>
      <c r="B10" s="80"/>
      <c r="C10" s="80">
        <v>1</v>
      </c>
      <c r="D10" s="80" t="s">
        <v>3056</v>
      </c>
      <c r="E10" s="80"/>
      <c r="F10" s="80"/>
      <c r="G10" s="26" t="s">
        <v>14</v>
      </c>
      <c r="H10" s="207" t="s">
        <v>3058</v>
      </c>
      <c r="I10" s="26">
        <v>28</v>
      </c>
      <c r="J10" s="26">
        <v>163</v>
      </c>
      <c r="K10" s="26" t="s">
        <v>3061</v>
      </c>
      <c r="L10" s="26" t="s">
        <v>459</v>
      </c>
      <c r="M10" s="26" t="s">
        <v>458</v>
      </c>
      <c r="N10" s="26" t="s">
        <v>3063</v>
      </c>
      <c r="O10" s="26" t="s">
        <v>3064</v>
      </c>
      <c r="P10" s="26" t="s">
        <v>9</v>
      </c>
      <c r="Q10" s="26" t="s">
        <v>29</v>
      </c>
      <c r="R10" s="26" t="s">
        <v>324</v>
      </c>
      <c r="S10" s="26" t="s">
        <v>3065</v>
      </c>
      <c r="T10" s="26" t="s">
        <v>3066</v>
      </c>
      <c r="U10" s="213">
        <v>0</v>
      </c>
      <c r="X10" s="1" t="s">
        <v>3108</v>
      </c>
      <c r="Y10" s="1" t="s">
        <v>3107</v>
      </c>
    </row>
    <row r="11" spans="1:25">
      <c r="A11" s="82"/>
      <c r="B11" s="80"/>
      <c r="C11" s="83"/>
      <c r="D11" s="83"/>
      <c r="E11" s="80"/>
      <c r="F11" s="80"/>
      <c r="G11" s="117" t="s">
        <v>2874</v>
      </c>
      <c r="H11" s="118"/>
      <c r="I11" s="118"/>
      <c r="J11" s="118"/>
      <c r="K11" s="118"/>
      <c r="L11" s="118"/>
      <c r="M11" s="118"/>
      <c r="N11" s="118"/>
      <c r="O11" s="118"/>
      <c r="P11" s="118"/>
      <c r="Q11" s="118"/>
      <c r="R11" s="118"/>
      <c r="S11" s="118"/>
      <c r="T11" s="118"/>
      <c r="U11" s="119"/>
    </row>
    <row r="12" spans="1:25">
      <c r="A12" s="48">
        <v>380</v>
      </c>
      <c r="B12" s="80"/>
      <c r="C12" s="83"/>
      <c r="D12" s="83" t="s">
        <v>1121</v>
      </c>
      <c r="E12" s="80"/>
      <c r="F12" s="80"/>
      <c r="G12" s="26" t="s">
        <v>8</v>
      </c>
      <c r="H12" s="26" t="s">
        <v>2744</v>
      </c>
      <c r="I12" s="26">
        <v>35</v>
      </c>
      <c r="J12" s="26">
        <v>167</v>
      </c>
      <c r="K12" s="26" t="s">
        <v>2746</v>
      </c>
      <c r="L12" s="26" t="s">
        <v>462</v>
      </c>
      <c r="M12" s="26" t="s">
        <v>21</v>
      </c>
      <c r="N12" s="4" t="s">
        <v>557</v>
      </c>
      <c r="O12" s="4" t="s">
        <v>10</v>
      </c>
      <c r="P12" s="4" t="s">
        <v>9</v>
      </c>
      <c r="Q12" s="4" t="s">
        <v>10</v>
      </c>
      <c r="R12" s="4" t="s">
        <v>2749</v>
      </c>
      <c r="S12" s="4" t="s">
        <v>2747</v>
      </c>
      <c r="T12" s="4" t="s">
        <v>2748</v>
      </c>
      <c r="U12" s="4">
        <v>0</v>
      </c>
    </row>
    <row r="13" spans="1:25">
      <c r="A13" s="48">
        <v>381</v>
      </c>
      <c r="B13" s="80"/>
      <c r="C13" s="83"/>
      <c r="D13" s="83" t="s">
        <v>1121</v>
      </c>
      <c r="E13" s="80"/>
      <c r="F13" s="80"/>
      <c r="G13" s="26" t="s">
        <v>8</v>
      </c>
      <c r="H13" s="26" t="s">
        <v>2792</v>
      </c>
      <c r="I13" s="26">
        <v>37</v>
      </c>
      <c r="J13" s="26">
        <v>170</v>
      </c>
      <c r="K13" s="26" t="s">
        <v>2793</v>
      </c>
      <c r="L13" s="26" t="s">
        <v>462</v>
      </c>
      <c r="M13" s="26" t="s">
        <v>21</v>
      </c>
      <c r="N13" s="4" t="s">
        <v>68</v>
      </c>
      <c r="O13" s="4" t="s">
        <v>10</v>
      </c>
      <c r="P13" s="4" t="s">
        <v>31</v>
      </c>
      <c r="Q13" s="4" t="s">
        <v>10</v>
      </c>
      <c r="R13" s="4" t="s">
        <v>10</v>
      </c>
      <c r="S13" s="4" t="s">
        <v>2794</v>
      </c>
      <c r="T13" s="4" t="s">
        <v>2795</v>
      </c>
      <c r="U13" s="4">
        <v>0</v>
      </c>
    </row>
    <row r="14" spans="1:25">
      <c r="A14" s="48">
        <v>384</v>
      </c>
      <c r="B14" s="80"/>
      <c r="C14" s="83" t="s">
        <v>1121</v>
      </c>
      <c r="D14" s="83" t="s">
        <v>1121</v>
      </c>
      <c r="E14" s="80"/>
      <c r="F14" s="80"/>
      <c r="G14" s="26" t="s">
        <v>8</v>
      </c>
      <c r="H14" s="26" t="s">
        <v>2811</v>
      </c>
      <c r="I14" s="26">
        <v>35</v>
      </c>
      <c r="J14" s="26">
        <v>173</v>
      </c>
      <c r="K14" s="26" t="s">
        <v>2812</v>
      </c>
      <c r="L14" s="26" t="s">
        <v>460</v>
      </c>
      <c r="M14" s="26" t="s">
        <v>21</v>
      </c>
      <c r="N14" s="4" t="s">
        <v>480</v>
      </c>
      <c r="O14" s="4" t="s">
        <v>2813</v>
      </c>
      <c r="P14" s="4" t="s">
        <v>9</v>
      </c>
      <c r="Q14" s="4" t="s">
        <v>3109</v>
      </c>
      <c r="R14" s="4" t="s">
        <v>10</v>
      </c>
      <c r="S14" s="4" t="s">
        <v>2815</v>
      </c>
      <c r="T14" s="4" t="s">
        <v>2816</v>
      </c>
      <c r="U14" s="4" t="s">
        <v>2817</v>
      </c>
    </row>
    <row r="15" spans="1:25">
      <c r="A15" s="107">
        <v>13</v>
      </c>
      <c r="B15" s="81">
        <v>1</v>
      </c>
      <c r="C15" s="81"/>
      <c r="D15" s="81">
        <v>1</v>
      </c>
      <c r="E15" s="80"/>
      <c r="F15" s="80"/>
      <c r="G15" s="26" t="s">
        <v>8</v>
      </c>
      <c r="H15" s="26" t="s">
        <v>401</v>
      </c>
      <c r="I15" s="26">
        <v>34</v>
      </c>
      <c r="J15" s="26">
        <v>168</v>
      </c>
      <c r="K15" s="26" t="s">
        <v>472</v>
      </c>
      <c r="L15" s="4" t="s">
        <v>25</v>
      </c>
      <c r="M15" s="4" t="s">
        <v>64</v>
      </c>
      <c r="N15" s="4" t="s">
        <v>252</v>
      </c>
      <c r="O15" s="4" t="s">
        <v>10</v>
      </c>
      <c r="P15" s="4" t="s">
        <v>9</v>
      </c>
      <c r="Q15" s="4" t="s">
        <v>10</v>
      </c>
      <c r="R15" s="4" t="s">
        <v>10</v>
      </c>
      <c r="S15" s="4" t="s">
        <v>402</v>
      </c>
      <c r="T15" s="4" t="s">
        <v>403</v>
      </c>
      <c r="U15" s="4" t="s">
        <v>404</v>
      </c>
    </row>
    <row r="16" spans="1:25">
      <c r="A16" s="107">
        <v>387</v>
      </c>
      <c r="B16" s="80"/>
      <c r="C16" s="83"/>
      <c r="D16" s="83" t="s">
        <v>1121</v>
      </c>
      <c r="E16" s="80"/>
      <c r="F16" s="80"/>
      <c r="G16" s="26" t="s">
        <v>14</v>
      </c>
      <c r="H16" s="26" t="s">
        <v>405</v>
      </c>
      <c r="I16" s="26">
        <v>36</v>
      </c>
      <c r="J16" s="26">
        <v>164</v>
      </c>
      <c r="K16" s="26" t="s">
        <v>2879</v>
      </c>
      <c r="L16" s="26" t="s">
        <v>466</v>
      </c>
      <c r="M16" s="26" t="s">
        <v>93</v>
      </c>
      <c r="N16" s="4" t="s">
        <v>252</v>
      </c>
      <c r="O16" s="4" t="s">
        <v>10</v>
      </c>
      <c r="P16" s="4" t="s">
        <v>9</v>
      </c>
      <c r="Q16" s="4" t="s">
        <v>3109</v>
      </c>
      <c r="R16" s="4" t="s">
        <v>2882</v>
      </c>
      <c r="S16" s="4" t="s">
        <v>2880</v>
      </c>
      <c r="T16" s="4" t="s">
        <v>2881</v>
      </c>
      <c r="U16" s="4">
        <v>0</v>
      </c>
    </row>
    <row r="17" spans="1:23">
      <c r="A17" s="48">
        <v>217</v>
      </c>
      <c r="B17" s="80"/>
      <c r="C17" s="83"/>
      <c r="D17" s="88">
        <v>1</v>
      </c>
      <c r="E17" s="80"/>
      <c r="F17" s="80"/>
      <c r="G17" s="36" t="s">
        <v>14</v>
      </c>
      <c r="H17" s="26" t="s">
        <v>1177</v>
      </c>
      <c r="I17" s="26">
        <v>31</v>
      </c>
      <c r="J17" s="26">
        <v>167</v>
      </c>
      <c r="K17" s="26" t="s">
        <v>1179</v>
      </c>
      <c r="L17" s="26" t="s">
        <v>465</v>
      </c>
      <c r="M17" s="26" t="s">
        <v>458</v>
      </c>
      <c r="N17" s="26" t="s">
        <v>203</v>
      </c>
      <c r="O17" s="26" t="s">
        <v>35</v>
      </c>
      <c r="P17" s="26" t="s">
        <v>9</v>
      </c>
      <c r="Q17" s="26" t="s">
        <v>29</v>
      </c>
      <c r="R17" s="26" t="s">
        <v>10</v>
      </c>
      <c r="S17" s="26" t="s">
        <v>1180</v>
      </c>
      <c r="T17" s="26" t="s">
        <v>1181</v>
      </c>
      <c r="U17" s="26" t="s">
        <v>1182</v>
      </c>
    </row>
    <row r="18" spans="1:23">
      <c r="A18" s="48">
        <v>109</v>
      </c>
      <c r="B18" s="81"/>
      <c r="C18" s="81"/>
      <c r="D18" s="81">
        <v>1</v>
      </c>
      <c r="E18" s="80"/>
      <c r="F18" s="80"/>
      <c r="G18" s="26" t="s">
        <v>14</v>
      </c>
      <c r="H18" s="26" t="s">
        <v>657</v>
      </c>
      <c r="I18" s="26">
        <v>34</v>
      </c>
      <c r="J18" s="26">
        <v>158</v>
      </c>
      <c r="K18" s="26" t="s">
        <v>658</v>
      </c>
      <c r="L18" s="26" t="s">
        <v>465</v>
      </c>
      <c r="M18" s="26" t="s">
        <v>55</v>
      </c>
      <c r="N18" s="26" t="s">
        <v>148</v>
      </c>
      <c r="O18" s="26" t="s">
        <v>659</v>
      </c>
      <c r="P18" s="26" t="s">
        <v>9</v>
      </c>
      <c r="Q18" s="26" t="s">
        <v>29</v>
      </c>
      <c r="R18" s="26" t="s">
        <v>69</v>
      </c>
      <c r="S18" s="26" t="s">
        <v>660</v>
      </c>
      <c r="T18" s="26" t="s">
        <v>661</v>
      </c>
      <c r="U18" s="26" t="s">
        <v>662</v>
      </c>
      <c r="W18" s="26">
        <v>0</v>
      </c>
    </row>
    <row r="19" spans="1:23">
      <c r="A19" s="48">
        <v>237</v>
      </c>
      <c r="B19" s="81"/>
      <c r="C19" s="81">
        <v>1</v>
      </c>
      <c r="D19" s="81">
        <v>1</v>
      </c>
      <c r="E19" s="80">
        <v>1</v>
      </c>
      <c r="F19" s="80">
        <v>1</v>
      </c>
      <c r="G19" s="26" t="s">
        <v>14</v>
      </c>
      <c r="H19" s="36" t="s">
        <v>1291</v>
      </c>
      <c r="I19" s="26">
        <v>30</v>
      </c>
      <c r="J19" s="26">
        <v>158</v>
      </c>
      <c r="K19" s="26" t="s">
        <v>1292</v>
      </c>
      <c r="L19" s="26" t="s">
        <v>82</v>
      </c>
      <c r="M19" s="26" t="s">
        <v>55</v>
      </c>
      <c r="N19" s="26" t="s">
        <v>80</v>
      </c>
      <c r="O19" s="26" t="s">
        <v>10</v>
      </c>
      <c r="P19" s="26" t="s">
        <v>9</v>
      </c>
      <c r="Q19" s="26" t="s">
        <v>29</v>
      </c>
      <c r="R19" s="26">
        <v>0</v>
      </c>
      <c r="S19" s="26" t="s">
        <v>1293</v>
      </c>
      <c r="T19" s="213">
        <v>0</v>
      </c>
      <c r="U19" s="213">
        <v>0</v>
      </c>
      <c r="W19" s="89"/>
    </row>
    <row r="20" spans="1:23">
      <c r="A20" s="48">
        <v>375</v>
      </c>
      <c r="B20" s="214"/>
      <c r="C20" s="83"/>
      <c r="D20" s="83" t="s">
        <v>1121</v>
      </c>
      <c r="E20" s="80"/>
      <c r="F20" s="80"/>
      <c r="G20" s="26" t="s">
        <v>14</v>
      </c>
      <c r="H20" s="26" t="s">
        <v>2750</v>
      </c>
      <c r="I20" s="26">
        <v>35</v>
      </c>
      <c r="J20" s="26">
        <v>168</v>
      </c>
      <c r="K20" s="26" t="s">
        <v>2751</v>
      </c>
      <c r="L20" s="26" t="s">
        <v>461</v>
      </c>
      <c r="M20" s="26" t="s">
        <v>15</v>
      </c>
      <c r="N20" s="4" t="s">
        <v>13</v>
      </c>
      <c r="O20" s="4" t="s">
        <v>10</v>
      </c>
      <c r="P20" s="4" t="s">
        <v>9</v>
      </c>
      <c r="Q20" s="4" t="s">
        <v>3109</v>
      </c>
      <c r="R20" s="4" t="s">
        <v>10</v>
      </c>
      <c r="S20" s="4" t="s">
        <v>2752</v>
      </c>
      <c r="T20" s="4" t="s">
        <v>2753</v>
      </c>
      <c r="U20" s="4">
        <v>0</v>
      </c>
      <c r="W20" s="89"/>
    </row>
    <row r="21" spans="1:23">
      <c r="A21" s="48">
        <v>383</v>
      </c>
      <c r="B21" s="80">
        <v>1</v>
      </c>
      <c r="C21" s="83" t="s">
        <v>1121</v>
      </c>
      <c r="D21" s="83" t="s">
        <v>1121</v>
      </c>
      <c r="E21" s="80">
        <v>1</v>
      </c>
      <c r="F21" s="80">
        <v>1</v>
      </c>
      <c r="G21" s="26" t="s">
        <v>14</v>
      </c>
      <c r="H21" s="26" t="s">
        <v>2806</v>
      </c>
      <c r="I21" s="26">
        <v>32</v>
      </c>
      <c r="J21" s="26">
        <v>164</v>
      </c>
      <c r="K21" s="26" t="s">
        <v>2807</v>
      </c>
      <c r="L21" s="26" t="s">
        <v>25</v>
      </c>
      <c r="M21" s="26" t="s">
        <v>93</v>
      </c>
      <c r="N21" s="4" t="s">
        <v>30</v>
      </c>
      <c r="O21" s="4" t="s">
        <v>2808</v>
      </c>
      <c r="P21" s="4" t="s">
        <v>9</v>
      </c>
      <c r="Q21" s="4" t="s">
        <v>3109</v>
      </c>
      <c r="R21" s="4" t="s">
        <v>10</v>
      </c>
      <c r="S21" s="4" t="s">
        <v>2809</v>
      </c>
      <c r="T21" s="4" t="s">
        <v>2810</v>
      </c>
      <c r="U21" s="4">
        <v>0</v>
      </c>
    </row>
    <row r="22" spans="1:23">
      <c r="A22" s="48">
        <v>378</v>
      </c>
      <c r="B22" s="80">
        <v>1</v>
      </c>
      <c r="C22" s="83" t="s">
        <v>1121</v>
      </c>
      <c r="D22" s="83" t="s">
        <v>1121</v>
      </c>
      <c r="E22" s="80"/>
      <c r="F22" s="80"/>
      <c r="G22" s="26" t="s">
        <v>14</v>
      </c>
      <c r="H22" s="26" t="s">
        <v>2788</v>
      </c>
      <c r="I22" s="26">
        <v>32</v>
      </c>
      <c r="J22" s="26">
        <v>165</v>
      </c>
      <c r="K22" s="26" t="s">
        <v>2789</v>
      </c>
      <c r="L22" s="26" t="s">
        <v>36</v>
      </c>
      <c r="M22" s="26" t="s">
        <v>93</v>
      </c>
      <c r="N22" s="4" t="s">
        <v>35</v>
      </c>
      <c r="O22" s="4" t="s">
        <v>10</v>
      </c>
      <c r="P22" s="4" t="s">
        <v>9</v>
      </c>
      <c r="Q22" s="4" t="s">
        <v>3109</v>
      </c>
      <c r="R22" s="4" t="s">
        <v>1367</v>
      </c>
      <c r="S22" s="4" t="s">
        <v>2790</v>
      </c>
      <c r="T22" s="4" t="s">
        <v>2791</v>
      </c>
      <c r="U22" s="4">
        <v>0</v>
      </c>
    </row>
    <row r="23" spans="1:23">
      <c r="A23" s="48">
        <v>374</v>
      </c>
      <c r="B23" s="214"/>
      <c r="C23" s="83"/>
      <c r="D23" s="83" t="s">
        <v>1121</v>
      </c>
      <c r="E23" s="80"/>
      <c r="F23" s="80"/>
      <c r="G23" s="26" t="s">
        <v>14</v>
      </c>
      <c r="H23" s="26" t="s">
        <v>2897</v>
      </c>
      <c r="I23" s="26">
        <v>30</v>
      </c>
      <c r="J23" s="26">
        <v>159</v>
      </c>
      <c r="K23" s="26" t="s">
        <v>2898</v>
      </c>
      <c r="L23" s="26" t="s">
        <v>2899</v>
      </c>
      <c r="M23" s="26" t="s">
        <v>93</v>
      </c>
      <c r="N23" s="4" t="s">
        <v>2822</v>
      </c>
      <c r="O23" s="4" t="s">
        <v>2900</v>
      </c>
      <c r="P23" s="4" t="s">
        <v>9</v>
      </c>
      <c r="Q23" s="4" t="s">
        <v>3109</v>
      </c>
      <c r="R23" s="4" t="s">
        <v>2901</v>
      </c>
      <c r="S23" s="4" t="s">
        <v>2902</v>
      </c>
      <c r="T23" s="4" t="s">
        <v>2903</v>
      </c>
      <c r="U23" s="4">
        <v>0</v>
      </c>
    </row>
    <row r="24" spans="1:23">
      <c r="A24" s="48">
        <v>9</v>
      </c>
      <c r="B24" s="83"/>
      <c r="C24" s="83"/>
      <c r="D24" s="83"/>
      <c r="E24" s="214"/>
      <c r="F24" s="80"/>
      <c r="G24" s="26" t="s">
        <v>1148</v>
      </c>
      <c r="H24" s="26" t="s">
        <v>3004</v>
      </c>
      <c r="I24" s="26">
        <v>33</v>
      </c>
      <c r="J24" s="26">
        <v>168</v>
      </c>
      <c r="K24" s="26" t="s">
        <v>3005</v>
      </c>
      <c r="L24" s="26" t="s">
        <v>2051</v>
      </c>
      <c r="M24" s="26" t="s">
        <v>93</v>
      </c>
      <c r="N24" s="26" t="s">
        <v>2692</v>
      </c>
      <c r="O24" s="26" t="s">
        <v>3006</v>
      </c>
      <c r="P24" s="26" t="s">
        <v>9</v>
      </c>
      <c r="Q24" s="26" t="s">
        <v>29</v>
      </c>
      <c r="R24" s="26" t="s">
        <v>79</v>
      </c>
      <c r="S24" s="26" t="s">
        <v>3007</v>
      </c>
      <c r="T24" s="26" t="s">
        <v>3036</v>
      </c>
      <c r="U24" s="4">
        <v>0</v>
      </c>
    </row>
    <row r="25" spans="1:23">
      <c r="A25" s="48">
        <v>379</v>
      </c>
      <c r="B25" s="80"/>
      <c r="C25" s="83"/>
      <c r="D25" s="83" t="s">
        <v>1121</v>
      </c>
      <c r="E25" s="80"/>
      <c r="F25" s="80"/>
      <c r="G25" s="26" t="s">
        <v>14</v>
      </c>
      <c r="H25" s="26" t="s">
        <v>1902</v>
      </c>
      <c r="I25" s="26">
        <v>34</v>
      </c>
      <c r="J25" s="26">
        <v>164</v>
      </c>
      <c r="K25" s="26" t="s">
        <v>1906</v>
      </c>
      <c r="L25" s="26" t="s">
        <v>1903</v>
      </c>
      <c r="M25" s="26" t="s">
        <v>55</v>
      </c>
      <c r="N25" s="4" t="s">
        <v>59</v>
      </c>
      <c r="O25" s="4" t="s">
        <v>10</v>
      </c>
      <c r="P25" s="4" t="s">
        <v>56</v>
      </c>
      <c r="Q25" s="4" t="s">
        <v>57</v>
      </c>
      <c r="R25" s="4">
        <v>0</v>
      </c>
      <c r="S25" s="4" t="s">
        <v>1905</v>
      </c>
      <c r="T25" s="4" t="s">
        <v>1904</v>
      </c>
      <c r="U25" s="4">
        <v>0</v>
      </c>
    </row>
    <row r="26" spans="1:23">
      <c r="A26" s="48">
        <v>382</v>
      </c>
      <c r="B26" s="80"/>
      <c r="C26" s="83" t="s">
        <v>1121</v>
      </c>
      <c r="D26" s="83"/>
      <c r="E26" s="80">
        <v>1</v>
      </c>
      <c r="F26" s="80">
        <v>1</v>
      </c>
      <c r="G26" s="26" t="s">
        <v>14</v>
      </c>
      <c r="H26" s="26" t="s">
        <v>1035</v>
      </c>
      <c r="I26" s="26">
        <v>36</v>
      </c>
      <c r="J26" s="26">
        <v>156</v>
      </c>
      <c r="K26" s="26" t="s">
        <v>277</v>
      </c>
      <c r="L26" s="26" t="s">
        <v>36</v>
      </c>
      <c r="M26" s="26" t="s">
        <v>15</v>
      </c>
      <c r="N26" s="4" t="s">
        <v>907</v>
      </c>
      <c r="O26" s="4" t="s">
        <v>10</v>
      </c>
      <c r="P26" s="4" t="s">
        <v>31</v>
      </c>
      <c r="Q26" s="4" t="s">
        <v>10</v>
      </c>
      <c r="R26" s="4" t="s">
        <v>190</v>
      </c>
      <c r="S26" s="4" t="s">
        <v>2804</v>
      </c>
      <c r="T26" s="4" t="s">
        <v>2805</v>
      </c>
      <c r="U26" s="4">
        <v>0</v>
      </c>
    </row>
    <row r="27" spans="1:23">
      <c r="A27" s="48">
        <v>159</v>
      </c>
      <c r="B27" s="81"/>
      <c r="C27" s="81">
        <v>1</v>
      </c>
      <c r="D27" s="81"/>
      <c r="E27" s="80"/>
      <c r="F27" s="81"/>
      <c r="G27" s="26" t="s">
        <v>14</v>
      </c>
      <c r="H27" s="26" t="s">
        <v>362</v>
      </c>
      <c r="I27" s="26">
        <v>33</v>
      </c>
      <c r="J27" s="26">
        <v>157</v>
      </c>
      <c r="K27" s="26" t="s">
        <v>363</v>
      </c>
      <c r="L27" s="26" t="s">
        <v>36</v>
      </c>
      <c r="M27" s="26" t="s">
        <v>93</v>
      </c>
      <c r="N27" s="26" t="s">
        <v>19</v>
      </c>
      <c r="O27" s="26" t="s">
        <v>364</v>
      </c>
      <c r="P27" s="26" t="s">
        <v>9</v>
      </c>
      <c r="Q27" s="26" t="s">
        <v>10</v>
      </c>
      <c r="R27" s="26" t="s">
        <v>10</v>
      </c>
      <c r="S27" s="26" t="s">
        <v>365</v>
      </c>
      <c r="T27" s="26" t="s">
        <v>366</v>
      </c>
      <c r="U27" s="4">
        <v>0</v>
      </c>
    </row>
    <row r="28" spans="1:23">
      <c r="B28" s="83"/>
      <c r="C28" s="83"/>
      <c r="D28" s="83"/>
      <c r="E28" s="80"/>
      <c r="F28" s="80"/>
      <c r="G28" s="117" t="s">
        <v>3103</v>
      </c>
      <c r="H28" s="118"/>
      <c r="I28" s="118"/>
      <c r="J28" s="118"/>
      <c r="K28" s="118"/>
      <c r="L28" s="118"/>
      <c r="M28" s="118"/>
      <c r="N28" s="118"/>
      <c r="O28" s="118"/>
      <c r="P28" s="118"/>
      <c r="Q28" s="118"/>
      <c r="R28" s="118"/>
      <c r="S28" s="118"/>
      <c r="T28" s="118"/>
      <c r="U28" s="119"/>
    </row>
    <row r="29" spans="1:23">
      <c r="A29" s="48">
        <v>280</v>
      </c>
      <c r="B29" s="85"/>
      <c r="C29" s="85"/>
      <c r="D29" s="85"/>
      <c r="E29" s="80"/>
      <c r="F29" s="80"/>
      <c r="G29" s="26" t="s">
        <v>7</v>
      </c>
      <c r="H29" s="26" t="s">
        <v>1757</v>
      </c>
      <c r="I29" s="26">
        <v>32</v>
      </c>
      <c r="J29" s="26">
        <v>170</v>
      </c>
      <c r="K29" s="26" t="s">
        <v>1524</v>
      </c>
      <c r="L29" s="26" t="s">
        <v>25</v>
      </c>
      <c r="M29" s="26" t="s">
        <v>22</v>
      </c>
      <c r="N29" s="26" t="s">
        <v>1767</v>
      </c>
      <c r="O29" s="26" t="s">
        <v>456</v>
      </c>
      <c r="P29" s="26" t="s">
        <v>9</v>
      </c>
      <c r="Q29" s="26" t="s">
        <v>10</v>
      </c>
      <c r="R29" s="26" t="s">
        <v>11</v>
      </c>
      <c r="S29" s="26" t="s">
        <v>1601</v>
      </c>
      <c r="T29" s="26" t="s">
        <v>3051</v>
      </c>
      <c r="U29" s="4" t="s">
        <v>1527</v>
      </c>
    </row>
    <row r="30" spans="1:23">
      <c r="A30" s="107">
        <v>363</v>
      </c>
      <c r="B30" s="81"/>
      <c r="C30" s="81"/>
      <c r="D30" s="81"/>
      <c r="E30" s="80"/>
      <c r="F30" s="81"/>
      <c r="G30" s="26" t="s">
        <v>8</v>
      </c>
      <c r="H30" s="26" t="s">
        <v>2706</v>
      </c>
      <c r="I30" s="26">
        <v>29</v>
      </c>
      <c r="J30" s="26">
        <v>173</v>
      </c>
      <c r="K30" s="26" t="s">
        <v>2640</v>
      </c>
      <c r="L30" s="26" t="s">
        <v>62</v>
      </c>
      <c r="M30" s="26" t="s">
        <v>21</v>
      </c>
      <c r="N30" s="4" t="s">
        <v>18</v>
      </c>
      <c r="O30" s="4" t="s">
        <v>10</v>
      </c>
      <c r="P30" s="4" t="s">
        <v>9</v>
      </c>
      <c r="Q30" s="4" t="s">
        <v>3109</v>
      </c>
      <c r="R30" s="4" t="s">
        <v>10</v>
      </c>
      <c r="S30" s="4" t="s">
        <v>2707</v>
      </c>
      <c r="T30" s="4" t="s">
        <v>2708</v>
      </c>
      <c r="U30" s="4" t="s">
        <v>2644</v>
      </c>
    </row>
    <row r="31" spans="1:23">
      <c r="A31" s="48">
        <v>340</v>
      </c>
      <c r="B31" s="83"/>
      <c r="C31" s="83" t="s">
        <v>3056</v>
      </c>
      <c r="D31" s="83"/>
      <c r="E31" s="80">
        <v>1</v>
      </c>
      <c r="F31" s="81"/>
      <c r="G31" s="36" t="s">
        <v>8</v>
      </c>
      <c r="H31" s="26" t="s">
        <v>1909</v>
      </c>
      <c r="I31" s="26">
        <v>27</v>
      </c>
      <c r="J31" s="26">
        <v>183</v>
      </c>
      <c r="K31" s="26" t="s">
        <v>1910</v>
      </c>
      <c r="L31" s="26" t="s">
        <v>33</v>
      </c>
      <c r="M31" s="26" t="s">
        <v>774</v>
      </c>
      <c r="N31" s="26" t="s">
        <v>66</v>
      </c>
      <c r="O31" s="26" t="s">
        <v>10</v>
      </c>
      <c r="P31" s="26" t="s">
        <v>31</v>
      </c>
      <c r="Q31" s="26" t="s">
        <v>10</v>
      </c>
      <c r="R31" s="26" t="s">
        <v>1912</v>
      </c>
      <c r="S31" s="26">
        <v>0</v>
      </c>
      <c r="T31" s="26" t="s">
        <v>1911</v>
      </c>
      <c r="U31" s="26" t="s">
        <v>1913</v>
      </c>
      <c r="W31" s="26">
        <v>0</v>
      </c>
    </row>
    <row r="32" spans="1:23">
      <c r="B32" s="83"/>
      <c r="C32" s="83"/>
      <c r="D32" s="83"/>
      <c r="E32" s="80"/>
      <c r="F32" s="80"/>
    </row>
    <row r="33" spans="1:21">
      <c r="A33" s="1"/>
      <c r="B33" s="214"/>
      <c r="C33" s="214"/>
      <c r="D33" s="214"/>
      <c r="E33" s="214"/>
      <c r="F33" s="214"/>
    </row>
    <row r="34" spans="1:21">
      <c r="A34" s="48">
        <v>372</v>
      </c>
      <c r="B34" s="81">
        <v>1</v>
      </c>
      <c r="C34" s="81"/>
      <c r="D34" s="81">
        <v>1</v>
      </c>
      <c r="E34" s="80"/>
      <c r="F34" s="81"/>
      <c r="G34" s="26" t="s">
        <v>14</v>
      </c>
      <c r="H34" s="103" t="s">
        <v>2734</v>
      </c>
      <c r="I34" s="26">
        <v>28</v>
      </c>
      <c r="J34" s="26">
        <v>174</v>
      </c>
      <c r="K34" s="26" t="s">
        <v>1931</v>
      </c>
      <c r="L34" s="26" t="s">
        <v>462</v>
      </c>
      <c r="M34" s="26" t="s">
        <v>93</v>
      </c>
      <c r="N34" s="4" t="s">
        <v>30</v>
      </c>
      <c r="O34" s="4" t="s">
        <v>10</v>
      </c>
      <c r="P34" s="4" t="s">
        <v>9</v>
      </c>
      <c r="Q34" s="4" t="s">
        <v>10</v>
      </c>
      <c r="R34" s="4" t="s">
        <v>10</v>
      </c>
      <c r="S34" s="4" t="s">
        <v>2735</v>
      </c>
      <c r="T34" s="4" t="s">
        <v>2736</v>
      </c>
      <c r="U34" s="4" t="s">
        <v>2695</v>
      </c>
    </row>
    <row r="35" spans="1:21">
      <c r="A35" s="48">
        <v>28</v>
      </c>
      <c r="B35" s="83"/>
      <c r="C35" s="83"/>
      <c r="D35" s="83"/>
      <c r="E35" s="83" t="s">
        <v>1121</v>
      </c>
      <c r="F35" s="214"/>
      <c r="G35" s="26" t="s">
        <v>1148</v>
      </c>
      <c r="H35" s="26" t="s">
        <v>2904</v>
      </c>
      <c r="I35" s="26">
        <v>28</v>
      </c>
      <c r="J35" s="26">
        <v>170</v>
      </c>
      <c r="K35" s="26" t="s">
        <v>2905</v>
      </c>
      <c r="L35" s="26" t="s">
        <v>17</v>
      </c>
      <c r="M35" s="26" t="s">
        <v>93</v>
      </c>
      <c r="N35" s="26" t="s">
        <v>1141</v>
      </c>
      <c r="O35" s="26" t="s">
        <v>3052</v>
      </c>
      <c r="P35" s="26"/>
      <c r="Q35" s="26"/>
      <c r="R35" s="26"/>
      <c r="S35" s="26" t="s">
        <v>3053</v>
      </c>
      <c r="T35" s="26" t="s">
        <v>3054</v>
      </c>
      <c r="U35" s="4"/>
    </row>
    <row r="36" spans="1:21">
      <c r="A36" s="48">
        <v>15</v>
      </c>
      <c r="B36" s="83"/>
      <c r="C36" s="83"/>
      <c r="D36" s="83"/>
      <c r="E36" s="214">
        <v>1</v>
      </c>
      <c r="F36" s="214"/>
      <c r="G36" s="26" t="s">
        <v>1148</v>
      </c>
      <c r="H36" s="26" t="s">
        <v>3013</v>
      </c>
      <c r="I36" s="26">
        <v>34</v>
      </c>
      <c r="J36" s="26">
        <v>155</v>
      </c>
      <c r="K36" s="26" t="s">
        <v>3014</v>
      </c>
      <c r="L36" s="26" t="s">
        <v>3015</v>
      </c>
      <c r="M36" s="26" t="s">
        <v>15</v>
      </c>
      <c r="N36" s="26" t="s">
        <v>1840</v>
      </c>
      <c r="O36" s="26" t="s">
        <v>3016</v>
      </c>
      <c r="P36" s="26" t="s">
        <v>9</v>
      </c>
      <c r="Q36" s="26" t="s">
        <v>10</v>
      </c>
      <c r="R36" s="26" t="s">
        <v>10</v>
      </c>
      <c r="S36" s="26" t="s">
        <v>3017</v>
      </c>
      <c r="T36" s="26"/>
      <c r="U36" s="26" t="s">
        <v>1702</v>
      </c>
    </row>
    <row r="37" spans="1:21">
      <c r="A37" s="80"/>
      <c r="B37" s="83"/>
      <c r="C37" s="83"/>
      <c r="D37" s="83"/>
      <c r="E37" s="214"/>
      <c r="F37" s="214"/>
      <c r="G37" s="89"/>
      <c r="H37" s="89"/>
      <c r="I37" s="89"/>
      <c r="J37" s="89"/>
      <c r="K37" s="89"/>
      <c r="L37" s="89"/>
      <c r="M37" s="89"/>
      <c r="N37" s="89"/>
      <c r="O37" s="89"/>
      <c r="P37" s="89"/>
      <c r="Q37" s="89"/>
      <c r="R37" s="89"/>
      <c r="S37" s="89"/>
      <c r="T37" s="89"/>
      <c r="U37" s="89"/>
    </row>
    <row r="38" spans="1:21">
      <c r="A38" s="82"/>
      <c r="B38" s="80"/>
      <c r="C38" s="83"/>
      <c r="D38" s="83"/>
      <c r="E38" s="80"/>
      <c r="F38" s="80"/>
      <c r="G38" s="89"/>
      <c r="H38" s="89"/>
      <c r="I38" s="89"/>
      <c r="J38" s="89"/>
      <c r="K38" s="89"/>
      <c r="L38" s="89"/>
      <c r="M38" s="89"/>
      <c r="N38" s="109"/>
      <c r="O38" s="109"/>
      <c r="P38" s="109"/>
      <c r="Q38" s="109"/>
      <c r="R38" s="109"/>
      <c r="S38" s="109"/>
      <c r="T38" s="109"/>
      <c r="U38" s="109"/>
    </row>
    <row r="39" spans="1:21">
      <c r="A39" s="82"/>
      <c r="B39" s="80"/>
      <c r="C39" s="83"/>
      <c r="D39" s="83"/>
      <c r="E39" s="80"/>
      <c r="F39" s="80"/>
      <c r="G39" s="117" t="s">
        <v>2906</v>
      </c>
      <c r="H39" s="118"/>
      <c r="I39" s="118"/>
      <c r="J39" s="118"/>
      <c r="K39" s="118"/>
      <c r="L39" s="118"/>
      <c r="M39" s="118"/>
      <c r="N39" s="118"/>
      <c r="O39" s="118"/>
      <c r="P39" s="118"/>
      <c r="Q39" s="118"/>
      <c r="R39" s="118"/>
      <c r="S39" s="118"/>
      <c r="T39" s="118"/>
      <c r="U39" s="119"/>
    </row>
    <row r="40" spans="1:21">
      <c r="A40" s="48">
        <v>376</v>
      </c>
      <c r="B40" s="214"/>
      <c r="C40" s="83"/>
      <c r="D40" s="83"/>
      <c r="E40" s="80"/>
      <c r="F40" s="80">
        <v>1</v>
      </c>
      <c r="G40" s="36" t="s">
        <v>8</v>
      </c>
      <c r="H40" s="103" t="s">
        <v>2754</v>
      </c>
      <c r="I40" s="26">
        <v>33</v>
      </c>
      <c r="J40" s="26">
        <v>176</v>
      </c>
      <c r="K40" s="26" t="s">
        <v>2755</v>
      </c>
      <c r="L40" s="26" t="s">
        <v>25</v>
      </c>
      <c r="M40" s="26" t="s">
        <v>591</v>
      </c>
      <c r="N40" s="4" t="s">
        <v>71</v>
      </c>
      <c r="O40" s="4" t="s">
        <v>2756</v>
      </c>
      <c r="P40" s="4" t="s">
        <v>9</v>
      </c>
      <c r="Q40" s="4" t="s">
        <v>3109</v>
      </c>
      <c r="R40" s="4" t="s">
        <v>79</v>
      </c>
      <c r="S40" s="4" t="s">
        <v>2757</v>
      </c>
      <c r="T40" s="4" t="s">
        <v>2758</v>
      </c>
      <c r="U40" s="4" t="s">
        <v>2071</v>
      </c>
    </row>
    <row r="41" spans="1:21">
      <c r="A41" s="48">
        <v>336</v>
      </c>
      <c r="B41" s="85"/>
      <c r="C41" s="85"/>
      <c r="D41" s="85"/>
      <c r="E41" s="80"/>
      <c r="F41" s="80"/>
      <c r="G41" s="36" t="s">
        <v>8</v>
      </c>
      <c r="H41" s="26" t="s">
        <v>1877</v>
      </c>
      <c r="I41" s="36">
        <v>35</v>
      </c>
      <c r="J41" s="26">
        <v>177</v>
      </c>
      <c r="K41" s="26" t="s">
        <v>1878</v>
      </c>
      <c r="L41" s="26" t="s">
        <v>25</v>
      </c>
      <c r="M41" s="26" t="s">
        <v>21</v>
      </c>
      <c r="N41" s="26" t="s">
        <v>252</v>
      </c>
      <c r="O41" s="26" t="s">
        <v>837</v>
      </c>
      <c r="P41" s="26" t="s">
        <v>20</v>
      </c>
      <c r="Q41" s="26" t="s">
        <v>10</v>
      </c>
      <c r="R41" s="26" t="s">
        <v>10</v>
      </c>
      <c r="S41" s="26" t="s">
        <v>1879</v>
      </c>
      <c r="T41" s="26" t="s">
        <v>1880</v>
      </c>
      <c r="U41" s="26">
        <v>0</v>
      </c>
    </row>
    <row r="42" spans="1:21">
      <c r="A42" s="48">
        <v>370</v>
      </c>
      <c r="B42" s="81">
        <v>1</v>
      </c>
      <c r="C42" s="81"/>
      <c r="D42" s="81">
        <v>1</v>
      </c>
      <c r="E42" s="80"/>
      <c r="F42" s="81"/>
      <c r="G42" s="36" t="s">
        <v>8</v>
      </c>
      <c r="H42" s="26" t="s">
        <v>2729</v>
      </c>
      <c r="I42" s="26">
        <v>31</v>
      </c>
      <c r="J42" s="26">
        <v>183</v>
      </c>
      <c r="K42" s="26" t="s">
        <v>2681</v>
      </c>
      <c r="L42" s="26" t="s">
        <v>460</v>
      </c>
      <c r="M42" s="26" t="s">
        <v>21</v>
      </c>
      <c r="N42" s="4" t="s">
        <v>380</v>
      </c>
      <c r="O42" s="4" t="s">
        <v>2730</v>
      </c>
      <c r="P42" s="4" t="s">
        <v>9</v>
      </c>
      <c r="Q42" s="4" t="s">
        <v>10</v>
      </c>
      <c r="R42" s="4" t="s">
        <v>10</v>
      </c>
      <c r="S42" s="4" t="s">
        <v>2731</v>
      </c>
      <c r="T42" s="4" t="s">
        <v>2732</v>
      </c>
      <c r="U42" s="4">
        <v>0</v>
      </c>
    </row>
    <row r="43" spans="1:21">
      <c r="A43" s="107">
        <v>386</v>
      </c>
      <c r="B43" s="80"/>
      <c r="C43" s="83" t="s">
        <v>1121</v>
      </c>
      <c r="D43" s="83" t="s">
        <v>1121</v>
      </c>
      <c r="E43" s="80"/>
      <c r="F43" s="80"/>
      <c r="G43" s="36" t="s">
        <v>8</v>
      </c>
      <c r="H43" s="26" t="s">
        <v>2875</v>
      </c>
      <c r="I43" s="26">
        <v>31</v>
      </c>
      <c r="J43" s="26">
        <v>178</v>
      </c>
      <c r="K43" s="26" t="s">
        <v>2876</v>
      </c>
      <c r="L43" s="26" t="s">
        <v>460</v>
      </c>
      <c r="M43" s="26" t="s">
        <v>10</v>
      </c>
      <c r="N43" s="4" t="s">
        <v>203</v>
      </c>
      <c r="O43" s="4" t="s">
        <v>10</v>
      </c>
      <c r="P43" s="4" t="s">
        <v>9</v>
      </c>
      <c r="Q43" s="4" t="s">
        <v>3109</v>
      </c>
      <c r="R43" s="4" t="s">
        <v>10</v>
      </c>
      <c r="S43" s="4" t="s">
        <v>2877</v>
      </c>
      <c r="T43" s="4" t="s">
        <v>2878</v>
      </c>
      <c r="U43" s="4">
        <v>0</v>
      </c>
    </row>
    <row r="44" spans="1:21">
      <c r="A44" s="48">
        <v>297</v>
      </c>
      <c r="B44" s="85" t="s">
        <v>1121</v>
      </c>
      <c r="C44" s="85"/>
      <c r="D44" s="85"/>
      <c r="E44" s="80"/>
      <c r="F44" s="81"/>
      <c r="G44" s="36" t="s">
        <v>8</v>
      </c>
      <c r="H44" s="26" t="s">
        <v>1629</v>
      </c>
      <c r="I44" s="26">
        <v>29</v>
      </c>
      <c r="J44" s="26">
        <v>174</v>
      </c>
      <c r="K44" s="26" t="s">
        <v>1631</v>
      </c>
      <c r="L44" s="26" t="s">
        <v>33</v>
      </c>
      <c r="M44" s="26" t="s">
        <v>10</v>
      </c>
      <c r="N44" s="26" t="s">
        <v>30</v>
      </c>
      <c r="O44" s="26" t="s">
        <v>10</v>
      </c>
      <c r="P44" s="26" t="s">
        <v>9</v>
      </c>
      <c r="Q44" s="26" t="s">
        <v>10</v>
      </c>
      <c r="R44" s="26" t="s">
        <v>646</v>
      </c>
      <c r="S44" s="26" t="s">
        <v>1672</v>
      </c>
      <c r="T44" s="26" t="s">
        <v>1673</v>
      </c>
      <c r="U44" s="26" t="s">
        <v>1674</v>
      </c>
    </row>
    <row r="45" spans="1:21">
      <c r="A45" s="48">
        <v>214</v>
      </c>
      <c r="B45" s="83"/>
      <c r="C45" s="83"/>
      <c r="D45" s="83" t="s">
        <v>1121</v>
      </c>
      <c r="E45" s="80">
        <v>1</v>
      </c>
      <c r="F45" s="91">
        <v>1</v>
      </c>
      <c r="G45" s="36" t="s">
        <v>14</v>
      </c>
      <c r="H45" s="26" t="s">
        <v>1143</v>
      </c>
      <c r="I45" s="36">
        <v>28</v>
      </c>
      <c r="J45" s="26">
        <v>158</v>
      </c>
      <c r="K45" s="26" t="s">
        <v>1160</v>
      </c>
      <c r="L45" s="26" t="s">
        <v>1161</v>
      </c>
      <c r="M45" s="26" t="s">
        <v>1162</v>
      </c>
      <c r="N45" s="26" t="s">
        <v>884</v>
      </c>
      <c r="O45" s="26" t="s">
        <v>1147</v>
      </c>
      <c r="P45" s="26" t="s">
        <v>9</v>
      </c>
      <c r="Q45" s="26" t="s">
        <v>29</v>
      </c>
      <c r="R45" s="26">
        <v>0</v>
      </c>
      <c r="S45" s="26" t="s">
        <v>1163</v>
      </c>
      <c r="T45" s="26">
        <v>0</v>
      </c>
      <c r="U45" s="26">
        <v>0</v>
      </c>
    </row>
    <row r="46" spans="1:21">
      <c r="A46" s="48">
        <v>388</v>
      </c>
      <c r="B46" s="83"/>
      <c r="C46" s="83"/>
      <c r="D46" s="83"/>
      <c r="E46" s="80">
        <v>1</v>
      </c>
      <c r="F46" s="80">
        <v>1</v>
      </c>
      <c r="G46" s="36" t="s">
        <v>14</v>
      </c>
      <c r="H46" s="103" t="s">
        <v>3034</v>
      </c>
      <c r="I46" s="26">
        <v>29</v>
      </c>
      <c r="J46" s="26">
        <v>155</v>
      </c>
      <c r="K46" s="26" t="s">
        <v>3040</v>
      </c>
      <c r="L46" s="26" t="s">
        <v>459</v>
      </c>
      <c r="M46" s="26" t="s">
        <v>458</v>
      </c>
      <c r="N46" s="4" t="s">
        <v>13</v>
      </c>
      <c r="O46" s="4" t="s">
        <v>37</v>
      </c>
      <c r="P46" s="4" t="s">
        <v>9</v>
      </c>
      <c r="Q46" s="4" t="s">
        <v>10</v>
      </c>
      <c r="R46" s="4" t="s">
        <v>10</v>
      </c>
      <c r="S46" s="4" t="s">
        <v>3042</v>
      </c>
      <c r="T46" s="4" t="s">
        <v>3044</v>
      </c>
      <c r="U46" s="4" t="s">
        <v>2071</v>
      </c>
    </row>
    <row r="47" spans="1:21">
      <c r="A47" s="48">
        <v>298</v>
      </c>
      <c r="B47" s="85"/>
      <c r="C47" s="85"/>
      <c r="D47" s="85"/>
      <c r="E47" s="80">
        <v>1</v>
      </c>
      <c r="F47" s="80">
        <v>1</v>
      </c>
      <c r="G47" s="36" t="s">
        <v>14</v>
      </c>
      <c r="H47" s="26" t="s">
        <v>1632</v>
      </c>
      <c r="I47" s="26">
        <v>31</v>
      </c>
      <c r="J47" s="26">
        <v>160</v>
      </c>
      <c r="K47" s="26" t="s">
        <v>1633</v>
      </c>
      <c r="L47" s="26" t="s">
        <v>36</v>
      </c>
      <c r="M47" s="26" t="s">
        <v>93</v>
      </c>
      <c r="N47" s="26" t="s">
        <v>1125</v>
      </c>
      <c r="O47" s="26" t="s">
        <v>10</v>
      </c>
      <c r="P47" s="26" t="s">
        <v>9</v>
      </c>
      <c r="Q47" s="26" t="s">
        <v>10</v>
      </c>
      <c r="R47" s="26" t="s">
        <v>10</v>
      </c>
      <c r="S47" s="26" t="s">
        <v>1675</v>
      </c>
      <c r="T47" s="26" t="s">
        <v>1676</v>
      </c>
      <c r="U47" s="26">
        <v>0</v>
      </c>
    </row>
    <row r="48" spans="1:21">
      <c r="A48" s="48">
        <v>20</v>
      </c>
      <c r="B48" s="83"/>
      <c r="C48" s="214"/>
      <c r="D48" s="214"/>
      <c r="E48" s="80">
        <v>1</v>
      </c>
      <c r="F48" s="80">
        <v>1</v>
      </c>
      <c r="G48" s="36" t="s">
        <v>14</v>
      </c>
      <c r="H48" s="26" t="s">
        <v>2968</v>
      </c>
      <c r="I48" s="36">
        <v>28</v>
      </c>
      <c r="J48" s="26">
        <v>165</v>
      </c>
      <c r="K48" s="26" t="s">
        <v>1292</v>
      </c>
      <c r="L48" s="26" t="s">
        <v>1161</v>
      </c>
      <c r="M48" s="26" t="s">
        <v>1162</v>
      </c>
      <c r="N48" s="26" t="s">
        <v>2969</v>
      </c>
      <c r="O48" s="26" t="s">
        <v>10</v>
      </c>
      <c r="P48" s="26" t="s">
        <v>9</v>
      </c>
      <c r="Q48" s="26" t="s">
        <v>10</v>
      </c>
      <c r="R48" s="26" t="s">
        <v>69</v>
      </c>
      <c r="S48" s="26" t="s">
        <v>3084</v>
      </c>
      <c r="T48" s="26" t="s">
        <v>2489</v>
      </c>
      <c r="U48" s="26"/>
    </row>
    <row r="49" spans="1:21">
      <c r="A49" s="48">
        <v>331</v>
      </c>
      <c r="B49" s="83" t="s">
        <v>1121</v>
      </c>
      <c r="C49" s="83" t="s">
        <v>3104</v>
      </c>
      <c r="D49" s="83" t="s">
        <v>3104</v>
      </c>
      <c r="E49" s="80"/>
      <c r="F49" s="80"/>
      <c r="G49" s="26" t="s">
        <v>1148</v>
      </c>
      <c r="H49" s="26" t="s">
        <v>1844</v>
      </c>
      <c r="I49" s="26">
        <v>27</v>
      </c>
      <c r="J49" s="26">
        <v>164</v>
      </c>
      <c r="K49" s="26" t="s">
        <v>1845</v>
      </c>
      <c r="L49" s="26" t="s">
        <v>25</v>
      </c>
      <c r="M49" s="26" t="s">
        <v>93</v>
      </c>
      <c r="N49" s="26" t="s">
        <v>35</v>
      </c>
      <c r="O49" s="26" t="s">
        <v>1841</v>
      </c>
      <c r="P49" s="26" t="s">
        <v>9</v>
      </c>
      <c r="Q49" s="26" t="s">
        <v>29</v>
      </c>
      <c r="R49" s="26" t="s">
        <v>707</v>
      </c>
      <c r="S49" s="26" t="s">
        <v>1842</v>
      </c>
      <c r="T49" s="26" t="s">
        <v>1843</v>
      </c>
      <c r="U49" s="26"/>
    </row>
    <row r="50" spans="1:21">
      <c r="A50" s="48">
        <v>350</v>
      </c>
      <c r="B50" s="83" t="s">
        <v>1121</v>
      </c>
      <c r="C50" s="83"/>
      <c r="D50" s="83"/>
      <c r="E50" s="83"/>
      <c r="F50" s="80">
        <v>1</v>
      </c>
      <c r="G50" s="26" t="s">
        <v>14</v>
      </c>
      <c r="H50" s="103" t="s">
        <v>1984</v>
      </c>
      <c r="I50" s="26">
        <v>26</v>
      </c>
      <c r="J50" s="26">
        <v>164</v>
      </c>
      <c r="K50" s="26" t="s">
        <v>202</v>
      </c>
      <c r="L50" s="26" t="s">
        <v>62</v>
      </c>
      <c r="M50" s="26" t="s">
        <v>93</v>
      </c>
      <c r="N50" s="26" t="s">
        <v>76</v>
      </c>
      <c r="O50" s="26" t="s">
        <v>1985</v>
      </c>
      <c r="P50" s="26" t="s">
        <v>9</v>
      </c>
      <c r="Q50" s="26" t="s">
        <v>29</v>
      </c>
      <c r="R50" s="26" t="s">
        <v>10</v>
      </c>
      <c r="S50" s="26" t="s">
        <v>1986</v>
      </c>
      <c r="T50" s="26" t="s">
        <v>1987</v>
      </c>
      <c r="U50" s="26" t="s">
        <v>3033</v>
      </c>
    </row>
    <row r="51" spans="1:21">
      <c r="A51" s="48">
        <v>276</v>
      </c>
      <c r="B51" s="85"/>
      <c r="C51" s="85"/>
      <c r="D51" s="85"/>
      <c r="E51" s="80"/>
      <c r="F51" s="80">
        <v>1</v>
      </c>
      <c r="G51" s="26" t="s">
        <v>14</v>
      </c>
      <c r="H51" s="26" t="s">
        <v>1310</v>
      </c>
      <c r="I51" s="26">
        <v>33</v>
      </c>
      <c r="J51" s="26">
        <v>163</v>
      </c>
      <c r="K51" s="26" t="s">
        <v>868</v>
      </c>
      <c r="L51" s="26" t="s">
        <v>3055</v>
      </c>
      <c r="M51" s="26" t="s">
        <v>458</v>
      </c>
      <c r="N51" s="26" t="s">
        <v>557</v>
      </c>
      <c r="O51" s="26" t="s">
        <v>10</v>
      </c>
      <c r="P51" s="26" t="s">
        <v>20</v>
      </c>
      <c r="Q51" s="26" t="s">
        <v>10</v>
      </c>
      <c r="R51" s="26" t="s">
        <v>79</v>
      </c>
      <c r="S51" s="26" t="s">
        <v>1506</v>
      </c>
      <c r="T51" s="26" t="s">
        <v>1507</v>
      </c>
      <c r="U51" s="26" t="s">
        <v>1314</v>
      </c>
    </row>
    <row r="55" spans="1:21">
      <c r="A55" s="1"/>
      <c r="B55" s="1"/>
      <c r="C55" s="1"/>
      <c r="D55" s="1"/>
      <c r="E55" s="1"/>
      <c r="F55" s="1"/>
    </row>
    <row r="57" spans="1:21">
      <c r="A57" s="48">
        <v>339</v>
      </c>
      <c r="B57" s="38"/>
      <c r="C57" s="79" t="s">
        <v>3037</v>
      </c>
      <c r="G57" s="26" t="s">
        <v>14</v>
      </c>
      <c r="H57" s="26" t="s">
        <v>1031</v>
      </c>
      <c r="I57" s="26">
        <v>20</v>
      </c>
      <c r="J57" s="26">
        <v>155</v>
      </c>
      <c r="K57" s="26" t="s">
        <v>2801</v>
      </c>
      <c r="L57" s="26" t="s">
        <v>768</v>
      </c>
      <c r="M57" s="26" t="s">
        <v>15</v>
      </c>
      <c r="N57" s="4" t="s">
        <v>884</v>
      </c>
      <c r="O57" s="4" t="s">
        <v>10</v>
      </c>
      <c r="P57" s="4" t="s">
        <v>9</v>
      </c>
      <c r="Q57" s="4" t="s">
        <v>10</v>
      </c>
      <c r="R57" s="4" t="s">
        <v>10</v>
      </c>
      <c r="S57" s="4" t="s">
        <v>2802</v>
      </c>
      <c r="T57" s="4" t="s">
        <v>2803</v>
      </c>
      <c r="U57" s="4">
        <v>0</v>
      </c>
    </row>
    <row r="58" spans="1:21">
      <c r="A58" s="49" t="s">
        <v>1043</v>
      </c>
      <c r="B58" s="79" t="s">
        <v>1751</v>
      </c>
      <c r="C58" s="79" t="s">
        <v>2740</v>
      </c>
      <c r="D58" s="79" t="s">
        <v>2741</v>
      </c>
      <c r="E58" s="79" t="s">
        <v>2742</v>
      </c>
      <c r="F58" s="82" t="s">
        <v>2743</v>
      </c>
      <c r="G58" s="21" t="s">
        <v>27</v>
      </c>
      <c r="H58" s="21" t="s">
        <v>40</v>
      </c>
      <c r="I58" s="21" t="s">
        <v>2</v>
      </c>
      <c r="J58" s="21" t="s">
        <v>4</v>
      </c>
      <c r="K58" s="21" t="s">
        <v>5</v>
      </c>
      <c r="L58" s="17" t="s">
        <v>41</v>
      </c>
      <c r="M58" s="21" t="s">
        <v>42</v>
      </c>
      <c r="N58" s="21" t="s">
        <v>6</v>
      </c>
      <c r="O58" s="21" t="s">
        <v>43</v>
      </c>
      <c r="P58" s="21" t="s">
        <v>3</v>
      </c>
      <c r="Q58" s="21" t="s">
        <v>45</v>
      </c>
      <c r="R58" s="4" t="s">
        <v>44</v>
      </c>
      <c r="S58" s="21" t="s">
        <v>46</v>
      </c>
      <c r="T58" s="17" t="s">
        <v>47</v>
      </c>
      <c r="U58" s="26" t="s">
        <v>87</v>
      </c>
    </row>
    <row r="59" spans="1:21" ht="18.95" customHeight="1">
      <c r="A59" s="48">
        <v>105</v>
      </c>
      <c r="B59" s="80">
        <v>1</v>
      </c>
      <c r="C59" s="80"/>
      <c r="D59" s="80"/>
      <c r="E59" s="80"/>
      <c r="F59" s="80"/>
      <c r="G59" s="26" t="s">
        <v>8</v>
      </c>
      <c r="H59" s="26" t="s">
        <v>423</v>
      </c>
      <c r="I59" s="26">
        <v>41</v>
      </c>
      <c r="J59" s="26">
        <v>176</v>
      </c>
      <c r="K59" s="26" t="s">
        <v>424</v>
      </c>
      <c r="L59" s="26" t="s">
        <v>466</v>
      </c>
      <c r="M59" s="26" t="s">
        <v>769</v>
      </c>
      <c r="N59" s="26" t="s">
        <v>30</v>
      </c>
      <c r="O59" s="26" t="s">
        <v>10</v>
      </c>
      <c r="P59" s="26" t="s">
        <v>9</v>
      </c>
      <c r="Q59" s="26" t="s">
        <v>29</v>
      </c>
      <c r="R59" s="26" t="s">
        <v>10</v>
      </c>
      <c r="S59" s="26" t="s">
        <v>425</v>
      </c>
      <c r="T59" s="26" t="s">
        <v>426</v>
      </c>
      <c r="U59" s="26">
        <v>0</v>
      </c>
    </row>
    <row r="60" spans="1:21" ht="18.95" customHeight="1">
      <c r="A60" s="48">
        <v>225</v>
      </c>
      <c r="B60" s="88">
        <v>1</v>
      </c>
      <c r="C60" s="88"/>
      <c r="D60" s="88"/>
      <c r="E60" s="80"/>
      <c r="F60" s="81"/>
      <c r="G60" s="26" t="s">
        <v>8</v>
      </c>
      <c r="H60" s="26" t="s">
        <v>1215</v>
      </c>
      <c r="I60" s="26">
        <v>40</v>
      </c>
      <c r="J60" s="26">
        <v>170</v>
      </c>
      <c r="K60" s="26" t="s">
        <v>1216</v>
      </c>
      <c r="L60" s="26" t="s">
        <v>461</v>
      </c>
      <c r="M60" s="26" t="s">
        <v>10</v>
      </c>
      <c r="N60" s="26" t="s">
        <v>59</v>
      </c>
      <c r="O60" s="26" t="s">
        <v>10</v>
      </c>
      <c r="P60" s="26" t="s">
        <v>9</v>
      </c>
      <c r="Q60" s="26" t="s">
        <v>10</v>
      </c>
      <c r="R60" s="26" t="s">
        <v>10</v>
      </c>
      <c r="S60" s="26" t="s">
        <v>1217</v>
      </c>
      <c r="T60" s="26" t="s">
        <v>1218</v>
      </c>
      <c r="U60" s="26">
        <v>0</v>
      </c>
    </row>
    <row r="61" spans="1:21" ht="18.95" customHeight="1">
      <c r="A61" s="48">
        <v>245</v>
      </c>
      <c r="B61" s="86">
        <v>1</v>
      </c>
      <c r="C61" s="86"/>
      <c r="D61" s="86"/>
      <c r="F61" s="87"/>
      <c r="G61" s="26" t="s">
        <v>8</v>
      </c>
      <c r="H61" s="26" t="s">
        <v>1328</v>
      </c>
      <c r="I61" s="26">
        <v>38</v>
      </c>
      <c r="J61" s="26">
        <v>170</v>
      </c>
      <c r="K61" s="26" t="s">
        <v>1330</v>
      </c>
      <c r="L61" s="26" t="s">
        <v>36</v>
      </c>
      <c r="M61" s="26" t="s">
        <v>591</v>
      </c>
      <c r="N61" s="26" t="s">
        <v>35</v>
      </c>
      <c r="O61" s="26" t="s">
        <v>10</v>
      </c>
      <c r="P61" s="26" t="s">
        <v>9</v>
      </c>
      <c r="Q61" s="26" t="s">
        <v>10</v>
      </c>
      <c r="R61" s="26" t="s">
        <v>10</v>
      </c>
      <c r="S61" s="26" t="s">
        <v>1331</v>
      </c>
      <c r="T61" s="26" t="s">
        <v>1332</v>
      </c>
      <c r="U61" s="26">
        <v>0</v>
      </c>
    </row>
    <row r="62" spans="1:21" ht="18.95" customHeight="1">
      <c r="A62" s="48">
        <v>246</v>
      </c>
      <c r="B62" s="86">
        <v>1</v>
      </c>
      <c r="C62" s="86"/>
      <c r="D62" s="86"/>
      <c r="G62" s="26" t="s">
        <v>8</v>
      </c>
      <c r="H62" s="26" t="s">
        <v>1333</v>
      </c>
      <c r="I62" s="26">
        <v>36</v>
      </c>
      <c r="J62" s="26">
        <v>176</v>
      </c>
      <c r="K62" s="26" t="s">
        <v>1334</v>
      </c>
      <c r="L62" s="26" t="s">
        <v>82</v>
      </c>
      <c r="M62" s="26" t="s">
        <v>591</v>
      </c>
      <c r="N62" s="26" t="s">
        <v>1335</v>
      </c>
      <c r="O62" s="26" t="s">
        <v>219</v>
      </c>
      <c r="P62" s="26" t="s">
        <v>9</v>
      </c>
      <c r="Q62" s="26" t="s">
        <v>10</v>
      </c>
      <c r="R62" s="26" t="s">
        <v>10</v>
      </c>
      <c r="S62" s="26" t="s">
        <v>1336</v>
      </c>
      <c r="T62" s="26" t="s">
        <v>1337</v>
      </c>
      <c r="U62" s="26">
        <v>0</v>
      </c>
    </row>
    <row r="63" spans="1:21" ht="18.95" customHeight="1">
      <c r="A63" s="48">
        <v>65</v>
      </c>
      <c r="B63" s="81">
        <v>1</v>
      </c>
      <c r="C63" s="81"/>
      <c r="D63" s="81"/>
      <c r="E63" s="80"/>
      <c r="F63" s="80"/>
      <c r="G63" s="26" t="s">
        <v>8</v>
      </c>
      <c r="H63" s="26" t="s">
        <v>685</v>
      </c>
      <c r="I63" s="26">
        <v>35</v>
      </c>
      <c r="J63" s="26">
        <v>175</v>
      </c>
      <c r="K63" s="26" t="s">
        <v>686</v>
      </c>
      <c r="L63" s="26" t="s">
        <v>36</v>
      </c>
      <c r="M63" s="26" t="s">
        <v>591</v>
      </c>
      <c r="N63" s="26" t="s">
        <v>480</v>
      </c>
      <c r="O63" s="26" t="s">
        <v>10</v>
      </c>
      <c r="P63" s="26" t="s">
        <v>49</v>
      </c>
      <c r="Q63" s="26" t="s">
        <v>10</v>
      </c>
      <c r="R63" s="26">
        <v>0</v>
      </c>
      <c r="S63" s="26" t="s">
        <v>687</v>
      </c>
      <c r="T63" s="26" t="s">
        <v>688</v>
      </c>
      <c r="U63" s="26">
        <v>0</v>
      </c>
    </row>
    <row r="64" spans="1:21" ht="18.95" customHeight="1">
      <c r="A64" s="48">
        <v>244</v>
      </c>
      <c r="B64" s="86">
        <v>1</v>
      </c>
      <c r="C64" s="86"/>
      <c r="D64" s="86"/>
      <c r="G64" s="26" t="s">
        <v>8</v>
      </c>
      <c r="H64" s="26" t="s">
        <v>1323</v>
      </c>
      <c r="I64" s="26">
        <v>34</v>
      </c>
      <c r="J64" s="26">
        <v>173</v>
      </c>
      <c r="K64" s="26" t="s">
        <v>1324</v>
      </c>
      <c r="L64" s="26" t="s">
        <v>25</v>
      </c>
      <c r="M64" s="26" t="s">
        <v>21</v>
      </c>
      <c r="N64" s="26" t="s">
        <v>252</v>
      </c>
      <c r="O64" s="26" t="s">
        <v>10</v>
      </c>
      <c r="P64" s="26" t="s">
        <v>31</v>
      </c>
      <c r="Q64" s="26" t="s">
        <v>10</v>
      </c>
      <c r="R64" s="26" t="s">
        <v>10</v>
      </c>
      <c r="S64" s="26" t="s">
        <v>1325</v>
      </c>
      <c r="T64" s="26" t="s">
        <v>1326</v>
      </c>
      <c r="U64" s="26" t="s">
        <v>1327</v>
      </c>
    </row>
    <row r="65" spans="1:21" ht="18.95" customHeight="1">
      <c r="A65" s="48">
        <v>158</v>
      </c>
      <c r="B65" s="81">
        <v>1</v>
      </c>
      <c r="C65" s="81"/>
      <c r="D65" s="81"/>
      <c r="E65" s="80"/>
      <c r="F65" s="80"/>
      <c r="G65" s="26" t="s">
        <v>8</v>
      </c>
      <c r="H65" s="26" t="s">
        <v>1001</v>
      </c>
      <c r="I65" s="26">
        <v>34</v>
      </c>
      <c r="J65" s="26">
        <v>173</v>
      </c>
      <c r="K65" s="26" t="s">
        <v>1003</v>
      </c>
      <c r="L65" s="26" t="s">
        <v>10</v>
      </c>
      <c r="M65" s="26" t="s">
        <v>91</v>
      </c>
      <c r="N65" s="26" t="s">
        <v>252</v>
      </c>
      <c r="O65" s="26" t="s">
        <v>1004</v>
      </c>
      <c r="P65" s="26" t="s">
        <v>9</v>
      </c>
      <c r="Q65" s="26" t="s">
        <v>10</v>
      </c>
      <c r="R65" s="26" t="s">
        <v>10</v>
      </c>
      <c r="S65" s="26" t="s">
        <v>1005</v>
      </c>
      <c r="T65" s="26" t="s">
        <v>1006</v>
      </c>
      <c r="U65" s="26">
        <v>0</v>
      </c>
    </row>
    <row r="66" spans="1:21" ht="18.95" customHeight="1">
      <c r="A66" s="107">
        <v>92</v>
      </c>
      <c r="B66" s="81">
        <v>1</v>
      </c>
      <c r="C66" s="81"/>
      <c r="D66" s="81"/>
      <c r="E66" s="80"/>
      <c r="F66" s="80"/>
      <c r="G66" s="26" t="s">
        <v>8</v>
      </c>
      <c r="H66" s="26" t="s">
        <v>648</v>
      </c>
      <c r="I66" s="26">
        <v>34</v>
      </c>
      <c r="J66" s="26">
        <v>168</v>
      </c>
      <c r="K66" s="26" t="s">
        <v>649</v>
      </c>
      <c r="L66" s="26" t="s">
        <v>25</v>
      </c>
      <c r="M66" s="26" t="s">
        <v>22</v>
      </c>
      <c r="N66" s="26" t="s">
        <v>18</v>
      </c>
      <c r="O66" s="26" t="s">
        <v>10</v>
      </c>
      <c r="P66" s="26" t="s">
        <v>9</v>
      </c>
      <c r="Q66" s="26" t="s">
        <v>29</v>
      </c>
      <c r="R66" s="26" t="s">
        <v>10</v>
      </c>
      <c r="S66" s="26" t="s">
        <v>650</v>
      </c>
      <c r="T66" s="26" t="s">
        <v>651</v>
      </c>
      <c r="U66" s="26">
        <v>0</v>
      </c>
    </row>
    <row r="67" spans="1:21" ht="18.95" customHeight="1">
      <c r="A67" s="48">
        <v>315</v>
      </c>
      <c r="B67" s="81" t="s">
        <v>1121</v>
      </c>
      <c r="C67" s="84"/>
      <c r="D67" s="84"/>
      <c r="F67" s="87"/>
      <c r="G67" s="26" t="s">
        <v>8</v>
      </c>
      <c r="H67" s="26" t="s">
        <v>1664</v>
      </c>
      <c r="I67" s="26">
        <v>34</v>
      </c>
      <c r="J67" s="26">
        <v>170</v>
      </c>
      <c r="K67" s="26" t="s">
        <v>273</v>
      </c>
      <c r="L67" s="26" t="s">
        <v>462</v>
      </c>
      <c r="M67" s="26" t="s">
        <v>21</v>
      </c>
      <c r="N67" s="26" t="s">
        <v>13</v>
      </c>
      <c r="O67" s="26" t="s">
        <v>10</v>
      </c>
      <c r="P67" s="26" t="s">
        <v>9</v>
      </c>
      <c r="Q67" s="26" t="s">
        <v>10</v>
      </c>
      <c r="R67" s="26" t="s">
        <v>10</v>
      </c>
      <c r="S67" s="26" t="s">
        <v>1711</v>
      </c>
      <c r="T67" s="26" t="s">
        <v>1712</v>
      </c>
      <c r="U67" s="26" t="s">
        <v>1713</v>
      </c>
    </row>
    <row r="68" spans="1:21" ht="18.95" customHeight="1">
      <c r="A68" s="107">
        <v>308</v>
      </c>
      <c r="B68" s="84" t="s">
        <v>1121</v>
      </c>
      <c r="C68" s="84"/>
      <c r="D68" s="84"/>
      <c r="G68" s="26" t="s">
        <v>8</v>
      </c>
      <c r="H68" s="26" t="s">
        <v>1065</v>
      </c>
      <c r="I68" s="26">
        <v>33</v>
      </c>
      <c r="J68" s="26">
        <v>168</v>
      </c>
      <c r="K68" s="26" t="s">
        <v>1067</v>
      </c>
      <c r="L68" s="26" t="s">
        <v>767</v>
      </c>
      <c r="M68" s="26" t="s">
        <v>21</v>
      </c>
      <c r="N68" s="26" t="s">
        <v>66</v>
      </c>
      <c r="O68" s="26" t="s">
        <v>10</v>
      </c>
      <c r="P68" s="26" t="s">
        <v>9</v>
      </c>
      <c r="Q68" s="26" t="s">
        <v>10</v>
      </c>
      <c r="R68" s="26" t="s">
        <v>10</v>
      </c>
      <c r="S68" s="26" t="s">
        <v>1698</v>
      </c>
      <c r="T68" s="26" t="s">
        <v>1699</v>
      </c>
      <c r="U68" s="26">
        <v>0</v>
      </c>
    </row>
    <row r="69" spans="1:21" ht="18.95" customHeight="1">
      <c r="A69" s="48">
        <v>338</v>
      </c>
      <c r="B69" s="79" t="s">
        <v>1121</v>
      </c>
      <c r="F69" s="87"/>
      <c r="G69" s="26" t="s">
        <v>7</v>
      </c>
      <c r="H69" s="26" t="s">
        <v>1899</v>
      </c>
      <c r="I69" s="26">
        <v>32</v>
      </c>
      <c r="J69" s="26">
        <v>171</v>
      </c>
      <c r="K69" s="26" t="s">
        <v>1900</v>
      </c>
      <c r="L69" s="26" t="s">
        <v>460</v>
      </c>
      <c r="M69" s="26" t="s">
        <v>21</v>
      </c>
      <c r="N69" s="26" t="s">
        <v>30</v>
      </c>
      <c r="O69" s="26" t="s">
        <v>10</v>
      </c>
      <c r="P69" s="26" t="s">
        <v>31</v>
      </c>
      <c r="Q69" s="26" t="s">
        <v>10</v>
      </c>
      <c r="R69" s="26" t="s">
        <v>10</v>
      </c>
      <c r="S69" s="26" t="s">
        <v>1888</v>
      </c>
      <c r="T69" s="26" t="s">
        <v>1889</v>
      </c>
      <c r="U69" s="26" t="s">
        <v>1287</v>
      </c>
    </row>
    <row r="70" spans="1:21" ht="18.95" customHeight="1">
      <c r="A70" s="48">
        <v>338</v>
      </c>
      <c r="B70" s="84" t="s">
        <v>1121</v>
      </c>
      <c r="C70" s="84"/>
      <c r="D70" s="84"/>
      <c r="F70" s="87"/>
      <c r="G70" s="26" t="s">
        <v>8</v>
      </c>
      <c r="H70" s="26" t="s">
        <v>1885</v>
      </c>
      <c r="I70" s="26">
        <v>32</v>
      </c>
      <c r="J70" s="26">
        <v>171</v>
      </c>
      <c r="K70" s="26" t="s">
        <v>1887</v>
      </c>
      <c r="L70" s="26" t="s">
        <v>460</v>
      </c>
      <c r="M70" s="26" t="s">
        <v>21</v>
      </c>
      <c r="N70" s="26" t="s">
        <v>30</v>
      </c>
      <c r="O70" s="26" t="s">
        <v>10</v>
      </c>
      <c r="P70" s="26" t="s">
        <v>31</v>
      </c>
      <c r="Q70" s="26" t="s">
        <v>10</v>
      </c>
      <c r="R70" s="26" t="s">
        <v>10</v>
      </c>
      <c r="S70" s="26" t="s">
        <v>1888</v>
      </c>
      <c r="T70" s="26" t="s">
        <v>1889</v>
      </c>
      <c r="U70" s="26" t="s">
        <v>1287</v>
      </c>
    </row>
    <row r="71" spans="1:21" ht="16.5" customHeight="1">
      <c r="A71" s="48">
        <v>326</v>
      </c>
      <c r="B71" s="81">
        <v>1</v>
      </c>
      <c r="C71" s="81"/>
      <c r="D71" s="81"/>
      <c r="E71" s="80"/>
      <c r="F71" s="80"/>
      <c r="G71" s="36" t="s">
        <v>8</v>
      </c>
      <c r="H71" s="26" t="s">
        <v>1799</v>
      </c>
      <c r="I71" s="26">
        <v>31</v>
      </c>
      <c r="J71" s="26">
        <v>175</v>
      </c>
      <c r="K71" s="26" t="s">
        <v>1800</v>
      </c>
      <c r="L71" s="26" t="s">
        <v>459</v>
      </c>
      <c r="M71" s="26" t="s">
        <v>34</v>
      </c>
      <c r="N71" s="26" t="s">
        <v>12</v>
      </c>
      <c r="O71" s="26" t="s">
        <v>10</v>
      </c>
      <c r="P71" s="26" t="s">
        <v>9</v>
      </c>
      <c r="Q71" s="26" t="s">
        <v>10</v>
      </c>
      <c r="R71" s="26" t="s">
        <v>10</v>
      </c>
      <c r="S71" s="26" t="s">
        <v>1801</v>
      </c>
      <c r="T71" s="26" t="s">
        <v>808</v>
      </c>
      <c r="U71" s="26">
        <v>0</v>
      </c>
    </row>
    <row r="72" spans="1:21" ht="16.5" customHeight="1">
      <c r="A72" s="48">
        <v>240</v>
      </c>
      <c r="B72" s="78">
        <v>1</v>
      </c>
      <c r="C72" s="78"/>
      <c r="D72" s="78"/>
      <c r="E72" s="78"/>
      <c r="F72" s="86"/>
      <c r="G72" s="26" t="s">
        <v>8</v>
      </c>
      <c r="H72" s="26" t="s">
        <v>1306</v>
      </c>
      <c r="I72" s="26">
        <v>29</v>
      </c>
      <c r="J72" s="26">
        <v>175</v>
      </c>
      <c r="K72" s="26" t="s">
        <v>1307</v>
      </c>
      <c r="L72" s="26" t="s">
        <v>737</v>
      </c>
      <c r="M72" s="26" t="s">
        <v>22</v>
      </c>
      <c r="N72" s="26" t="s">
        <v>28</v>
      </c>
      <c r="O72" s="26" t="s">
        <v>10</v>
      </c>
      <c r="P72" s="26" t="s">
        <v>9</v>
      </c>
      <c r="Q72" s="26" t="s">
        <v>10</v>
      </c>
      <c r="R72" s="26" t="s">
        <v>10</v>
      </c>
      <c r="S72" s="26" t="s">
        <v>1308</v>
      </c>
      <c r="T72" s="26" t="s">
        <v>1309</v>
      </c>
      <c r="U72" s="26">
        <v>0</v>
      </c>
    </row>
    <row r="73" spans="1:21" ht="16.5" customHeight="1">
      <c r="A73" s="48">
        <v>222</v>
      </c>
      <c r="B73" s="88">
        <v>1</v>
      </c>
      <c r="C73" s="88"/>
      <c r="D73" s="88"/>
      <c r="E73" s="80"/>
      <c r="F73" s="81"/>
      <c r="G73" s="26" t="s">
        <v>8</v>
      </c>
      <c r="H73" s="26" t="s">
        <v>1202</v>
      </c>
      <c r="I73" s="26">
        <v>29</v>
      </c>
      <c r="J73" s="26">
        <v>174</v>
      </c>
      <c r="K73" s="26" t="s">
        <v>1203</v>
      </c>
      <c r="L73" s="26" t="s">
        <v>25</v>
      </c>
      <c r="M73" s="26" t="s">
        <v>64</v>
      </c>
      <c r="N73" s="26" t="s">
        <v>530</v>
      </c>
      <c r="O73" s="26" t="s">
        <v>10</v>
      </c>
      <c r="P73" s="26" t="s">
        <v>9</v>
      </c>
      <c r="Q73" s="26" t="s">
        <v>29</v>
      </c>
      <c r="R73" s="26" t="s">
        <v>10</v>
      </c>
      <c r="S73" s="26" t="s">
        <v>1204</v>
      </c>
      <c r="T73" s="26" t="s">
        <v>1205</v>
      </c>
      <c r="U73" s="26">
        <v>0</v>
      </c>
    </row>
    <row r="74" spans="1:21" ht="16.5" customHeight="1">
      <c r="A74" s="107">
        <v>236</v>
      </c>
      <c r="B74" s="82">
        <v>1</v>
      </c>
      <c r="C74" s="82"/>
      <c r="D74" s="82"/>
      <c r="G74" s="26" t="s">
        <v>8</v>
      </c>
      <c r="H74" s="26" t="s">
        <v>1288</v>
      </c>
      <c r="I74" s="26">
        <v>29</v>
      </c>
      <c r="J74" s="26">
        <v>166</v>
      </c>
      <c r="K74" s="26" t="s">
        <v>1289</v>
      </c>
      <c r="L74" s="26" t="s">
        <v>460</v>
      </c>
      <c r="M74" s="26" t="s">
        <v>21</v>
      </c>
      <c r="N74" s="26" t="s">
        <v>72</v>
      </c>
      <c r="O74" s="26" t="s">
        <v>10</v>
      </c>
      <c r="P74" s="26" t="s">
        <v>9</v>
      </c>
      <c r="Q74" s="26" t="s">
        <v>10</v>
      </c>
      <c r="R74" s="26">
        <v>0</v>
      </c>
      <c r="S74" s="26" t="s">
        <v>1290</v>
      </c>
      <c r="T74" s="26">
        <v>0</v>
      </c>
      <c r="U74" s="26">
        <v>0</v>
      </c>
    </row>
    <row r="75" spans="1:21" ht="16.5" customHeight="1">
      <c r="A75" s="48">
        <v>355</v>
      </c>
      <c r="B75" s="79" t="s">
        <v>1121</v>
      </c>
      <c r="F75" s="87"/>
      <c r="G75" s="26" t="s">
        <v>8</v>
      </c>
      <c r="H75" s="26" t="s">
        <v>2029</v>
      </c>
      <c r="I75" s="26">
        <v>29</v>
      </c>
      <c r="J75" s="26">
        <v>179</v>
      </c>
      <c r="K75" s="26" t="s">
        <v>2030</v>
      </c>
      <c r="L75" s="26" t="s">
        <v>62</v>
      </c>
      <c r="M75" s="26" t="s">
        <v>34</v>
      </c>
      <c r="N75" s="26" t="s">
        <v>2031</v>
      </c>
      <c r="O75" s="26" t="s">
        <v>2032</v>
      </c>
      <c r="P75" s="26" t="s">
        <v>9</v>
      </c>
      <c r="Q75" s="26" t="s">
        <v>29</v>
      </c>
      <c r="R75" s="26" t="s">
        <v>10</v>
      </c>
      <c r="S75" s="26" t="s">
        <v>2033</v>
      </c>
      <c r="T75" s="26" t="s">
        <v>2034</v>
      </c>
      <c r="U75" s="26">
        <v>0</v>
      </c>
    </row>
    <row r="76" spans="1:21" ht="16.5" customHeight="1">
      <c r="A76" s="48">
        <v>80</v>
      </c>
      <c r="B76" s="81"/>
      <c r="C76" s="81"/>
      <c r="D76" s="81"/>
      <c r="E76" s="80"/>
      <c r="F76" s="80"/>
      <c r="G76" s="36" t="s">
        <v>8</v>
      </c>
      <c r="H76" s="26" t="s">
        <v>626</v>
      </c>
      <c r="I76" s="26">
        <v>31</v>
      </c>
      <c r="J76" s="26">
        <v>174</v>
      </c>
      <c r="K76" s="26" t="s">
        <v>627</v>
      </c>
      <c r="L76" s="26" t="s">
        <v>10</v>
      </c>
      <c r="M76" s="26" t="s">
        <v>10</v>
      </c>
      <c r="N76" s="26" t="s">
        <v>37</v>
      </c>
      <c r="O76" s="26" t="s">
        <v>10</v>
      </c>
      <c r="P76" s="26" t="s">
        <v>9</v>
      </c>
      <c r="Q76" s="26" t="s">
        <v>29</v>
      </c>
      <c r="R76" s="26" t="s">
        <v>10</v>
      </c>
      <c r="S76" s="26" t="s">
        <v>628</v>
      </c>
      <c r="T76" s="26" t="s">
        <v>629</v>
      </c>
      <c r="U76" s="26" t="s">
        <v>630</v>
      </c>
    </row>
    <row r="77" spans="1:21" ht="16.5" customHeight="1">
      <c r="A77" s="48">
        <v>373</v>
      </c>
      <c r="B77" s="81">
        <v>1</v>
      </c>
      <c r="C77" s="81"/>
      <c r="D77" s="81"/>
      <c r="E77" s="80"/>
      <c r="F77" s="81"/>
      <c r="G77" s="26" t="s">
        <v>8</v>
      </c>
      <c r="H77" s="26" t="s">
        <v>2737</v>
      </c>
      <c r="I77" s="26">
        <v>26</v>
      </c>
      <c r="J77" s="26">
        <v>174</v>
      </c>
      <c r="K77" s="26" t="s">
        <v>2697</v>
      </c>
      <c r="L77" s="26" t="s">
        <v>62</v>
      </c>
      <c r="M77" s="26" t="s">
        <v>21</v>
      </c>
      <c r="N77" s="4" t="s">
        <v>85</v>
      </c>
      <c r="O77" s="4" t="s">
        <v>10</v>
      </c>
      <c r="P77" s="4" t="s">
        <v>31</v>
      </c>
      <c r="Q77" s="4" t="s">
        <v>10</v>
      </c>
      <c r="R77" s="4" t="s">
        <v>10</v>
      </c>
      <c r="S77" s="4" t="s">
        <v>2738</v>
      </c>
      <c r="T77" s="4" t="s">
        <v>2739</v>
      </c>
      <c r="U77" s="4" t="s">
        <v>2701</v>
      </c>
    </row>
    <row r="78" spans="1:21" ht="16.5" customHeight="1">
      <c r="A78" s="48">
        <v>4</v>
      </c>
      <c r="B78" s="80"/>
      <c r="C78" s="80"/>
      <c r="D78" s="80"/>
      <c r="E78" s="80"/>
      <c r="F78" s="81"/>
      <c r="G78" s="36" t="s">
        <v>14</v>
      </c>
      <c r="H78" s="26" t="s">
        <v>843</v>
      </c>
      <c r="I78" s="26">
        <v>45</v>
      </c>
      <c r="J78" s="26">
        <v>170</v>
      </c>
      <c r="K78" s="26" t="s">
        <v>196</v>
      </c>
      <c r="L78" s="26" t="s">
        <v>844</v>
      </c>
      <c r="M78" s="26" t="s">
        <v>93</v>
      </c>
      <c r="N78" s="26" t="s">
        <v>12</v>
      </c>
      <c r="O78" s="26" t="s">
        <v>10</v>
      </c>
      <c r="P78" s="26" t="s">
        <v>20</v>
      </c>
      <c r="Q78" s="26" t="s">
        <v>10</v>
      </c>
      <c r="R78" s="26" t="s">
        <v>10</v>
      </c>
      <c r="S78" s="26" t="s">
        <v>845</v>
      </c>
      <c r="T78" s="26" t="s">
        <v>846</v>
      </c>
      <c r="U78" s="26">
        <v>0</v>
      </c>
    </row>
    <row r="79" spans="1:21" ht="16.5" customHeight="1">
      <c r="A79" s="48">
        <v>94</v>
      </c>
      <c r="B79" s="80">
        <v>1</v>
      </c>
      <c r="C79" s="80"/>
      <c r="D79" s="80"/>
      <c r="E79" s="80"/>
      <c r="F79" s="80"/>
      <c r="G79" s="26" t="s">
        <v>14</v>
      </c>
      <c r="H79" s="26" t="s">
        <v>1017</v>
      </c>
      <c r="I79" s="26">
        <v>44</v>
      </c>
      <c r="J79" s="26">
        <v>165</v>
      </c>
      <c r="K79" s="26" t="s">
        <v>1018</v>
      </c>
      <c r="L79" s="26" t="s">
        <v>467</v>
      </c>
      <c r="M79" s="26" t="s">
        <v>15</v>
      </c>
      <c r="N79" s="26" t="s">
        <v>907</v>
      </c>
      <c r="O79" s="26" t="s">
        <v>1019</v>
      </c>
      <c r="P79" s="26" t="s">
        <v>9</v>
      </c>
      <c r="Q79" s="26" t="s">
        <v>10</v>
      </c>
      <c r="R79" s="26" t="s">
        <v>319</v>
      </c>
      <c r="S79" s="26" t="s">
        <v>1020</v>
      </c>
      <c r="T79" s="26" t="s">
        <v>1021</v>
      </c>
      <c r="U79" s="26">
        <v>0</v>
      </c>
    </row>
    <row r="80" spans="1:21" ht="16.5" customHeight="1">
      <c r="A80" s="48">
        <v>262</v>
      </c>
      <c r="B80" s="89"/>
      <c r="C80" s="89"/>
      <c r="D80" s="89"/>
      <c r="G80" s="26" t="s">
        <v>14</v>
      </c>
      <c r="H80" s="26" t="s">
        <v>1444</v>
      </c>
      <c r="I80" s="26">
        <v>43</v>
      </c>
      <c r="J80" s="26">
        <v>163</v>
      </c>
      <c r="K80" s="26" t="s">
        <v>1445</v>
      </c>
      <c r="L80" s="26" t="s">
        <v>39</v>
      </c>
      <c r="M80" s="26" t="s">
        <v>93</v>
      </c>
      <c r="N80" s="26" t="s">
        <v>480</v>
      </c>
      <c r="O80" s="26" t="s">
        <v>1446</v>
      </c>
      <c r="P80" s="26" t="s">
        <v>9</v>
      </c>
      <c r="Q80" s="26" t="s">
        <v>10</v>
      </c>
      <c r="R80" s="26" t="s">
        <v>11</v>
      </c>
      <c r="S80" s="26" t="s">
        <v>1447</v>
      </c>
      <c r="T80" s="26" t="s">
        <v>1448</v>
      </c>
      <c r="U80" s="26">
        <v>0</v>
      </c>
    </row>
    <row r="81" spans="1:21" ht="16.5" customHeight="1">
      <c r="A81" s="48">
        <v>275</v>
      </c>
      <c r="G81" s="26" t="s">
        <v>14</v>
      </c>
      <c r="H81" s="26" t="s">
        <v>1500</v>
      </c>
      <c r="I81" s="26">
        <v>43</v>
      </c>
      <c r="J81" s="26">
        <v>159</v>
      </c>
      <c r="K81" s="26" t="s">
        <v>1501</v>
      </c>
      <c r="L81" s="26" t="s">
        <v>467</v>
      </c>
      <c r="M81" s="26" t="s">
        <v>55</v>
      </c>
      <c r="N81" s="26" t="s">
        <v>732</v>
      </c>
      <c r="O81" s="26" t="s">
        <v>1502</v>
      </c>
      <c r="P81" s="26" t="s">
        <v>9</v>
      </c>
      <c r="Q81" s="26" t="s">
        <v>10</v>
      </c>
      <c r="R81" s="26" t="s">
        <v>10</v>
      </c>
      <c r="S81" s="26" t="s">
        <v>1503</v>
      </c>
      <c r="T81" s="26" t="s">
        <v>1504</v>
      </c>
      <c r="U81" s="26" t="s">
        <v>1505</v>
      </c>
    </row>
    <row r="82" spans="1:21" ht="16.5" customHeight="1">
      <c r="A82" s="48">
        <v>300</v>
      </c>
      <c r="B82" s="79" t="s">
        <v>1121</v>
      </c>
      <c r="G82" s="26" t="s">
        <v>14</v>
      </c>
      <c r="H82" s="26" t="s">
        <v>1637</v>
      </c>
      <c r="I82" s="26">
        <v>41</v>
      </c>
      <c r="J82" s="26">
        <v>172</v>
      </c>
      <c r="K82" s="26" t="s">
        <v>1638</v>
      </c>
      <c r="L82" s="26" t="s">
        <v>1616</v>
      </c>
      <c r="M82" s="26" t="s">
        <v>65</v>
      </c>
      <c r="N82" s="26" t="s">
        <v>76</v>
      </c>
      <c r="O82" s="26" t="s">
        <v>10</v>
      </c>
      <c r="P82" s="26" t="s">
        <v>9</v>
      </c>
      <c r="Q82" s="26" t="s">
        <v>10</v>
      </c>
      <c r="R82" s="26" t="s">
        <v>10</v>
      </c>
      <c r="S82" s="26" t="s">
        <v>1678</v>
      </c>
      <c r="T82" s="26" t="s">
        <v>1679</v>
      </c>
      <c r="U82" s="26" t="s">
        <v>1680</v>
      </c>
    </row>
    <row r="83" spans="1:21" ht="21" customHeight="1">
      <c r="A83" s="48">
        <v>342</v>
      </c>
      <c r="B83" s="84" t="s">
        <v>1121</v>
      </c>
      <c r="G83" s="26" t="s">
        <v>14</v>
      </c>
      <c r="H83" s="26" t="s">
        <v>1918</v>
      </c>
      <c r="I83" s="26">
        <v>41</v>
      </c>
      <c r="J83" s="26">
        <v>162</v>
      </c>
      <c r="K83" s="26" t="s">
        <v>1919</v>
      </c>
      <c r="L83" s="26" t="s">
        <v>467</v>
      </c>
      <c r="M83" s="26" t="s">
        <v>55</v>
      </c>
      <c r="N83" s="26" t="s">
        <v>37</v>
      </c>
      <c r="O83" s="26" t="s">
        <v>10</v>
      </c>
      <c r="P83" s="26" t="s">
        <v>49</v>
      </c>
      <c r="Q83" s="26" t="s">
        <v>29</v>
      </c>
      <c r="R83" s="26" t="s">
        <v>10</v>
      </c>
      <c r="S83" s="26" t="s">
        <v>1920</v>
      </c>
      <c r="T83" s="26" t="s">
        <v>1921</v>
      </c>
      <c r="U83" s="26" t="s">
        <v>1922</v>
      </c>
    </row>
    <row r="84" spans="1:21" ht="21" customHeight="1">
      <c r="A84" s="48">
        <v>17</v>
      </c>
      <c r="B84" s="81"/>
      <c r="C84" s="80"/>
      <c r="D84" s="80"/>
      <c r="E84" s="80"/>
      <c r="F84" s="80"/>
      <c r="G84" s="26" t="s">
        <v>14</v>
      </c>
      <c r="H84" s="26" t="s">
        <v>789</v>
      </c>
      <c r="I84" s="26">
        <v>41</v>
      </c>
      <c r="J84" s="26">
        <v>164</v>
      </c>
      <c r="K84" s="26" t="s">
        <v>790</v>
      </c>
      <c r="L84" s="26" t="s">
        <v>470</v>
      </c>
      <c r="M84" s="26" t="s">
        <v>458</v>
      </c>
      <c r="N84" s="26" t="s">
        <v>791</v>
      </c>
      <c r="O84" s="26" t="s">
        <v>10</v>
      </c>
      <c r="P84" s="26" t="s">
        <v>9</v>
      </c>
      <c r="Q84" s="26" t="s">
        <v>10</v>
      </c>
      <c r="R84" s="26" t="s">
        <v>11</v>
      </c>
      <c r="S84" s="26" t="s">
        <v>792</v>
      </c>
      <c r="T84" s="26" t="s">
        <v>793</v>
      </c>
      <c r="U84" s="26">
        <v>0</v>
      </c>
    </row>
    <row r="85" spans="1:21" ht="21" customHeight="1">
      <c r="A85" s="48">
        <v>143</v>
      </c>
      <c r="B85" s="81"/>
      <c r="C85" s="81"/>
      <c r="D85" s="81"/>
      <c r="E85" s="80"/>
      <c r="F85" s="80"/>
      <c r="G85" s="36" t="s">
        <v>14</v>
      </c>
      <c r="H85" s="26" t="s">
        <v>235</v>
      </c>
      <c r="I85" s="26">
        <v>41</v>
      </c>
      <c r="J85" s="26">
        <v>161</v>
      </c>
      <c r="K85" s="26" t="s">
        <v>236</v>
      </c>
      <c r="L85" s="26" t="s">
        <v>467</v>
      </c>
      <c r="M85" s="26" t="s">
        <v>15</v>
      </c>
      <c r="N85" s="26" t="s">
        <v>237</v>
      </c>
      <c r="O85" s="26" t="s">
        <v>238</v>
      </c>
      <c r="P85" s="26" t="s">
        <v>9</v>
      </c>
      <c r="Q85" s="26">
        <v>0</v>
      </c>
      <c r="R85" s="26" t="s">
        <v>10</v>
      </c>
      <c r="S85" s="26" t="s">
        <v>239</v>
      </c>
      <c r="T85" s="26" t="s">
        <v>240</v>
      </c>
      <c r="U85" s="26">
        <v>0</v>
      </c>
    </row>
    <row r="86" spans="1:21" ht="21" customHeight="1">
      <c r="A86" s="48">
        <v>321</v>
      </c>
      <c r="B86" s="81">
        <v>1</v>
      </c>
      <c r="C86" s="81"/>
      <c r="D86" s="81"/>
      <c r="E86" s="80"/>
      <c r="F86" s="80"/>
      <c r="G86" s="36" t="s">
        <v>14</v>
      </c>
      <c r="H86" s="26" t="s">
        <v>667</v>
      </c>
      <c r="I86" s="26">
        <v>40</v>
      </c>
      <c r="J86" s="26">
        <v>165</v>
      </c>
      <c r="K86" s="26" t="s">
        <v>1782</v>
      </c>
      <c r="L86" s="26" t="s">
        <v>467</v>
      </c>
      <c r="M86" s="26" t="s">
        <v>463</v>
      </c>
      <c r="N86" s="26" t="s">
        <v>35</v>
      </c>
      <c r="O86" s="26" t="s">
        <v>10</v>
      </c>
      <c r="P86" s="26" t="s">
        <v>49</v>
      </c>
      <c r="Q86" s="26" t="s">
        <v>10</v>
      </c>
      <c r="R86" s="26" t="s">
        <v>10</v>
      </c>
      <c r="S86" s="26" t="s">
        <v>1783</v>
      </c>
      <c r="T86" s="26" t="s">
        <v>1784</v>
      </c>
      <c r="U86" s="26">
        <v>0</v>
      </c>
    </row>
    <row r="87" spans="1:21" ht="21" customHeight="1">
      <c r="A87" s="48">
        <v>129</v>
      </c>
      <c r="B87" s="81"/>
      <c r="C87" s="81"/>
      <c r="D87" s="81"/>
      <c r="E87" s="80"/>
      <c r="F87" s="80"/>
      <c r="G87" s="26" t="s">
        <v>14</v>
      </c>
      <c r="H87" s="26" t="s">
        <v>872</v>
      </c>
      <c r="I87" s="26">
        <v>40</v>
      </c>
      <c r="J87" s="26">
        <v>168</v>
      </c>
      <c r="K87" s="26" t="s">
        <v>873</v>
      </c>
      <c r="L87" s="26" t="s">
        <v>467</v>
      </c>
      <c r="M87" s="26" t="s">
        <v>93</v>
      </c>
      <c r="N87" s="26" t="s">
        <v>19</v>
      </c>
      <c r="O87" s="26" t="s">
        <v>10</v>
      </c>
      <c r="P87" s="26" t="s">
        <v>9</v>
      </c>
      <c r="Q87" s="26" t="s">
        <v>29</v>
      </c>
      <c r="R87" s="26" t="s">
        <v>10</v>
      </c>
      <c r="S87" s="26" t="s">
        <v>874</v>
      </c>
      <c r="T87" s="26" t="s">
        <v>875</v>
      </c>
      <c r="U87" s="26">
        <v>0</v>
      </c>
    </row>
    <row r="88" spans="1:21" ht="21" customHeight="1">
      <c r="A88" s="48">
        <v>285</v>
      </c>
      <c r="G88" s="26" t="s">
        <v>14</v>
      </c>
      <c r="H88" s="26" t="s">
        <v>1397</v>
      </c>
      <c r="I88" s="26">
        <v>40</v>
      </c>
      <c r="J88" s="26">
        <v>167</v>
      </c>
      <c r="K88" s="26" t="s">
        <v>196</v>
      </c>
      <c r="L88" s="26" t="s">
        <v>1618</v>
      </c>
      <c r="M88" s="26" t="s">
        <v>55</v>
      </c>
      <c r="N88" s="26" t="s">
        <v>66</v>
      </c>
      <c r="O88" s="26" t="s">
        <v>10</v>
      </c>
      <c r="P88" s="26" t="s">
        <v>9</v>
      </c>
      <c r="Q88" s="26" t="s">
        <v>10</v>
      </c>
      <c r="R88" s="26" t="s">
        <v>10</v>
      </c>
      <c r="S88" s="26" t="s">
        <v>808</v>
      </c>
      <c r="T88" s="26" t="s">
        <v>1544</v>
      </c>
      <c r="U88" s="26">
        <v>0</v>
      </c>
    </row>
    <row r="89" spans="1:21">
      <c r="A89" s="48">
        <v>258</v>
      </c>
      <c r="B89" s="78"/>
      <c r="C89" s="78"/>
      <c r="D89" s="78"/>
      <c r="G89" s="26" t="s">
        <v>14</v>
      </c>
      <c r="H89" s="26" t="s">
        <v>1397</v>
      </c>
      <c r="I89" s="26">
        <v>40</v>
      </c>
      <c r="J89" s="26">
        <v>167</v>
      </c>
      <c r="K89" s="26" t="s">
        <v>1399</v>
      </c>
      <c r="L89" s="26" t="s">
        <v>10</v>
      </c>
      <c r="M89" s="26" t="s">
        <v>55</v>
      </c>
      <c r="N89" s="26" t="s">
        <v>66</v>
      </c>
      <c r="O89" s="26" t="s">
        <v>10</v>
      </c>
      <c r="P89" s="26" t="s">
        <v>9</v>
      </c>
      <c r="Q89" s="26" t="s">
        <v>10</v>
      </c>
      <c r="R89" s="26" t="s">
        <v>10</v>
      </c>
      <c r="S89" s="26" t="s">
        <v>1400</v>
      </c>
      <c r="T89" s="26" t="s">
        <v>1401</v>
      </c>
      <c r="U89" s="26"/>
    </row>
    <row r="90" spans="1:21">
      <c r="A90" s="48">
        <v>168</v>
      </c>
      <c r="B90" s="81"/>
      <c r="C90" s="81"/>
      <c r="D90" s="81"/>
      <c r="E90" s="80"/>
      <c r="F90" s="80"/>
      <c r="G90" s="36" t="s">
        <v>14</v>
      </c>
      <c r="H90" s="26" t="s">
        <v>667</v>
      </c>
      <c r="I90" s="26">
        <v>40</v>
      </c>
      <c r="J90" s="26">
        <v>165</v>
      </c>
      <c r="K90" s="26" t="s">
        <v>668</v>
      </c>
      <c r="L90" s="26" t="s">
        <v>467</v>
      </c>
      <c r="M90" s="26" t="s">
        <v>10</v>
      </c>
      <c r="N90" s="26" t="s">
        <v>35</v>
      </c>
      <c r="O90" s="26" t="s">
        <v>10</v>
      </c>
      <c r="P90" s="26" t="s">
        <v>9</v>
      </c>
      <c r="Q90" s="26" t="s">
        <v>10</v>
      </c>
      <c r="R90" s="26" t="s">
        <v>11</v>
      </c>
      <c r="S90" s="26" t="s">
        <v>669</v>
      </c>
      <c r="T90" s="26" t="s">
        <v>670</v>
      </c>
      <c r="U90" s="26" t="s">
        <v>671</v>
      </c>
    </row>
    <row r="91" spans="1:21">
      <c r="A91" s="48">
        <v>137</v>
      </c>
      <c r="B91" s="81"/>
      <c r="C91" s="81"/>
      <c r="D91" s="81"/>
      <c r="E91" s="80"/>
      <c r="F91" s="80"/>
      <c r="G91" s="36" t="s">
        <v>14</v>
      </c>
      <c r="H91" s="26" t="s">
        <v>1096</v>
      </c>
      <c r="I91" s="26">
        <v>40</v>
      </c>
      <c r="J91" s="26">
        <v>164</v>
      </c>
      <c r="K91" s="26" t="s">
        <v>1098</v>
      </c>
      <c r="L91" s="26" t="s">
        <v>470</v>
      </c>
      <c r="M91" s="26" t="s">
        <v>458</v>
      </c>
      <c r="N91" s="26" t="s">
        <v>19</v>
      </c>
      <c r="O91" s="26" t="s">
        <v>10</v>
      </c>
      <c r="P91" s="26" t="s">
        <v>20</v>
      </c>
      <c r="Q91" s="26" t="s">
        <v>10</v>
      </c>
      <c r="R91" s="26" t="s">
        <v>10</v>
      </c>
      <c r="S91" s="26" t="s">
        <v>1099</v>
      </c>
      <c r="T91" s="26" t="s">
        <v>1100</v>
      </c>
      <c r="U91" s="26">
        <v>0</v>
      </c>
    </row>
    <row r="92" spans="1:21">
      <c r="A92" s="48">
        <v>287</v>
      </c>
      <c r="G92" s="26" t="s">
        <v>14</v>
      </c>
      <c r="H92" s="26" t="s">
        <v>1358</v>
      </c>
      <c r="I92" s="26">
        <v>40</v>
      </c>
      <c r="J92" s="26">
        <v>163</v>
      </c>
      <c r="K92" s="26" t="s">
        <v>1548</v>
      </c>
      <c r="L92" s="26" t="s">
        <v>844</v>
      </c>
      <c r="M92" s="26" t="s">
        <v>93</v>
      </c>
      <c r="N92" s="26" t="s">
        <v>59</v>
      </c>
      <c r="O92" s="26" t="s">
        <v>10</v>
      </c>
      <c r="P92" s="26" t="s">
        <v>9</v>
      </c>
      <c r="Q92" s="26" t="s">
        <v>10</v>
      </c>
      <c r="R92" s="26" t="s">
        <v>1536</v>
      </c>
      <c r="S92" s="26" t="s">
        <v>1549</v>
      </c>
      <c r="T92" s="26" t="s">
        <v>1550</v>
      </c>
      <c r="U92" s="26">
        <v>0</v>
      </c>
    </row>
    <row r="93" spans="1:21">
      <c r="A93" s="48">
        <v>60</v>
      </c>
      <c r="B93" s="81"/>
      <c r="C93" s="81"/>
      <c r="D93" s="81"/>
      <c r="E93" s="80"/>
      <c r="F93" s="81"/>
      <c r="G93" s="36" t="s">
        <v>14</v>
      </c>
      <c r="H93" s="26" t="s">
        <v>712</v>
      </c>
      <c r="I93" s="26">
        <v>40</v>
      </c>
      <c r="J93" s="26">
        <v>157</v>
      </c>
      <c r="K93" s="26" t="s">
        <v>713</v>
      </c>
      <c r="L93" s="26" t="s">
        <v>10</v>
      </c>
      <c r="M93" s="26" t="s">
        <v>458</v>
      </c>
      <c r="N93" s="26" t="s">
        <v>13</v>
      </c>
      <c r="O93" s="26" t="s">
        <v>714</v>
      </c>
      <c r="P93" s="26" t="s">
        <v>9</v>
      </c>
      <c r="Q93" s="26" t="s">
        <v>10</v>
      </c>
      <c r="R93" s="26" t="s">
        <v>10</v>
      </c>
      <c r="S93" s="26" t="s">
        <v>715</v>
      </c>
      <c r="T93" s="26" t="s">
        <v>716</v>
      </c>
      <c r="U93" s="26">
        <v>0</v>
      </c>
    </row>
    <row r="94" spans="1:21">
      <c r="A94" s="48">
        <v>209</v>
      </c>
      <c r="B94" s="85"/>
      <c r="C94" s="85"/>
      <c r="D94" s="85"/>
      <c r="E94" s="80"/>
      <c r="F94" s="81"/>
      <c r="G94" s="26" t="s">
        <v>14</v>
      </c>
      <c r="H94" s="26" t="s">
        <v>838</v>
      </c>
      <c r="I94" s="26">
        <v>40</v>
      </c>
      <c r="J94" s="26">
        <v>155</v>
      </c>
      <c r="K94" s="26" t="s">
        <v>840</v>
      </c>
      <c r="L94" s="26" t="s">
        <v>467</v>
      </c>
      <c r="M94" s="26" t="s">
        <v>55</v>
      </c>
      <c r="N94" s="26" t="s">
        <v>37</v>
      </c>
      <c r="O94" s="26" t="s">
        <v>10</v>
      </c>
      <c r="P94" s="26" t="s">
        <v>20</v>
      </c>
      <c r="Q94" s="26" t="s">
        <v>10</v>
      </c>
      <c r="R94" s="26" t="s">
        <v>32</v>
      </c>
      <c r="S94" s="26" t="s">
        <v>841</v>
      </c>
      <c r="T94" s="26" t="s">
        <v>842</v>
      </c>
      <c r="U94" s="26">
        <v>0</v>
      </c>
    </row>
    <row r="95" spans="1:21">
      <c r="A95" s="48">
        <v>234</v>
      </c>
      <c r="B95" s="88">
        <v>1</v>
      </c>
      <c r="C95" s="88"/>
      <c r="D95" s="88"/>
      <c r="G95" s="26" t="s">
        <v>14</v>
      </c>
      <c r="H95" s="26" t="s">
        <v>1254</v>
      </c>
      <c r="I95" s="26">
        <v>39</v>
      </c>
      <c r="J95" s="26">
        <v>160</v>
      </c>
      <c r="K95" s="26" t="s">
        <v>181</v>
      </c>
      <c r="L95" s="26" t="s">
        <v>467</v>
      </c>
      <c r="M95" s="26" t="s">
        <v>93</v>
      </c>
      <c r="N95" s="26" t="s">
        <v>30</v>
      </c>
      <c r="O95" s="26" t="s">
        <v>10</v>
      </c>
      <c r="P95" s="26" t="s">
        <v>9</v>
      </c>
      <c r="Q95" s="26" t="s">
        <v>10</v>
      </c>
      <c r="R95" s="26" t="s">
        <v>10</v>
      </c>
      <c r="S95" s="26" t="s">
        <v>1255</v>
      </c>
      <c r="T95" s="26" t="s">
        <v>1256</v>
      </c>
      <c r="U95" s="26">
        <v>0</v>
      </c>
    </row>
    <row r="96" spans="1:21">
      <c r="A96" s="48">
        <v>351</v>
      </c>
      <c r="B96" s="79" t="s">
        <v>1121</v>
      </c>
      <c r="G96" s="26" t="s">
        <v>14</v>
      </c>
      <c r="H96" s="26" t="s">
        <v>1993</v>
      </c>
      <c r="I96" s="26">
        <v>39</v>
      </c>
      <c r="J96" s="26">
        <v>169</v>
      </c>
      <c r="K96" s="26" t="s">
        <v>1994</v>
      </c>
      <c r="L96" s="26" t="s">
        <v>1995</v>
      </c>
      <c r="M96" s="26" t="s">
        <v>93</v>
      </c>
      <c r="N96" s="26" t="s">
        <v>19</v>
      </c>
      <c r="O96" s="26" t="s">
        <v>10</v>
      </c>
      <c r="P96" s="26" t="s">
        <v>31</v>
      </c>
      <c r="Q96" s="26" t="s">
        <v>10</v>
      </c>
      <c r="R96" s="26" t="s">
        <v>1084</v>
      </c>
      <c r="S96" s="26" t="s">
        <v>1996</v>
      </c>
      <c r="T96" s="26" t="s">
        <v>1997</v>
      </c>
      <c r="U96" s="26">
        <v>0</v>
      </c>
    </row>
    <row r="97" spans="1:21">
      <c r="A97" s="48">
        <v>218</v>
      </c>
      <c r="B97" s="88"/>
      <c r="C97" s="88"/>
      <c r="D97" s="88"/>
      <c r="E97" s="80"/>
      <c r="F97" s="80"/>
      <c r="G97" s="36" t="s">
        <v>14</v>
      </c>
      <c r="H97" s="26" t="s">
        <v>1183</v>
      </c>
      <c r="I97" s="26">
        <v>39</v>
      </c>
      <c r="J97" s="26">
        <v>166</v>
      </c>
      <c r="K97" s="26" t="s">
        <v>1184</v>
      </c>
      <c r="L97" s="26" t="s">
        <v>466</v>
      </c>
      <c r="M97" s="26" t="s">
        <v>65</v>
      </c>
      <c r="N97" s="26" t="s">
        <v>12</v>
      </c>
      <c r="O97" s="26" t="s">
        <v>1185</v>
      </c>
      <c r="P97" s="26" t="s">
        <v>9</v>
      </c>
      <c r="Q97" s="26" t="s">
        <v>29</v>
      </c>
      <c r="R97" s="26" t="s">
        <v>73</v>
      </c>
      <c r="S97" s="26" t="s">
        <v>1186</v>
      </c>
      <c r="T97" s="26" t="s">
        <v>1187</v>
      </c>
      <c r="U97" s="26" t="s">
        <v>1188</v>
      </c>
    </row>
    <row r="98" spans="1:21">
      <c r="A98" s="48">
        <v>87</v>
      </c>
      <c r="B98" s="81"/>
      <c r="C98" s="81"/>
      <c r="D98" s="81"/>
      <c r="E98" s="80"/>
      <c r="F98" s="80"/>
      <c r="G98" s="36" t="s">
        <v>14</v>
      </c>
      <c r="H98" s="26" t="s">
        <v>519</v>
      </c>
      <c r="I98" s="26">
        <v>39</v>
      </c>
      <c r="J98" s="26">
        <v>165</v>
      </c>
      <c r="K98" s="26" t="s">
        <v>520</v>
      </c>
      <c r="L98" s="26" t="s">
        <v>470</v>
      </c>
      <c r="M98" s="26" t="s">
        <v>10</v>
      </c>
      <c r="N98" s="26" t="s">
        <v>23</v>
      </c>
      <c r="O98" s="26" t="s">
        <v>500</v>
      </c>
      <c r="P98" s="26" t="s">
        <v>9</v>
      </c>
      <c r="Q98" s="26" t="s">
        <v>10</v>
      </c>
      <c r="R98" s="26" t="s">
        <v>10</v>
      </c>
      <c r="S98" s="26" t="s">
        <v>521</v>
      </c>
      <c r="T98" s="26" t="s">
        <v>522</v>
      </c>
      <c r="U98" s="26" t="s">
        <v>523</v>
      </c>
    </row>
    <row r="99" spans="1:21">
      <c r="A99" s="48">
        <v>264</v>
      </c>
      <c r="B99" s="84"/>
      <c r="G99" s="26" t="s">
        <v>14</v>
      </c>
      <c r="H99" s="26" t="s">
        <v>1458</v>
      </c>
      <c r="I99" s="26">
        <v>39</v>
      </c>
      <c r="J99" s="26">
        <v>164</v>
      </c>
      <c r="K99" s="26" t="s">
        <v>273</v>
      </c>
      <c r="L99" s="26" t="s">
        <v>1616</v>
      </c>
      <c r="M99" s="26" t="s">
        <v>458</v>
      </c>
      <c r="N99" s="26" t="s">
        <v>884</v>
      </c>
      <c r="O99" s="26" t="s">
        <v>10</v>
      </c>
      <c r="P99" s="26" t="s">
        <v>20</v>
      </c>
      <c r="Q99" s="26" t="s">
        <v>10</v>
      </c>
      <c r="R99" s="26" t="s">
        <v>497</v>
      </c>
      <c r="S99" s="26" t="s">
        <v>1459</v>
      </c>
      <c r="T99" s="26" t="s">
        <v>249</v>
      </c>
      <c r="U99" s="26">
        <v>0</v>
      </c>
    </row>
    <row r="100" spans="1:21">
      <c r="A100" s="48">
        <v>160</v>
      </c>
      <c r="B100" s="81"/>
      <c r="C100" s="81"/>
      <c r="D100" s="81"/>
      <c r="E100" s="80"/>
      <c r="F100" s="80"/>
      <c r="G100" s="36" t="s">
        <v>14</v>
      </c>
      <c r="H100" s="26" t="s">
        <v>427</v>
      </c>
      <c r="I100" s="26">
        <v>39</v>
      </c>
      <c r="J100" s="26">
        <v>164</v>
      </c>
      <c r="K100" s="26" t="s">
        <v>428</v>
      </c>
      <c r="L100" s="26" t="s">
        <v>466</v>
      </c>
      <c r="M100" s="26" t="s">
        <v>458</v>
      </c>
      <c r="N100" s="26" t="s">
        <v>35</v>
      </c>
      <c r="O100" s="26" t="s">
        <v>204</v>
      </c>
      <c r="P100" s="26" t="s">
        <v>75</v>
      </c>
      <c r="Q100" s="26" t="s">
        <v>29</v>
      </c>
      <c r="R100" s="26" t="s">
        <v>10</v>
      </c>
      <c r="S100" s="26" t="s">
        <v>429</v>
      </c>
      <c r="T100" s="26" t="s">
        <v>430</v>
      </c>
      <c r="U100" s="26">
        <v>0</v>
      </c>
    </row>
    <row r="101" spans="1:21">
      <c r="A101" s="48">
        <v>249</v>
      </c>
      <c r="B101" s="86"/>
      <c r="C101" s="86"/>
      <c r="D101" s="86"/>
      <c r="G101" s="26" t="s">
        <v>14</v>
      </c>
      <c r="H101" s="26" t="s">
        <v>1358</v>
      </c>
      <c r="I101" s="26">
        <v>39</v>
      </c>
      <c r="J101" s="26">
        <v>163</v>
      </c>
      <c r="K101" s="26" t="s">
        <v>1359</v>
      </c>
      <c r="L101" s="26" t="s">
        <v>470</v>
      </c>
      <c r="M101" s="26" t="s">
        <v>93</v>
      </c>
      <c r="N101" s="26" t="s">
        <v>59</v>
      </c>
      <c r="O101" s="26" t="s">
        <v>10</v>
      </c>
      <c r="P101" s="26" t="s">
        <v>9</v>
      </c>
      <c r="Q101" s="26" t="s">
        <v>10</v>
      </c>
      <c r="R101" s="26" t="s">
        <v>11</v>
      </c>
      <c r="S101" s="26" t="s">
        <v>1360</v>
      </c>
      <c r="T101" s="26" t="s">
        <v>1361</v>
      </c>
      <c r="U101" s="26"/>
    </row>
    <row r="102" spans="1:21">
      <c r="A102" s="48">
        <v>100</v>
      </c>
      <c r="B102" s="80"/>
      <c r="C102" s="80"/>
      <c r="D102" s="80"/>
      <c r="E102" s="80"/>
      <c r="F102" s="80"/>
      <c r="G102" s="26" t="s">
        <v>14</v>
      </c>
      <c r="H102" s="26" t="s">
        <v>302</v>
      </c>
      <c r="I102" s="26">
        <v>39</v>
      </c>
      <c r="J102" s="26">
        <v>163</v>
      </c>
      <c r="K102" s="26" t="s">
        <v>79</v>
      </c>
      <c r="L102" s="26" t="s">
        <v>465</v>
      </c>
      <c r="M102" s="26" t="s">
        <v>458</v>
      </c>
      <c r="N102" s="26" t="s">
        <v>203</v>
      </c>
      <c r="O102" s="26" t="s">
        <v>10</v>
      </c>
      <c r="P102" s="26" t="s">
        <v>9</v>
      </c>
      <c r="Q102" s="26" t="s">
        <v>29</v>
      </c>
      <c r="R102" s="26" t="s">
        <v>10</v>
      </c>
      <c r="S102" s="26" t="s">
        <v>303</v>
      </c>
      <c r="T102" s="26" t="s">
        <v>304</v>
      </c>
      <c r="U102" s="26">
        <v>0</v>
      </c>
    </row>
    <row r="103" spans="1:21">
      <c r="A103" s="48">
        <v>200</v>
      </c>
      <c r="B103" s="85"/>
      <c r="C103" s="85"/>
      <c r="D103" s="85"/>
      <c r="E103" s="80"/>
      <c r="F103" s="80"/>
      <c r="G103" s="36" t="s">
        <v>14</v>
      </c>
      <c r="H103" s="26" t="s">
        <v>1086</v>
      </c>
      <c r="I103" s="26">
        <v>39</v>
      </c>
      <c r="J103" s="26">
        <v>160</v>
      </c>
      <c r="K103" s="26" t="s">
        <v>1088</v>
      </c>
      <c r="L103" s="26" t="s">
        <v>467</v>
      </c>
      <c r="M103" s="26" t="s">
        <v>93</v>
      </c>
      <c r="N103" s="26" t="s">
        <v>23</v>
      </c>
      <c r="O103" s="26" t="s">
        <v>10</v>
      </c>
      <c r="P103" s="26" t="s">
        <v>75</v>
      </c>
      <c r="Q103" s="26" t="s">
        <v>29</v>
      </c>
      <c r="R103" s="26" t="s">
        <v>10</v>
      </c>
      <c r="S103" s="26" t="s">
        <v>1089</v>
      </c>
      <c r="T103" s="26" t="s">
        <v>1090</v>
      </c>
      <c r="U103" s="26">
        <v>0</v>
      </c>
    </row>
    <row r="104" spans="1:21">
      <c r="A104" s="48">
        <v>28</v>
      </c>
      <c r="B104" s="81"/>
      <c r="C104" s="81"/>
      <c r="D104" s="81"/>
      <c r="E104" s="80"/>
      <c r="F104" s="80"/>
      <c r="G104" s="26" t="s">
        <v>14</v>
      </c>
      <c r="H104" s="26" t="s">
        <v>246</v>
      </c>
      <c r="I104" s="26">
        <v>39</v>
      </c>
      <c r="J104" s="26">
        <v>153</v>
      </c>
      <c r="K104" s="26" t="s">
        <v>1044</v>
      </c>
      <c r="L104" s="26" t="s">
        <v>466</v>
      </c>
      <c r="M104" s="26" t="s">
        <v>55</v>
      </c>
      <c r="N104" s="26" t="s">
        <v>732</v>
      </c>
      <c r="O104" s="26" t="s">
        <v>10</v>
      </c>
      <c r="P104" s="26" t="s">
        <v>9</v>
      </c>
      <c r="Q104" s="26" t="s">
        <v>29</v>
      </c>
      <c r="R104" s="26" t="s">
        <v>11</v>
      </c>
      <c r="S104" s="26" t="s">
        <v>1045</v>
      </c>
      <c r="T104" s="26" t="s">
        <v>1046</v>
      </c>
      <c r="U104" s="26">
        <v>0</v>
      </c>
    </row>
    <row r="105" spans="1:21">
      <c r="A105" s="48">
        <v>128</v>
      </c>
      <c r="B105" s="81">
        <v>1</v>
      </c>
      <c r="C105" s="81"/>
      <c r="D105" s="81"/>
      <c r="E105" s="80"/>
      <c r="F105" s="81"/>
      <c r="G105" s="26" t="s">
        <v>14</v>
      </c>
      <c r="H105" s="26" t="s">
        <v>373</v>
      </c>
      <c r="I105" s="26">
        <v>38</v>
      </c>
      <c r="J105" s="26">
        <v>155</v>
      </c>
      <c r="K105" s="26" t="s">
        <v>374</v>
      </c>
      <c r="L105" s="26" t="s">
        <v>36</v>
      </c>
      <c r="M105" s="26" t="s">
        <v>55</v>
      </c>
      <c r="N105" s="26" t="s">
        <v>12</v>
      </c>
      <c r="O105" s="26" t="s">
        <v>375</v>
      </c>
      <c r="P105" s="26" t="s">
        <v>9</v>
      </c>
      <c r="Q105" s="26" t="s">
        <v>29</v>
      </c>
      <c r="R105" s="26" t="s">
        <v>10</v>
      </c>
      <c r="S105" s="26" t="s">
        <v>376</v>
      </c>
      <c r="T105" s="26" t="s">
        <v>377</v>
      </c>
      <c r="U105" s="26">
        <v>0</v>
      </c>
    </row>
    <row r="106" spans="1:21">
      <c r="A106" s="48">
        <v>206</v>
      </c>
      <c r="B106" s="85" t="s">
        <v>1121</v>
      </c>
      <c r="C106" s="85"/>
      <c r="D106" s="85"/>
      <c r="E106" s="80"/>
      <c r="F106" s="80"/>
      <c r="G106" s="26" t="s">
        <v>14</v>
      </c>
      <c r="H106" s="26" t="s">
        <v>127</v>
      </c>
      <c r="I106" s="26">
        <v>38</v>
      </c>
      <c r="J106" s="26">
        <v>164</v>
      </c>
      <c r="K106" s="26" t="s">
        <v>128</v>
      </c>
      <c r="L106" s="26" t="s">
        <v>36</v>
      </c>
      <c r="M106" s="26" t="s">
        <v>93</v>
      </c>
      <c r="N106" s="26" t="s">
        <v>59</v>
      </c>
      <c r="O106" s="26" t="s">
        <v>114</v>
      </c>
      <c r="P106" s="26" t="s">
        <v>9</v>
      </c>
      <c r="Q106" s="26" t="s">
        <v>29</v>
      </c>
      <c r="R106" s="26" t="s">
        <v>11</v>
      </c>
      <c r="S106" s="26" t="s">
        <v>129</v>
      </c>
      <c r="T106" s="26" t="s">
        <v>130</v>
      </c>
      <c r="U106" s="26" t="s">
        <v>131</v>
      </c>
    </row>
    <row r="107" spans="1:21">
      <c r="A107" s="48">
        <v>337</v>
      </c>
      <c r="B107" s="79" t="s">
        <v>1121</v>
      </c>
      <c r="G107" s="26" t="s">
        <v>14</v>
      </c>
      <c r="H107" s="26" t="s">
        <v>1881</v>
      </c>
      <c r="I107" s="26">
        <v>38</v>
      </c>
      <c r="J107" s="26">
        <v>157</v>
      </c>
      <c r="K107" s="26" t="s">
        <v>1882</v>
      </c>
      <c r="L107" s="26" t="s">
        <v>465</v>
      </c>
      <c r="M107" s="26" t="s">
        <v>55</v>
      </c>
      <c r="N107" s="26" t="s">
        <v>18</v>
      </c>
      <c r="O107" s="4" t="s">
        <v>10</v>
      </c>
      <c r="P107" s="4" t="s">
        <v>9</v>
      </c>
      <c r="Q107" s="4" t="s">
        <v>29</v>
      </c>
      <c r="R107" s="4" t="s">
        <v>10</v>
      </c>
      <c r="S107" s="4" t="s">
        <v>1883</v>
      </c>
      <c r="T107" s="4" t="s">
        <v>1884</v>
      </c>
      <c r="U107" s="4">
        <v>0</v>
      </c>
    </row>
    <row r="108" spans="1:21">
      <c r="A108" s="48">
        <v>322</v>
      </c>
      <c r="B108" s="81"/>
      <c r="C108" s="81"/>
      <c r="D108" s="81"/>
      <c r="E108" s="80"/>
      <c r="F108" s="80"/>
      <c r="G108" s="36" t="s">
        <v>14</v>
      </c>
      <c r="H108" s="26" t="s">
        <v>1785</v>
      </c>
      <c r="I108" s="26">
        <v>38</v>
      </c>
      <c r="J108" s="26">
        <v>172</v>
      </c>
      <c r="K108" s="26" t="s">
        <v>1786</v>
      </c>
      <c r="L108" s="26" t="s">
        <v>36</v>
      </c>
      <c r="M108" s="26" t="s">
        <v>65</v>
      </c>
      <c r="N108" s="26" t="s">
        <v>18</v>
      </c>
      <c r="O108" s="26" t="s">
        <v>10</v>
      </c>
      <c r="P108" s="26" t="s">
        <v>31</v>
      </c>
      <c r="Q108" s="26" t="s">
        <v>10</v>
      </c>
      <c r="R108" s="26" t="s">
        <v>10</v>
      </c>
      <c r="S108" s="26" t="s">
        <v>1787</v>
      </c>
      <c r="T108" s="26" t="s">
        <v>1788</v>
      </c>
      <c r="U108" s="26">
        <v>0</v>
      </c>
    </row>
    <row r="109" spans="1:21">
      <c r="A109" s="48">
        <v>37</v>
      </c>
      <c r="B109" s="81"/>
      <c r="C109" s="81"/>
      <c r="D109" s="81"/>
      <c r="E109" s="80"/>
      <c r="F109" s="80"/>
      <c r="G109" s="26" t="s">
        <v>14</v>
      </c>
      <c r="H109" s="26" t="s">
        <v>165</v>
      </c>
      <c r="I109" s="26">
        <v>38</v>
      </c>
      <c r="J109" s="26">
        <v>170</v>
      </c>
      <c r="K109" s="26" t="s">
        <v>166</v>
      </c>
      <c r="L109" s="26" t="s">
        <v>466</v>
      </c>
      <c r="M109" s="26" t="s">
        <v>93</v>
      </c>
      <c r="N109" s="26" t="s">
        <v>23</v>
      </c>
      <c r="O109" s="26" t="s">
        <v>167</v>
      </c>
      <c r="P109" s="26" t="s">
        <v>9</v>
      </c>
      <c r="Q109" s="26" t="s">
        <v>29</v>
      </c>
      <c r="R109" s="26" t="s">
        <v>10</v>
      </c>
      <c r="S109" s="26" t="s">
        <v>168</v>
      </c>
      <c r="T109" s="26" t="s">
        <v>169</v>
      </c>
      <c r="U109" s="26">
        <v>0</v>
      </c>
    </row>
    <row r="110" spans="1:21">
      <c r="A110" s="48">
        <v>64</v>
      </c>
      <c r="B110" s="81"/>
      <c r="C110" s="81"/>
      <c r="D110" s="81"/>
      <c r="E110" s="80"/>
      <c r="F110" s="80"/>
      <c r="G110" s="47" t="s">
        <v>14</v>
      </c>
      <c r="H110" s="5" t="s">
        <v>397</v>
      </c>
      <c r="I110" s="50">
        <v>38</v>
      </c>
      <c r="J110" s="37">
        <v>170</v>
      </c>
      <c r="K110" s="4" t="s">
        <v>398</v>
      </c>
      <c r="L110" s="4" t="s">
        <v>466</v>
      </c>
      <c r="M110" s="4" t="s">
        <v>458</v>
      </c>
      <c r="N110" s="4" t="s">
        <v>30</v>
      </c>
      <c r="O110" s="4" t="s">
        <v>10</v>
      </c>
      <c r="P110" s="4" t="s">
        <v>9</v>
      </c>
      <c r="Q110" s="4" t="s">
        <v>29</v>
      </c>
      <c r="R110" s="4" t="s">
        <v>11</v>
      </c>
      <c r="S110" s="4" t="s">
        <v>399</v>
      </c>
      <c r="T110" s="4" t="s">
        <v>400</v>
      </c>
      <c r="U110" s="4">
        <v>0</v>
      </c>
    </row>
    <row r="111" spans="1:21" ht="16.5" customHeight="1">
      <c r="A111" s="48">
        <v>153</v>
      </c>
      <c r="B111" s="81"/>
      <c r="C111" s="81"/>
      <c r="D111" s="81"/>
      <c r="E111" s="80"/>
      <c r="F111" s="80"/>
      <c r="G111" s="26" t="s">
        <v>14</v>
      </c>
      <c r="H111" s="26" t="s">
        <v>175</v>
      </c>
      <c r="I111" s="26">
        <v>38</v>
      </c>
      <c r="J111" s="26">
        <v>169</v>
      </c>
      <c r="K111" s="26" t="s">
        <v>176</v>
      </c>
      <c r="L111" s="26" t="s">
        <v>466</v>
      </c>
      <c r="M111" s="26" t="s">
        <v>93</v>
      </c>
      <c r="N111" s="26" t="s">
        <v>76</v>
      </c>
      <c r="O111" s="26" t="s">
        <v>177</v>
      </c>
      <c r="P111" s="26" t="s">
        <v>9</v>
      </c>
      <c r="Q111" s="26" t="s">
        <v>29</v>
      </c>
      <c r="R111" s="26" t="s">
        <v>10</v>
      </c>
      <c r="S111" s="26" t="s">
        <v>178</v>
      </c>
      <c r="T111" s="26" t="s">
        <v>179</v>
      </c>
      <c r="U111" s="26">
        <v>0</v>
      </c>
    </row>
    <row r="112" spans="1:21" ht="16.5" customHeight="1">
      <c r="A112" s="48">
        <v>227</v>
      </c>
      <c r="B112" s="88"/>
      <c r="C112" s="88"/>
      <c r="D112" s="88"/>
      <c r="G112" s="26" t="s">
        <v>14</v>
      </c>
      <c r="H112" s="26" t="s">
        <v>1223</v>
      </c>
      <c r="I112" s="26">
        <v>38</v>
      </c>
      <c r="J112" s="26">
        <v>168</v>
      </c>
      <c r="K112" s="26" t="s">
        <v>1224</v>
      </c>
      <c r="L112" s="26" t="s">
        <v>467</v>
      </c>
      <c r="M112" s="26" t="s">
        <v>15</v>
      </c>
      <c r="N112" s="26" t="s">
        <v>12</v>
      </c>
      <c r="O112" s="26" t="s">
        <v>10</v>
      </c>
      <c r="P112" s="26" t="s">
        <v>9</v>
      </c>
      <c r="Q112" s="26" t="s">
        <v>29</v>
      </c>
      <c r="R112" s="26" t="s">
        <v>707</v>
      </c>
      <c r="S112" s="26" t="s">
        <v>1225</v>
      </c>
      <c r="T112" s="26" t="s">
        <v>1226</v>
      </c>
      <c r="U112" s="26">
        <v>0</v>
      </c>
    </row>
    <row r="113" spans="1:21" ht="16.5" customHeight="1">
      <c r="A113" s="48">
        <v>36</v>
      </c>
      <c r="B113" s="81"/>
      <c r="C113" s="81"/>
      <c r="D113" s="81"/>
      <c r="E113" s="80"/>
      <c r="F113" s="80"/>
      <c r="G113" s="26" t="s">
        <v>14</v>
      </c>
      <c r="H113" s="26" t="s">
        <v>478</v>
      </c>
      <c r="I113" s="26">
        <v>38</v>
      </c>
      <c r="J113" s="26">
        <v>167</v>
      </c>
      <c r="K113" s="26" t="s">
        <v>479</v>
      </c>
      <c r="L113" s="26" t="s">
        <v>466</v>
      </c>
      <c r="M113" s="26" t="s">
        <v>93</v>
      </c>
      <c r="N113" s="26" t="s">
        <v>480</v>
      </c>
      <c r="O113" s="26" t="s">
        <v>10</v>
      </c>
      <c r="P113" s="26" t="s">
        <v>9</v>
      </c>
      <c r="Q113" s="26" t="s">
        <v>10</v>
      </c>
      <c r="R113" s="26" t="s">
        <v>10</v>
      </c>
      <c r="S113" s="26" t="s">
        <v>481</v>
      </c>
      <c r="T113" s="26" t="s">
        <v>482</v>
      </c>
      <c r="U113" s="26">
        <v>0</v>
      </c>
    </row>
    <row r="114" spans="1:21" ht="16.5" customHeight="1">
      <c r="A114" s="48">
        <v>161</v>
      </c>
      <c r="B114" s="81"/>
      <c r="C114" s="81"/>
      <c r="D114" s="81"/>
      <c r="E114" s="80"/>
      <c r="F114" s="80"/>
      <c r="G114" s="36" t="s">
        <v>14</v>
      </c>
      <c r="H114" s="26" t="s">
        <v>191</v>
      </c>
      <c r="I114" s="26">
        <v>38</v>
      </c>
      <c r="J114" s="26">
        <v>164</v>
      </c>
      <c r="K114" s="26" t="s">
        <v>192</v>
      </c>
      <c r="L114" s="26" t="s">
        <v>465</v>
      </c>
      <c r="M114" s="26" t="s">
        <v>458</v>
      </c>
      <c r="N114" s="26" t="s">
        <v>76</v>
      </c>
      <c r="O114" s="26" t="s">
        <v>193</v>
      </c>
      <c r="P114" s="26" t="s">
        <v>49</v>
      </c>
      <c r="Q114" s="26" t="s">
        <v>29</v>
      </c>
      <c r="R114" s="26" t="s">
        <v>196</v>
      </c>
      <c r="S114" s="26" t="s">
        <v>194</v>
      </c>
      <c r="T114" s="26" t="s">
        <v>195</v>
      </c>
      <c r="U114" s="26">
        <v>0</v>
      </c>
    </row>
    <row r="115" spans="1:21" ht="16.5" customHeight="1">
      <c r="A115" s="48">
        <v>110</v>
      </c>
      <c r="B115" s="81"/>
      <c r="C115" s="81"/>
      <c r="D115" s="81"/>
      <c r="E115" s="80"/>
      <c r="F115" s="80"/>
      <c r="G115" s="36" t="s">
        <v>14</v>
      </c>
      <c r="H115" s="26" t="s">
        <v>1047</v>
      </c>
      <c r="I115" s="26">
        <v>38</v>
      </c>
      <c r="J115" s="26">
        <v>163</v>
      </c>
      <c r="K115" s="26" t="s">
        <v>1048</v>
      </c>
      <c r="L115" s="26" t="s">
        <v>466</v>
      </c>
      <c r="M115" s="26" t="s">
        <v>93</v>
      </c>
      <c r="N115" s="26" t="s">
        <v>13</v>
      </c>
      <c r="O115" s="26" t="s">
        <v>10</v>
      </c>
      <c r="P115" s="26" t="s">
        <v>9</v>
      </c>
      <c r="Q115" s="26" t="s">
        <v>57</v>
      </c>
      <c r="R115" s="26" t="s">
        <v>10</v>
      </c>
      <c r="S115" s="26" t="s">
        <v>1049</v>
      </c>
      <c r="T115" s="26" t="s">
        <v>1050</v>
      </c>
      <c r="U115" s="26">
        <v>0</v>
      </c>
    </row>
    <row r="116" spans="1:21" ht="16.5" customHeight="1">
      <c r="A116" s="48">
        <v>53</v>
      </c>
      <c r="B116" s="81"/>
      <c r="C116" s="81"/>
      <c r="D116" s="81"/>
      <c r="E116" s="80"/>
      <c r="F116" s="80"/>
      <c r="G116" s="26" t="s">
        <v>14</v>
      </c>
      <c r="H116" s="26" t="s">
        <v>58</v>
      </c>
      <c r="I116" s="26">
        <v>38</v>
      </c>
      <c r="J116" s="26">
        <v>162</v>
      </c>
      <c r="K116" s="26" t="s">
        <v>672</v>
      </c>
      <c r="L116" s="26" t="s">
        <v>466</v>
      </c>
      <c r="M116" s="26" t="s">
        <v>458</v>
      </c>
      <c r="N116" s="26" t="s">
        <v>252</v>
      </c>
      <c r="O116" s="26" t="s">
        <v>10</v>
      </c>
      <c r="P116" s="26" t="s">
        <v>9</v>
      </c>
      <c r="Q116" s="26" t="s">
        <v>29</v>
      </c>
      <c r="R116" s="26" t="s">
        <v>73</v>
      </c>
      <c r="S116" s="26" t="s">
        <v>673</v>
      </c>
      <c r="T116" s="26" t="s">
        <v>674</v>
      </c>
      <c r="U116" s="26">
        <v>0</v>
      </c>
    </row>
    <row r="117" spans="1:21" ht="16.5" customHeight="1">
      <c r="A117" s="48">
        <v>259</v>
      </c>
      <c r="B117" s="89"/>
      <c r="C117" s="89"/>
      <c r="D117" s="89"/>
      <c r="G117" s="26" t="s">
        <v>14</v>
      </c>
      <c r="H117" s="26" t="s">
        <v>216</v>
      </c>
      <c r="I117" s="26">
        <v>38</v>
      </c>
      <c r="J117" s="26">
        <v>161</v>
      </c>
      <c r="K117" s="26" t="s">
        <v>1433</v>
      </c>
      <c r="L117" s="26" t="s">
        <v>466</v>
      </c>
      <c r="M117" s="26" t="s">
        <v>55</v>
      </c>
      <c r="N117" s="26" t="s">
        <v>18</v>
      </c>
      <c r="O117" s="26" t="s">
        <v>1434</v>
      </c>
      <c r="P117" s="26" t="s">
        <v>9</v>
      </c>
      <c r="Q117" s="26" t="s">
        <v>29</v>
      </c>
      <c r="R117" s="26" t="s">
        <v>133</v>
      </c>
      <c r="S117" s="26" t="s">
        <v>808</v>
      </c>
      <c r="T117" s="26" t="s">
        <v>1435</v>
      </c>
      <c r="U117" s="26">
        <v>0</v>
      </c>
    </row>
    <row r="118" spans="1:21" ht="16.5" customHeight="1">
      <c r="A118" s="48">
        <v>196</v>
      </c>
      <c r="B118" s="85"/>
      <c r="C118" s="85"/>
      <c r="D118" s="85"/>
      <c r="E118" s="80"/>
      <c r="F118" s="80"/>
      <c r="G118" s="36" t="s">
        <v>14</v>
      </c>
      <c r="H118" s="26" t="s">
        <v>216</v>
      </c>
      <c r="I118" s="26">
        <v>38</v>
      </c>
      <c r="J118" s="26">
        <v>161</v>
      </c>
      <c r="K118" s="26" t="s">
        <v>218</v>
      </c>
      <c r="L118" s="26" t="s">
        <v>466</v>
      </c>
      <c r="M118" s="26" t="s">
        <v>468</v>
      </c>
      <c r="N118" s="26" t="s">
        <v>18</v>
      </c>
      <c r="O118" s="26" t="s">
        <v>219</v>
      </c>
      <c r="P118" s="26" t="s">
        <v>9</v>
      </c>
      <c r="Q118" s="26" t="s">
        <v>29</v>
      </c>
      <c r="R118" s="26" t="s">
        <v>10</v>
      </c>
      <c r="S118" s="26" t="s">
        <v>220</v>
      </c>
      <c r="T118" s="26" t="s">
        <v>221</v>
      </c>
      <c r="U118" s="26">
        <v>0</v>
      </c>
    </row>
    <row r="119" spans="1:21" ht="16.5" customHeight="1">
      <c r="A119" s="48">
        <v>18</v>
      </c>
      <c r="B119" s="81"/>
      <c r="C119" s="81"/>
      <c r="D119" s="81"/>
      <c r="E119" s="80"/>
      <c r="F119" s="80"/>
      <c r="G119" s="36" t="s">
        <v>14</v>
      </c>
      <c r="H119" s="26" t="s">
        <v>142</v>
      </c>
      <c r="I119" s="26">
        <v>38</v>
      </c>
      <c r="J119" s="26">
        <v>161</v>
      </c>
      <c r="K119" s="26" t="s">
        <v>143</v>
      </c>
      <c r="L119" s="26" t="s">
        <v>466</v>
      </c>
      <c r="M119" s="26" t="s">
        <v>15</v>
      </c>
      <c r="N119" s="26" t="s">
        <v>35</v>
      </c>
      <c r="O119" s="26" t="s">
        <v>10</v>
      </c>
      <c r="P119" s="26" t="s">
        <v>9</v>
      </c>
      <c r="Q119" s="26" t="s">
        <v>29</v>
      </c>
      <c r="R119" s="26" t="s">
        <v>11</v>
      </c>
      <c r="S119" s="26" t="s">
        <v>144</v>
      </c>
      <c r="T119" s="26" t="s">
        <v>145</v>
      </c>
      <c r="U119" s="26">
        <v>0</v>
      </c>
    </row>
    <row r="120" spans="1:21" ht="16.5" customHeight="1">
      <c r="A120" s="48">
        <v>162</v>
      </c>
      <c r="B120" s="81"/>
      <c r="C120" s="81"/>
      <c r="D120" s="81"/>
      <c r="E120" s="80"/>
      <c r="F120" s="80"/>
      <c r="G120" s="36" t="s">
        <v>14</v>
      </c>
      <c r="H120" s="26" t="s">
        <v>123</v>
      </c>
      <c r="I120" s="26">
        <v>38</v>
      </c>
      <c r="J120" s="26">
        <v>160</v>
      </c>
      <c r="K120" s="26" t="s">
        <v>124</v>
      </c>
      <c r="L120" s="26" t="s">
        <v>467</v>
      </c>
      <c r="M120" s="26" t="s">
        <v>15</v>
      </c>
      <c r="N120" s="26" t="s">
        <v>37</v>
      </c>
      <c r="O120" s="26" t="s">
        <v>10</v>
      </c>
      <c r="P120" s="26" t="s">
        <v>9</v>
      </c>
      <c r="Q120" s="26" t="s">
        <v>29</v>
      </c>
      <c r="R120" s="26" t="s">
        <v>10</v>
      </c>
      <c r="S120" s="26" t="s">
        <v>125</v>
      </c>
      <c r="T120" s="26" t="s">
        <v>126</v>
      </c>
      <c r="U120" s="26">
        <v>0</v>
      </c>
    </row>
    <row r="121" spans="1:21" ht="16.5" customHeight="1">
      <c r="A121" s="48">
        <v>202</v>
      </c>
      <c r="B121" s="85"/>
      <c r="C121" s="85"/>
      <c r="D121" s="85"/>
      <c r="E121" s="80"/>
      <c r="F121" s="80"/>
      <c r="G121" s="26" t="s">
        <v>14</v>
      </c>
      <c r="H121" s="26" t="s">
        <v>227</v>
      </c>
      <c r="I121" s="26">
        <v>38</v>
      </c>
      <c r="J121" s="26">
        <v>159</v>
      </c>
      <c r="K121" s="26" t="s">
        <v>228</v>
      </c>
      <c r="L121" s="26" t="s">
        <v>466</v>
      </c>
      <c r="M121" s="26" t="s">
        <v>55</v>
      </c>
      <c r="N121" s="26" t="s">
        <v>85</v>
      </c>
      <c r="O121" s="26" t="s">
        <v>10</v>
      </c>
      <c r="P121" s="26" t="s">
        <v>49</v>
      </c>
      <c r="Q121" s="26" t="s">
        <v>10</v>
      </c>
      <c r="R121" s="26" t="s">
        <v>10</v>
      </c>
      <c r="S121" s="26" t="s">
        <v>229</v>
      </c>
      <c r="T121" s="26" t="s">
        <v>230</v>
      </c>
      <c r="U121" s="26">
        <v>0</v>
      </c>
    </row>
    <row r="122" spans="1:21" ht="16.5" customHeight="1">
      <c r="A122" s="48">
        <v>296</v>
      </c>
      <c r="B122" s="84"/>
      <c r="C122" s="84"/>
      <c r="D122" s="84"/>
      <c r="G122" s="26" t="s">
        <v>14</v>
      </c>
      <c r="H122" s="26" t="s">
        <v>1211</v>
      </c>
      <c r="I122" s="26">
        <v>38</v>
      </c>
      <c r="J122" s="26">
        <v>158</v>
      </c>
      <c r="K122" s="26" t="s">
        <v>1628</v>
      </c>
      <c r="L122" s="26" t="s">
        <v>466</v>
      </c>
      <c r="M122" s="26" t="s">
        <v>468</v>
      </c>
      <c r="N122" s="26" t="s">
        <v>28</v>
      </c>
      <c r="O122" s="26" t="s">
        <v>1142</v>
      </c>
      <c r="P122" s="26" t="s">
        <v>224</v>
      </c>
      <c r="Q122" s="26" t="s">
        <v>29</v>
      </c>
      <c r="R122" s="26" t="s">
        <v>1367</v>
      </c>
      <c r="S122" s="26" t="s">
        <v>1671</v>
      </c>
      <c r="T122" s="26" t="s">
        <v>271</v>
      </c>
      <c r="U122" s="26">
        <v>0</v>
      </c>
    </row>
    <row r="123" spans="1:21" ht="16.5" customHeight="1">
      <c r="A123" s="48">
        <v>224</v>
      </c>
      <c r="B123" s="88"/>
      <c r="C123" s="88"/>
      <c r="D123" s="88"/>
      <c r="E123" s="80"/>
      <c r="F123" s="80"/>
      <c r="G123" s="26" t="s">
        <v>14</v>
      </c>
      <c r="H123" s="26" t="s">
        <v>1211</v>
      </c>
      <c r="I123" s="26">
        <v>38</v>
      </c>
      <c r="J123" s="26">
        <v>158</v>
      </c>
      <c r="K123" s="26" t="s">
        <v>1213</v>
      </c>
      <c r="L123" s="26" t="s">
        <v>466</v>
      </c>
      <c r="M123" s="26" t="s">
        <v>458</v>
      </c>
      <c r="N123" s="26" t="s">
        <v>68</v>
      </c>
      <c r="O123" s="26" t="s">
        <v>10</v>
      </c>
      <c r="P123" s="26" t="s">
        <v>224</v>
      </c>
      <c r="Q123" s="26" t="s">
        <v>29</v>
      </c>
      <c r="R123" s="26" t="s">
        <v>10</v>
      </c>
      <c r="S123" s="26" t="s">
        <v>1214</v>
      </c>
      <c r="T123" s="26" t="s">
        <v>271</v>
      </c>
      <c r="U123" s="26">
        <v>0</v>
      </c>
    </row>
    <row r="124" spans="1:21" ht="16.5" customHeight="1">
      <c r="A124" s="48">
        <v>230</v>
      </c>
      <c r="B124" s="88">
        <v>1</v>
      </c>
      <c r="C124" s="88"/>
      <c r="D124" s="88"/>
      <c r="G124" s="26" t="s">
        <v>14</v>
      </c>
      <c r="H124" s="26" t="s">
        <v>1238</v>
      </c>
      <c r="I124" s="26">
        <v>37</v>
      </c>
      <c r="J124" s="26">
        <v>167</v>
      </c>
      <c r="K124" s="26" t="s">
        <v>1239</v>
      </c>
      <c r="L124" s="26" t="s">
        <v>466</v>
      </c>
      <c r="M124" s="26" t="s">
        <v>93</v>
      </c>
      <c r="N124" s="26" t="s">
        <v>71</v>
      </c>
      <c r="O124" s="26" t="s">
        <v>10</v>
      </c>
      <c r="P124" s="26" t="s">
        <v>9</v>
      </c>
      <c r="Q124" s="26" t="s">
        <v>29</v>
      </c>
      <c r="R124" s="26" t="s">
        <v>11</v>
      </c>
      <c r="S124" s="26" t="s">
        <v>1240</v>
      </c>
      <c r="T124" s="26" t="s">
        <v>1241</v>
      </c>
      <c r="U124" s="26">
        <v>0</v>
      </c>
    </row>
    <row r="125" spans="1:21" ht="16.5" customHeight="1">
      <c r="A125" s="48">
        <v>368</v>
      </c>
      <c r="B125" s="81">
        <v>1</v>
      </c>
      <c r="C125" s="81"/>
      <c r="D125" s="81"/>
      <c r="E125" s="80"/>
      <c r="F125" s="81"/>
      <c r="G125" s="26" t="s">
        <v>14</v>
      </c>
      <c r="H125" s="26" t="s">
        <v>2724</v>
      </c>
      <c r="I125" s="26">
        <v>37</v>
      </c>
      <c r="J125" s="26">
        <v>164</v>
      </c>
      <c r="K125" s="26" t="s">
        <v>2670</v>
      </c>
      <c r="L125" s="26" t="s">
        <v>461</v>
      </c>
      <c r="M125" s="26" t="s">
        <v>15</v>
      </c>
      <c r="N125" s="4" t="s">
        <v>59</v>
      </c>
      <c r="O125" s="4" t="s">
        <v>10</v>
      </c>
      <c r="P125" s="4" t="s">
        <v>9</v>
      </c>
      <c r="Q125" s="4" t="s">
        <v>63</v>
      </c>
      <c r="R125" s="4" t="s">
        <v>10</v>
      </c>
      <c r="S125" s="4" t="s">
        <v>2725</v>
      </c>
      <c r="T125" s="4" t="s">
        <v>2726</v>
      </c>
      <c r="U125" s="4">
        <v>0</v>
      </c>
    </row>
    <row r="126" spans="1:21">
      <c r="A126" s="48">
        <v>385</v>
      </c>
      <c r="B126" s="81">
        <v>1</v>
      </c>
      <c r="F126" s="87"/>
      <c r="G126" s="26" t="s">
        <v>14</v>
      </c>
      <c r="H126" s="26" t="s">
        <v>2866</v>
      </c>
      <c r="I126" s="26">
        <v>37</v>
      </c>
      <c r="J126" s="26">
        <v>155</v>
      </c>
      <c r="K126" s="26" t="s">
        <v>2867</v>
      </c>
      <c r="L126" s="26" t="s">
        <v>1616</v>
      </c>
      <c r="M126" s="26" t="s">
        <v>55</v>
      </c>
      <c r="N126" s="4" t="s">
        <v>380</v>
      </c>
      <c r="O126" s="4" t="s">
        <v>10</v>
      </c>
      <c r="P126" s="4" t="s">
        <v>9</v>
      </c>
      <c r="Q126" s="4" t="s">
        <v>63</v>
      </c>
      <c r="R126" s="4" t="s">
        <v>11</v>
      </c>
      <c r="S126" s="4" t="s">
        <v>2868</v>
      </c>
      <c r="T126" s="4" t="s">
        <v>2869</v>
      </c>
      <c r="U126" s="4">
        <v>0</v>
      </c>
    </row>
    <row r="127" spans="1:21">
      <c r="A127" s="48">
        <v>304</v>
      </c>
      <c r="B127" s="84"/>
      <c r="C127" s="84"/>
      <c r="D127" s="84"/>
      <c r="G127" s="26" t="s">
        <v>14</v>
      </c>
      <c r="H127" s="26" t="s">
        <v>1645</v>
      </c>
      <c r="I127" s="26">
        <v>37</v>
      </c>
      <c r="J127" s="26">
        <v>168</v>
      </c>
      <c r="K127" s="26" t="s">
        <v>1647</v>
      </c>
      <c r="L127" s="26" t="s">
        <v>461</v>
      </c>
      <c r="M127" s="26" t="s">
        <v>93</v>
      </c>
      <c r="N127" s="26" t="s">
        <v>24</v>
      </c>
      <c r="O127" s="26" t="s">
        <v>10</v>
      </c>
      <c r="P127" s="26" t="s">
        <v>9</v>
      </c>
      <c r="Q127" s="26" t="s">
        <v>10</v>
      </c>
      <c r="R127" s="26" t="s">
        <v>10</v>
      </c>
      <c r="S127" s="26" t="s">
        <v>1688</v>
      </c>
      <c r="T127" s="26" t="s">
        <v>1689</v>
      </c>
      <c r="U127" s="26">
        <v>0</v>
      </c>
    </row>
    <row r="128" spans="1:21">
      <c r="A128" s="48">
        <v>113</v>
      </c>
      <c r="B128" s="81"/>
      <c r="C128" s="81"/>
      <c r="D128" s="81"/>
      <c r="E128" s="80"/>
      <c r="F128" s="80"/>
      <c r="G128" s="26" t="s">
        <v>14</v>
      </c>
      <c r="H128" s="26" t="s">
        <v>261</v>
      </c>
      <c r="I128" s="26">
        <v>37</v>
      </c>
      <c r="J128" s="26">
        <v>168</v>
      </c>
      <c r="K128" s="26" t="s">
        <v>262</v>
      </c>
      <c r="L128" s="26" t="s">
        <v>39</v>
      </c>
      <c r="M128" s="26" t="s">
        <v>93</v>
      </c>
      <c r="N128" s="26" t="s">
        <v>263</v>
      </c>
      <c r="O128" s="26" t="s">
        <v>10</v>
      </c>
      <c r="P128" s="26">
        <v>0</v>
      </c>
      <c r="Q128" s="26">
        <v>0</v>
      </c>
      <c r="R128" s="26">
        <v>0</v>
      </c>
      <c r="S128" s="26" t="s">
        <v>264</v>
      </c>
      <c r="T128" s="26">
        <v>0</v>
      </c>
      <c r="U128" s="26">
        <v>0</v>
      </c>
    </row>
    <row r="129" spans="1:21">
      <c r="A129" s="48">
        <v>232</v>
      </c>
      <c r="B129" s="88"/>
      <c r="C129" s="88"/>
      <c r="D129" s="88"/>
      <c r="G129" s="26" t="s">
        <v>14</v>
      </c>
      <c r="H129" s="26" t="s">
        <v>1246</v>
      </c>
      <c r="I129" s="26">
        <v>37</v>
      </c>
      <c r="J129" s="26">
        <v>168</v>
      </c>
      <c r="K129" s="26" t="s">
        <v>1247</v>
      </c>
      <c r="L129" s="26" t="s">
        <v>461</v>
      </c>
      <c r="M129" s="26" t="s">
        <v>15</v>
      </c>
      <c r="N129" s="26" t="s">
        <v>480</v>
      </c>
      <c r="O129" s="26" t="s">
        <v>219</v>
      </c>
      <c r="P129" s="26" t="s">
        <v>31</v>
      </c>
      <c r="Q129" s="26" t="s">
        <v>57</v>
      </c>
      <c r="R129" s="26" t="s">
        <v>10</v>
      </c>
      <c r="S129" s="26" t="s">
        <v>1248</v>
      </c>
      <c r="T129" s="26" t="s">
        <v>1249</v>
      </c>
      <c r="U129" s="26">
        <v>0</v>
      </c>
    </row>
    <row r="130" spans="1:21">
      <c r="A130" s="107">
        <v>367</v>
      </c>
      <c r="B130" s="81"/>
      <c r="C130" s="81"/>
      <c r="D130" s="81"/>
      <c r="E130" s="80"/>
      <c r="F130" s="81"/>
      <c r="G130" s="26" t="s">
        <v>14</v>
      </c>
      <c r="H130" s="26" t="s">
        <v>2720</v>
      </c>
      <c r="I130" s="26">
        <v>37</v>
      </c>
      <c r="J130" s="26">
        <v>166</v>
      </c>
      <c r="K130" s="26" t="s">
        <v>2662</v>
      </c>
      <c r="L130" s="26" t="s">
        <v>465</v>
      </c>
      <c r="M130" s="26" t="s">
        <v>15</v>
      </c>
      <c r="N130" s="4" t="s">
        <v>72</v>
      </c>
      <c r="O130" s="4" t="s">
        <v>2721</v>
      </c>
      <c r="P130" s="4" t="s">
        <v>9</v>
      </c>
      <c r="Q130" s="4" t="s">
        <v>63</v>
      </c>
      <c r="R130" s="4" t="s">
        <v>1536</v>
      </c>
      <c r="S130" s="4" t="s">
        <v>2722</v>
      </c>
      <c r="T130" s="4" t="s">
        <v>2723</v>
      </c>
      <c r="U130" s="4" t="s">
        <v>2668</v>
      </c>
    </row>
    <row r="131" spans="1:21">
      <c r="A131" s="48">
        <v>190</v>
      </c>
      <c r="B131" s="81"/>
      <c r="C131" s="81"/>
      <c r="D131" s="81"/>
      <c r="E131" s="80"/>
      <c r="F131" s="80"/>
      <c r="G131" s="36" t="s">
        <v>14</v>
      </c>
      <c r="H131" s="26" t="s">
        <v>744</v>
      </c>
      <c r="I131" s="26">
        <v>37</v>
      </c>
      <c r="J131" s="26">
        <v>165</v>
      </c>
      <c r="K131" s="26" t="s">
        <v>745</v>
      </c>
      <c r="L131" s="26" t="s">
        <v>465</v>
      </c>
      <c r="M131" s="26" t="s">
        <v>93</v>
      </c>
      <c r="N131" s="26" t="s">
        <v>746</v>
      </c>
      <c r="O131" s="26" t="s">
        <v>747</v>
      </c>
      <c r="P131" s="26" t="s">
        <v>9</v>
      </c>
      <c r="Q131" s="26" t="s">
        <v>29</v>
      </c>
      <c r="R131" s="26" t="s">
        <v>10</v>
      </c>
      <c r="S131" s="26" t="s">
        <v>748</v>
      </c>
      <c r="T131" s="26" t="s">
        <v>749</v>
      </c>
      <c r="U131" s="26">
        <v>0</v>
      </c>
    </row>
    <row r="132" spans="1:21">
      <c r="A132" s="48">
        <v>270</v>
      </c>
      <c r="G132" s="26" t="s">
        <v>14</v>
      </c>
      <c r="H132" s="26" t="s">
        <v>191</v>
      </c>
      <c r="I132" s="26">
        <v>37</v>
      </c>
      <c r="J132" s="26">
        <v>164</v>
      </c>
      <c r="K132" s="26" t="s">
        <v>1479</v>
      </c>
      <c r="L132" s="26" t="s">
        <v>466</v>
      </c>
      <c r="M132" s="26" t="s">
        <v>458</v>
      </c>
      <c r="N132" s="26" t="s">
        <v>76</v>
      </c>
      <c r="O132" s="26" t="s">
        <v>35</v>
      </c>
      <c r="P132" s="26" t="s">
        <v>49</v>
      </c>
      <c r="Q132" s="26" t="s">
        <v>29</v>
      </c>
      <c r="R132" s="26" t="s">
        <v>1482</v>
      </c>
      <c r="S132" s="26" t="s">
        <v>1480</v>
      </c>
      <c r="T132" s="26" t="s">
        <v>1481</v>
      </c>
      <c r="U132" s="26">
        <v>0</v>
      </c>
    </row>
    <row r="133" spans="1:21">
      <c r="A133" s="48">
        <v>154</v>
      </c>
      <c r="B133" s="81"/>
      <c r="C133" s="81"/>
      <c r="D133" s="81"/>
      <c r="E133" s="80"/>
      <c r="F133" s="80"/>
      <c r="G133" s="36" t="s">
        <v>14</v>
      </c>
      <c r="H133" s="26" t="s">
        <v>708</v>
      </c>
      <c r="I133" s="26">
        <v>37</v>
      </c>
      <c r="J133" s="26">
        <v>164</v>
      </c>
      <c r="K133" s="26" t="s">
        <v>709</v>
      </c>
      <c r="L133" s="26" t="s">
        <v>39</v>
      </c>
      <c r="M133" s="26" t="s">
        <v>65</v>
      </c>
      <c r="N133" s="26" t="s">
        <v>203</v>
      </c>
      <c r="O133" s="26" t="s">
        <v>10</v>
      </c>
      <c r="P133" s="26" t="s">
        <v>9</v>
      </c>
      <c r="Q133" s="26" t="s">
        <v>29</v>
      </c>
      <c r="R133" s="26" t="s">
        <v>324</v>
      </c>
      <c r="S133" s="26" t="s">
        <v>710</v>
      </c>
      <c r="T133" s="26" t="s">
        <v>711</v>
      </c>
      <c r="U133" s="26">
        <v>0</v>
      </c>
    </row>
    <row r="134" spans="1:21">
      <c r="A134" s="48">
        <v>254</v>
      </c>
      <c r="B134" s="86"/>
      <c r="C134" s="86"/>
      <c r="D134" s="86"/>
      <c r="G134" s="26" t="s">
        <v>14</v>
      </c>
      <c r="H134" s="26" t="s">
        <v>1382</v>
      </c>
      <c r="I134" s="26">
        <v>37</v>
      </c>
      <c r="J134" s="26">
        <v>163.5</v>
      </c>
      <c r="K134" s="26" t="s">
        <v>1384</v>
      </c>
      <c r="L134" s="26" t="s">
        <v>466</v>
      </c>
      <c r="M134" s="26" t="s">
        <v>65</v>
      </c>
      <c r="N134" s="26" t="s">
        <v>12</v>
      </c>
      <c r="O134" s="26" t="s">
        <v>10</v>
      </c>
      <c r="P134" s="26" t="s">
        <v>9</v>
      </c>
      <c r="Q134" s="26"/>
      <c r="R134" s="26"/>
      <c r="S134" s="26" t="s">
        <v>1385</v>
      </c>
      <c r="T134" s="26"/>
      <c r="U134" s="26"/>
    </row>
    <row r="135" spans="1:21">
      <c r="A135" s="48">
        <v>271</v>
      </c>
      <c r="B135" s="84"/>
      <c r="G135" s="26" t="s">
        <v>14</v>
      </c>
      <c r="H135" s="26" t="s">
        <v>1483</v>
      </c>
      <c r="I135" s="26">
        <v>37</v>
      </c>
      <c r="J135" s="26">
        <v>163</v>
      </c>
      <c r="K135" s="26" t="s">
        <v>1485</v>
      </c>
      <c r="L135" s="26" t="s">
        <v>470</v>
      </c>
      <c r="M135" s="26" t="s">
        <v>93</v>
      </c>
      <c r="N135" s="26" t="s">
        <v>68</v>
      </c>
      <c r="O135" s="26" t="s">
        <v>10</v>
      </c>
      <c r="P135" s="26" t="s">
        <v>224</v>
      </c>
      <c r="Q135" s="26" t="s">
        <v>10</v>
      </c>
      <c r="R135" s="26" t="s">
        <v>11</v>
      </c>
      <c r="S135" s="26" t="s">
        <v>1486</v>
      </c>
      <c r="T135" s="26" t="s">
        <v>1487</v>
      </c>
      <c r="U135" s="26">
        <v>0</v>
      </c>
    </row>
    <row r="136" spans="1:21">
      <c r="A136" s="48">
        <v>62</v>
      </c>
      <c r="B136" s="81"/>
      <c r="C136" s="81"/>
      <c r="D136" s="81"/>
      <c r="E136" s="80"/>
      <c r="F136" s="80"/>
      <c r="G136" s="26" t="s">
        <v>14</v>
      </c>
      <c r="H136" s="26" t="s">
        <v>853</v>
      </c>
      <c r="I136" s="26">
        <v>37</v>
      </c>
      <c r="J136" s="26">
        <v>163</v>
      </c>
      <c r="K136" s="26" t="s">
        <v>854</v>
      </c>
      <c r="L136" s="26" t="s">
        <v>36</v>
      </c>
      <c r="M136" s="26" t="s">
        <v>93</v>
      </c>
      <c r="N136" s="26" t="s">
        <v>855</v>
      </c>
      <c r="O136" s="26" t="s">
        <v>856</v>
      </c>
      <c r="P136" s="26" t="s">
        <v>9</v>
      </c>
      <c r="Q136" s="26" t="s">
        <v>10</v>
      </c>
      <c r="R136" s="26" t="s">
        <v>10</v>
      </c>
      <c r="S136" s="26" t="s">
        <v>857</v>
      </c>
      <c r="T136" s="26" t="s">
        <v>858</v>
      </c>
      <c r="U136" s="26">
        <v>0</v>
      </c>
    </row>
    <row r="137" spans="1:21">
      <c r="A137" s="48">
        <v>239</v>
      </c>
      <c r="B137" s="87"/>
      <c r="C137" s="87"/>
      <c r="D137" s="87"/>
      <c r="G137" s="26" t="s">
        <v>14</v>
      </c>
      <c r="H137" s="26" t="s">
        <v>1298</v>
      </c>
      <c r="I137" s="26">
        <v>37</v>
      </c>
      <c r="J137" s="26">
        <v>163</v>
      </c>
      <c r="K137" s="26" t="s">
        <v>1299</v>
      </c>
      <c r="L137" s="26" t="s">
        <v>466</v>
      </c>
      <c r="M137" s="26" t="s">
        <v>15</v>
      </c>
      <c r="N137" s="26" t="s">
        <v>37</v>
      </c>
      <c r="O137" s="26" t="s">
        <v>10</v>
      </c>
      <c r="P137" s="26" t="s">
        <v>9</v>
      </c>
      <c r="Q137" s="26" t="s">
        <v>29</v>
      </c>
      <c r="R137" s="26" t="s">
        <v>10</v>
      </c>
      <c r="S137" s="26" t="s">
        <v>1300</v>
      </c>
      <c r="T137" s="26" t="s">
        <v>1301</v>
      </c>
      <c r="U137" s="26">
        <v>0</v>
      </c>
    </row>
    <row r="138" spans="1:21">
      <c r="A138" s="48">
        <v>208</v>
      </c>
      <c r="B138" s="85"/>
      <c r="C138" s="85"/>
      <c r="D138" s="85"/>
      <c r="E138" s="80"/>
      <c r="F138" s="80"/>
      <c r="G138" s="26" t="s">
        <v>14</v>
      </c>
      <c r="H138" s="26" t="s">
        <v>483</v>
      </c>
      <c r="I138" s="26">
        <v>37</v>
      </c>
      <c r="J138" s="26">
        <v>162</v>
      </c>
      <c r="K138" s="26" t="s">
        <v>484</v>
      </c>
      <c r="L138" s="26" t="s">
        <v>461</v>
      </c>
      <c r="M138" s="26" t="s">
        <v>55</v>
      </c>
      <c r="N138" s="26" t="s">
        <v>148</v>
      </c>
      <c r="O138" s="26" t="s">
        <v>10</v>
      </c>
      <c r="P138" s="26" t="s">
        <v>31</v>
      </c>
      <c r="Q138" s="26" t="s">
        <v>10</v>
      </c>
      <c r="R138" s="26" t="s">
        <v>10</v>
      </c>
      <c r="S138" s="26" t="s">
        <v>485</v>
      </c>
      <c r="T138" s="26" t="s">
        <v>486</v>
      </c>
      <c r="U138" s="26">
        <v>0</v>
      </c>
    </row>
    <row r="139" spans="1:21">
      <c r="A139" s="48">
        <v>11</v>
      </c>
      <c r="B139" s="81"/>
      <c r="C139" s="81"/>
      <c r="D139" s="81"/>
      <c r="E139" s="80"/>
      <c r="F139" s="80"/>
      <c r="G139" s="36" t="s">
        <v>14</v>
      </c>
      <c r="H139" s="26" t="s">
        <v>334</v>
      </c>
      <c r="I139" s="26">
        <v>37</v>
      </c>
      <c r="J139" s="26">
        <v>158</v>
      </c>
      <c r="K139" s="26" t="s">
        <v>335</v>
      </c>
      <c r="L139" s="26" t="s">
        <v>10</v>
      </c>
      <c r="M139" s="26" t="s">
        <v>93</v>
      </c>
      <c r="N139" s="26" t="s">
        <v>51</v>
      </c>
      <c r="O139" s="26" t="s">
        <v>10</v>
      </c>
      <c r="P139" s="26" t="s">
        <v>9</v>
      </c>
      <c r="Q139" s="26" t="s">
        <v>10</v>
      </c>
      <c r="R139" s="26" t="s">
        <v>10</v>
      </c>
      <c r="S139" s="26" t="s">
        <v>336</v>
      </c>
      <c r="T139" s="26" t="s">
        <v>337</v>
      </c>
      <c r="U139" s="26">
        <v>0</v>
      </c>
    </row>
    <row r="140" spans="1:21">
      <c r="A140" s="48">
        <v>231</v>
      </c>
      <c r="B140" s="88">
        <v>1</v>
      </c>
      <c r="C140" s="88"/>
      <c r="D140" s="88"/>
      <c r="G140" s="26" t="s">
        <v>14</v>
      </c>
      <c r="H140" s="26" t="s">
        <v>1242</v>
      </c>
      <c r="I140" s="26">
        <v>36</v>
      </c>
      <c r="J140" s="26">
        <v>161</v>
      </c>
      <c r="K140" s="26" t="s">
        <v>1243</v>
      </c>
      <c r="L140" s="26" t="s">
        <v>461</v>
      </c>
      <c r="M140" s="26" t="s">
        <v>458</v>
      </c>
      <c r="N140" s="26" t="s">
        <v>13</v>
      </c>
      <c r="O140" s="26" t="s">
        <v>10</v>
      </c>
      <c r="P140" s="26" t="s">
        <v>9</v>
      </c>
      <c r="Q140" s="26" t="s">
        <v>10</v>
      </c>
      <c r="R140" s="26" t="s">
        <v>10</v>
      </c>
      <c r="S140" s="26" t="s">
        <v>1244</v>
      </c>
      <c r="T140" s="26" t="s">
        <v>1245</v>
      </c>
      <c r="U140" s="26">
        <v>0</v>
      </c>
    </row>
    <row r="141" spans="1:21">
      <c r="A141" s="48">
        <v>85</v>
      </c>
      <c r="B141" s="81">
        <v>1</v>
      </c>
      <c r="C141" s="81"/>
      <c r="D141" s="81"/>
      <c r="E141" s="80"/>
      <c r="F141" s="80"/>
      <c r="G141" s="26" t="s">
        <v>14</v>
      </c>
      <c r="H141" s="26" t="s">
        <v>280</v>
      </c>
      <c r="I141" s="26">
        <v>36</v>
      </c>
      <c r="J141" s="26">
        <v>154</v>
      </c>
      <c r="K141" s="26" t="s">
        <v>281</v>
      </c>
      <c r="L141" s="26" t="s">
        <v>36</v>
      </c>
      <c r="M141" s="26" t="s">
        <v>93</v>
      </c>
      <c r="N141" s="26" t="s">
        <v>68</v>
      </c>
      <c r="O141" s="26" t="s">
        <v>10</v>
      </c>
      <c r="P141" s="26" t="s">
        <v>9</v>
      </c>
      <c r="Q141" s="26" t="s">
        <v>29</v>
      </c>
      <c r="R141" s="26" t="s">
        <v>10</v>
      </c>
      <c r="S141" s="26" t="s">
        <v>282</v>
      </c>
      <c r="T141" s="26" t="s">
        <v>283</v>
      </c>
      <c r="U141" s="26">
        <v>0</v>
      </c>
    </row>
    <row r="142" spans="1:21">
      <c r="A142" s="48">
        <v>118</v>
      </c>
      <c r="B142" s="81"/>
      <c r="C142" s="81"/>
      <c r="D142" s="81"/>
      <c r="E142" s="80"/>
      <c r="F142" s="80"/>
      <c r="G142" s="36" t="s">
        <v>14</v>
      </c>
      <c r="H142" s="26" t="s">
        <v>158</v>
      </c>
      <c r="I142" s="26">
        <v>36</v>
      </c>
      <c r="J142" s="26">
        <v>170</v>
      </c>
      <c r="K142" s="26" t="s">
        <v>159</v>
      </c>
      <c r="L142" s="26" t="s">
        <v>465</v>
      </c>
      <c r="M142" s="26" t="s">
        <v>458</v>
      </c>
      <c r="N142" s="26" t="s">
        <v>148</v>
      </c>
      <c r="O142" s="26" t="s">
        <v>35</v>
      </c>
      <c r="P142" s="26" t="s">
        <v>9</v>
      </c>
      <c r="Q142" s="26" t="s">
        <v>10</v>
      </c>
      <c r="R142" s="26" t="s">
        <v>11</v>
      </c>
      <c r="S142" s="26" t="s">
        <v>160</v>
      </c>
      <c r="T142" s="26" t="s">
        <v>161</v>
      </c>
      <c r="U142" s="26">
        <v>0</v>
      </c>
    </row>
    <row r="143" spans="1:21">
      <c r="A143" s="48">
        <v>50</v>
      </c>
      <c r="B143" s="81"/>
      <c r="C143" s="81"/>
      <c r="D143" s="81"/>
      <c r="E143" s="80"/>
      <c r="F143" s="80"/>
      <c r="G143" s="36" t="s">
        <v>14</v>
      </c>
      <c r="H143" s="26" t="s">
        <v>498</v>
      </c>
      <c r="I143" s="26">
        <v>36</v>
      </c>
      <c r="J143" s="26">
        <v>168</v>
      </c>
      <c r="K143" s="26" t="s">
        <v>499</v>
      </c>
      <c r="L143" s="26" t="s">
        <v>462</v>
      </c>
      <c r="M143" s="26" t="s">
        <v>15</v>
      </c>
      <c r="N143" s="26" t="s">
        <v>81</v>
      </c>
      <c r="O143" s="26" t="s">
        <v>500</v>
      </c>
      <c r="P143" s="26" t="s">
        <v>9</v>
      </c>
      <c r="Q143" s="26" t="s">
        <v>10</v>
      </c>
      <c r="R143" s="26" t="s">
        <v>10</v>
      </c>
      <c r="S143" s="26" t="s">
        <v>501</v>
      </c>
      <c r="T143" s="26" t="s">
        <v>502</v>
      </c>
      <c r="U143" s="26">
        <v>0</v>
      </c>
    </row>
    <row r="144" spans="1:21">
      <c r="A144" s="48">
        <v>98</v>
      </c>
      <c r="B144" s="81"/>
      <c r="C144" s="81"/>
      <c r="D144" s="81"/>
      <c r="E144" s="80"/>
      <c r="F144" s="80"/>
      <c r="G144" s="47" t="s">
        <v>14</v>
      </c>
      <c r="H144" s="5" t="s">
        <v>211</v>
      </c>
      <c r="I144" s="50">
        <v>36</v>
      </c>
      <c r="J144" s="37">
        <v>166</v>
      </c>
      <c r="K144" s="4" t="s">
        <v>212</v>
      </c>
      <c r="L144" s="4" t="s">
        <v>36</v>
      </c>
      <c r="M144" s="4" t="s">
        <v>15</v>
      </c>
      <c r="N144" s="4" t="s">
        <v>71</v>
      </c>
      <c r="O144" s="4" t="s">
        <v>10</v>
      </c>
      <c r="P144" s="4" t="s">
        <v>9</v>
      </c>
      <c r="Q144" s="4" t="s">
        <v>29</v>
      </c>
      <c r="R144" s="4" t="s">
        <v>73</v>
      </c>
      <c r="S144" s="4" t="s">
        <v>213</v>
      </c>
      <c r="T144" s="4" t="s">
        <v>214</v>
      </c>
      <c r="U144" s="4" t="s">
        <v>215</v>
      </c>
    </row>
    <row r="145" spans="1:21">
      <c r="A145" s="48">
        <v>91</v>
      </c>
      <c r="B145" s="81"/>
      <c r="C145" s="81"/>
      <c r="D145" s="81"/>
      <c r="E145" s="80"/>
      <c r="F145" s="80"/>
      <c r="G145" s="26" t="s">
        <v>14</v>
      </c>
      <c r="H145" s="26" t="s">
        <v>405</v>
      </c>
      <c r="I145" s="26">
        <v>36</v>
      </c>
      <c r="J145" s="26">
        <v>164</v>
      </c>
      <c r="K145" s="26" t="s">
        <v>406</v>
      </c>
      <c r="L145" s="26" t="s">
        <v>466</v>
      </c>
      <c r="M145" s="26" t="s">
        <v>93</v>
      </c>
      <c r="N145" s="26" t="s">
        <v>252</v>
      </c>
      <c r="O145" s="26" t="s">
        <v>10</v>
      </c>
      <c r="P145" s="26" t="s">
        <v>9</v>
      </c>
      <c r="Q145" s="26" t="s">
        <v>29</v>
      </c>
      <c r="R145" s="26" t="s">
        <v>50</v>
      </c>
      <c r="S145" s="26" t="s">
        <v>407</v>
      </c>
      <c r="T145" s="26" t="s">
        <v>408</v>
      </c>
      <c r="U145" s="26">
        <v>0</v>
      </c>
    </row>
    <row r="146" spans="1:21">
      <c r="A146" s="48">
        <v>353</v>
      </c>
      <c r="B146" s="84"/>
      <c r="G146" s="26" t="s">
        <v>14</v>
      </c>
      <c r="H146" s="26" t="s">
        <v>2020</v>
      </c>
      <c r="I146" s="26">
        <v>36</v>
      </c>
      <c r="J146" s="26">
        <v>164</v>
      </c>
      <c r="K146" s="26" t="s">
        <v>2021</v>
      </c>
      <c r="L146" s="26" t="s">
        <v>465</v>
      </c>
      <c r="M146" s="26" t="s">
        <v>93</v>
      </c>
      <c r="N146" s="26" t="s">
        <v>18</v>
      </c>
      <c r="O146" s="26" t="s">
        <v>10</v>
      </c>
      <c r="P146" s="26" t="s">
        <v>9</v>
      </c>
      <c r="Q146" s="26" t="s">
        <v>29</v>
      </c>
      <c r="R146" s="26" t="s">
        <v>11</v>
      </c>
      <c r="S146" s="26" t="s">
        <v>2022</v>
      </c>
      <c r="T146" s="26" t="s">
        <v>2023</v>
      </c>
      <c r="U146" s="26">
        <v>0</v>
      </c>
    </row>
    <row r="147" spans="1:21">
      <c r="A147" s="48">
        <v>166</v>
      </c>
      <c r="B147" s="81"/>
      <c r="C147" s="81"/>
      <c r="D147" s="81"/>
      <c r="E147" s="80"/>
      <c r="F147" s="80"/>
      <c r="G147" s="36" t="s">
        <v>14</v>
      </c>
      <c r="H147" s="26" t="s">
        <v>895</v>
      </c>
      <c r="I147" s="26">
        <v>36</v>
      </c>
      <c r="J147" s="26">
        <v>161</v>
      </c>
      <c r="K147" s="26" t="s">
        <v>896</v>
      </c>
      <c r="L147" s="26" t="s">
        <v>466</v>
      </c>
      <c r="M147" s="26" t="s">
        <v>93</v>
      </c>
      <c r="N147" s="26" t="s">
        <v>59</v>
      </c>
      <c r="O147" s="26" t="s">
        <v>204</v>
      </c>
      <c r="P147" s="26" t="s">
        <v>9</v>
      </c>
      <c r="Q147" s="26" t="s">
        <v>29</v>
      </c>
      <c r="R147" s="26" t="s">
        <v>10</v>
      </c>
      <c r="S147" s="26" t="s">
        <v>897</v>
      </c>
      <c r="T147" s="26" t="s">
        <v>898</v>
      </c>
      <c r="U147" s="26">
        <v>0</v>
      </c>
    </row>
    <row r="148" spans="1:21">
      <c r="A148" s="48">
        <v>205</v>
      </c>
      <c r="B148" s="85"/>
      <c r="C148" s="85"/>
      <c r="D148" s="85"/>
      <c r="E148" s="80"/>
      <c r="F148" s="80"/>
      <c r="G148" s="36" t="s">
        <v>14</v>
      </c>
      <c r="H148" s="26" t="s">
        <v>197</v>
      </c>
      <c r="I148" s="26">
        <v>36</v>
      </c>
      <c r="J148" s="26">
        <v>161</v>
      </c>
      <c r="K148" s="26" t="s">
        <v>198</v>
      </c>
      <c r="L148" s="26" t="s">
        <v>36</v>
      </c>
      <c r="M148" s="26" t="s">
        <v>15</v>
      </c>
      <c r="N148" s="26" t="s">
        <v>80</v>
      </c>
      <c r="O148" s="26" t="s">
        <v>10</v>
      </c>
      <c r="P148" s="26" t="s">
        <v>9</v>
      </c>
      <c r="Q148" s="26" t="s">
        <v>10</v>
      </c>
      <c r="R148" s="26" t="s">
        <v>11</v>
      </c>
      <c r="S148" s="26" t="s">
        <v>199</v>
      </c>
      <c r="T148" s="26" t="s">
        <v>200</v>
      </c>
      <c r="U148" s="26">
        <v>0</v>
      </c>
    </row>
    <row r="149" spans="1:21">
      <c r="A149" s="48">
        <v>259</v>
      </c>
      <c r="B149" s="86"/>
      <c r="C149" s="86"/>
      <c r="D149" s="86"/>
      <c r="G149" s="26" t="s">
        <v>14</v>
      </c>
      <c r="H149" s="26" t="s">
        <v>1402</v>
      </c>
      <c r="I149" s="26">
        <v>36</v>
      </c>
      <c r="J149" s="26">
        <v>160</v>
      </c>
      <c r="K149" s="26" t="s">
        <v>196</v>
      </c>
      <c r="L149" s="26" t="s">
        <v>466</v>
      </c>
      <c r="M149" s="26" t="s">
        <v>93</v>
      </c>
      <c r="N149" s="26" t="s">
        <v>148</v>
      </c>
      <c r="O149" s="26" t="s">
        <v>1403</v>
      </c>
      <c r="P149" s="26" t="s">
        <v>9</v>
      </c>
      <c r="Q149" s="26" t="s">
        <v>29</v>
      </c>
      <c r="R149" s="26" t="s">
        <v>11</v>
      </c>
      <c r="S149" s="26" t="s">
        <v>1404</v>
      </c>
      <c r="T149" s="26" t="s">
        <v>1405</v>
      </c>
      <c r="U149" s="26"/>
    </row>
    <row r="150" spans="1:21">
      <c r="A150" s="48">
        <v>141</v>
      </c>
      <c r="B150" s="81"/>
      <c r="C150" s="81"/>
      <c r="D150" s="81"/>
      <c r="E150" s="80"/>
      <c r="F150" s="80"/>
      <c r="G150" s="26" t="s">
        <v>14</v>
      </c>
      <c r="H150" s="26" t="s">
        <v>512</v>
      </c>
      <c r="I150" s="26">
        <v>36</v>
      </c>
      <c r="J150" s="26">
        <v>160</v>
      </c>
      <c r="K150" s="26" t="s">
        <v>513</v>
      </c>
      <c r="L150" s="26" t="s">
        <v>461</v>
      </c>
      <c r="M150" s="26" t="s">
        <v>458</v>
      </c>
      <c r="N150" s="26" t="s">
        <v>66</v>
      </c>
      <c r="O150" s="26" t="s">
        <v>10</v>
      </c>
      <c r="P150" s="26" t="s">
        <v>75</v>
      </c>
      <c r="Q150" s="26" t="s">
        <v>29</v>
      </c>
      <c r="R150" s="26" t="s">
        <v>10</v>
      </c>
      <c r="S150" s="26" t="s">
        <v>514</v>
      </c>
      <c r="T150" s="26" t="s">
        <v>271</v>
      </c>
      <c r="U150" s="26">
        <v>0</v>
      </c>
    </row>
    <row r="151" spans="1:21">
      <c r="A151" s="48">
        <v>119</v>
      </c>
      <c r="B151" s="81"/>
      <c r="C151" s="81"/>
      <c r="D151" s="81"/>
      <c r="E151" s="80"/>
      <c r="F151" s="80"/>
      <c r="G151" s="36" t="s">
        <v>14</v>
      </c>
      <c r="H151" s="26" t="s">
        <v>508</v>
      </c>
      <c r="I151" s="26">
        <v>36</v>
      </c>
      <c r="J151" s="26">
        <v>160</v>
      </c>
      <c r="K151" s="26" t="s">
        <v>509</v>
      </c>
      <c r="L151" s="26" t="s">
        <v>461</v>
      </c>
      <c r="M151" s="26" t="s">
        <v>15</v>
      </c>
      <c r="N151" s="26" t="s">
        <v>13</v>
      </c>
      <c r="O151" s="26" t="s">
        <v>10</v>
      </c>
      <c r="P151" s="26" t="s">
        <v>9</v>
      </c>
      <c r="Q151" s="26" t="s">
        <v>10</v>
      </c>
      <c r="R151" s="26" t="s">
        <v>10</v>
      </c>
      <c r="S151" s="26" t="s">
        <v>510</v>
      </c>
      <c r="T151" s="26" t="s">
        <v>511</v>
      </c>
      <c r="U151" s="26">
        <v>0</v>
      </c>
    </row>
    <row r="152" spans="1:21">
      <c r="A152" s="48">
        <v>181</v>
      </c>
      <c r="B152" s="81"/>
      <c r="C152" s="81"/>
      <c r="D152" s="81"/>
      <c r="E152" s="80"/>
      <c r="F152" s="80"/>
      <c r="G152" s="26" t="s">
        <v>14</v>
      </c>
      <c r="H152" s="26" t="s">
        <v>580</v>
      </c>
      <c r="I152" s="26">
        <v>36</v>
      </c>
      <c r="J152" s="26">
        <v>156</v>
      </c>
      <c r="K152" s="26" t="s">
        <v>581</v>
      </c>
      <c r="L152" s="26" t="s">
        <v>466</v>
      </c>
      <c r="M152" s="26" t="s">
        <v>55</v>
      </c>
      <c r="N152" s="26" t="s">
        <v>582</v>
      </c>
      <c r="O152" s="26" t="s">
        <v>10</v>
      </c>
      <c r="P152" s="26" t="s">
        <v>56</v>
      </c>
      <c r="Q152" s="26" t="s">
        <v>10</v>
      </c>
      <c r="R152" s="26" t="s">
        <v>10</v>
      </c>
      <c r="S152" s="26" t="s">
        <v>583</v>
      </c>
      <c r="T152" s="26" t="s">
        <v>584</v>
      </c>
      <c r="U152" s="26">
        <v>0</v>
      </c>
    </row>
    <row r="153" spans="1:21">
      <c r="A153" s="48">
        <v>111</v>
      </c>
      <c r="B153" s="81"/>
      <c r="C153" s="81"/>
      <c r="D153" s="81"/>
      <c r="E153" s="80"/>
      <c r="F153" s="81"/>
      <c r="G153" s="36" t="s">
        <v>14</v>
      </c>
      <c r="H153" s="26" t="s">
        <v>1035</v>
      </c>
      <c r="I153" s="26">
        <v>36</v>
      </c>
      <c r="J153" s="26">
        <v>156</v>
      </c>
      <c r="K153" s="26" t="s">
        <v>1036</v>
      </c>
      <c r="L153" s="26" t="s">
        <v>36</v>
      </c>
      <c r="M153" s="26" t="s">
        <v>458</v>
      </c>
      <c r="N153" s="26" t="s">
        <v>1037</v>
      </c>
      <c r="O153" s="26" t="s">
        <v>10</v>
      </c>
      <c r="P153" s="26" t="s">
        <v>31</v>
      </c>
      <c r="Q153" s="26" t="s">
        <v>10</v>
      </c>
      <c r="R153" s="26" t="s">
        <v>196</v>
      </c>
      <c r="S153" s="26" t="s">
        <v>1038</v>
      </c>
      <c r="T153" s="26" t="s">
        <v>1039</v>
      </c>
      <c r="U153" s="26">
        <v>0</v>
      </c>
    </row>
    <row r="154" spans="1:21">
      <c r="A154" s="48">
        <v>172</v>
      </c>
      <c r="B154" s="81"/>
      <c r="C154" s="81"/>
      <c r="D154" s="81"/>
      <c r="E154" s="80"/>
      <c r="F154" s="81"/>
      <c r="G154" s="26" t="s">
        <v>14</v>
      </c>
      <c r="H154" s="26" t="s">
        <v>74</v>
      </c>
      <c r="I154" s="26">
        <v>36</v>
      </c>
      <c r="J154" s="26">
        <v>156</v>
      </c>
      <c r="K154" s="26" t="s">
        <v>1123</v>
      </c>
      <c r="L154" s="26" t="s">
        <v>464</v>
      </c>
      <c r="M154" s="26" t="s">
        <v>15</v>
      </c>
      <c r="N154" s="26" t="s">
        <v>68</v>
      </c>
      <c r="O154" s="26" t="s">
        <v>10</v>
      </c>
      <c r="P154" s="26" t="s">
        <v>9</v>
      </c>
      <c r="Q154" s="26" t="s">
        <v>29</v>
      </c>
      <c r="R154" s="26" t="s">
        <v>10</v>
      </c>
      <c r="S154" s="26" t="s">
        <v>89</v>
      </c>
      <c r="T154" s="26" t="s">
        <v>90</v>
      </c>
      <c r="U154" s="26">
        <v>0</v>
      </c>
    </row>
    <row r="155" spans="1:21">
      <c r="A155" s="48">
        <v>135</v>
      </c>
      <c r="B155" s="81"/>
      <c r="C155" s="81"/>
      <c r="D155" s="81"/>
      <c r="E155" s="80"/>
      <c r="F155" s="81"/>
      <c r="G155" s="36" t="s">
        <v>14</v>
      </c>
      <c r="H155" s="26" t="s">
        <v>859</v>
      </c>
      <c r="I155" s="26">
        <v>36</v>
      </c>
      <c r="J155" s="26">
        <v>155</v>
      </c>
      <c r="K155" s="26" t="s">
        <v>860</v>
      </c>
      <c r="L155" s="26" t="s">
        <v>36</v>
      </c>
      <c r="M155" s="26" t="s">
        <v>458</v>
      </c>
      <c r="N155" s="26" t="s">
        <v>80</v>
      </c>
      <c r="O155" s="26" t="s">
        <v>10</v>
      </c>
      <c r="P155" s="26" t="s">
        <v>9</v>
      </c>
      <c r="Q155" s="26" t="s">
        <v>10</v>
      </c>
      <c r="R155" s="26" t="s">
        <v>10</v>
      </c>
      <c r="S155" s="26" t="s">
        <v>861</v>
      </c>
      <c r="T155" s="26" t="s">
        <v>862</v>
      </c>
      <c r="U155" s="26">
        <v>0</v>
      </c>
    </row>
    <row r="156" spans="1:21">
      <c r="A156" s="48">
        <v>132</v>
      </c>
      <c r="B156" s="81"/>
      <c r="C156" s="81"/>
      <c r="D156" s="81"/>
      <c r="E156" s="80"/>
      <c r="F156" s="81"/>
      <c r="G156" s="36" t="s">
        <v>14</v>
      </c>
      <c r="H156" s="26" t="s">
        <v>595</v>
      </c>
      <c r="I156" s="26">
        <v>36</v>
      </c>
      <c r="J156" s="26">
        <v>155</v>
      </c>
      <c r="K156" s="26" t="s">
        <v>597</v>
      </c>
      <c r="L156" s="26" t="s">
        <v>36</v>
      </c>
      <c r="M156" s="26" t="s">
        <v>15</v>
      </c>
      <c r="N156" s="26" t="s">
        <v>59</v>
      </c>
      <c r="O156" s="26" t="s">
        <v>10</v>
      </c>
      <c r="P156" s="26" t="s">
        <v>20</v>
      </c>
      <c r="Q156" s="26" t="s">
        <v>10</v>
      </c>
      <c r="R156" s="26" t="s">
        <v>599</v>
      </c>
      <c r="S156" s="26" t="s">
        <v>598</v>
      </c>
      <c r="T156" s="26">
        <v>0</v>
      </c>
      <c r="U156" s="26">
        <v>0</v>
      </c>
    </row>
    <row r="157" spans="1:21">
      <c r="A157" s="48">
        <v>371</v>
      </c>
      <c r="B157" s="81">
        <v>1</v>
      </c>
      <c r="C157" s="81"/>
      <c r="D157" s="81"/>
      <c r="E157" s="80"/>
      <c r="F157" s="81"/>
      <c r="G157" s="26" t="s">
        <v>14</v>
      </c>
      <c r="H157" s="26" t="s">
        <v>904</v>
      </c>
      <c r="I157" s="26">
        <v>35</v>
      </c>
      <c r="J157" s="26">
        <v>160.30000000000001</v>
      </c>
      <c r="K157" s="26" t="s">
        <v>79</v>
      </c>
      <c r="L157" s="26" t="s">
        <v>466</v>
      </c>
      <c r="M157" s="26" t="s">
        <v>15</v>
      </c>
      <c r="N157" s="4" t="s">
        <v>76</v>
      </c>
      <c r="O157" s="4" t="s">
        <v>10</v>
      </c>
      <c r="P157" s="4" t="s">
        <v>9</v>
      </c>
      <c r="Q157" s="4" t="s">
        <v>10</v>
      </c>
      <c r="R157" s="4" t="s">
        <v>10</v>
      </c>
      <c r="S157" s="4" t="s">
        <v>1404</v>
      </c>
      <c r="T157" s="4" t="s">
        <v>2733</v>
      </c>
      <c r="U157" s="4">
        <v>0</v>
      </c>
    </row>
    <row r="158" spans="1:21">
      <c r="A158" s="48">
        <v>44</v>
      </c>
      <c r="B158" s="81">
        <v>1</v>
      </c>
      <c r="C158" s="81"/>
      <c r="D158" s="81"/>
      <c r="E158" s="80"/>
      <c r="F158" s="80"/>
      <c r="G158" s="26" t="s">
        <v>14</v>
      </c>
      <c r="H158" s="26" t="s">
        <v>1115</v>
      </c>
      <c r="I158" s="26">
        <v>35</v>
      </c>
      <c r="J158" s="26">
        <v>160</v>
      </c>
      <c r="K158" s="26" t="s">
        <v>1116</v>
      </c>
      <c r="L158" s="26" t="s">
        <v>465</v>
      </c>
      <c r="M158" s="26" t="s">
        <v>93</v>
      </c>
      <c r="N158" s="26" t="s">
        <v>37</v>
      </c>
      <c r="O158" s="26" t="s">
        <v>10</v>
      </c>
      <c r="P158" s="26" t="s">
        <v>31</v>
      </c>
      <c r="Q158" s="26" t="s">
        <v>29</v>
      </c>
      <c r="R158" s="26" t="s">
        <v>10</v>
      </c>
      <c r="S158" s="26" t="s">
        <v>1117</v>
      </c>
      <c r="T158" s="26" t="s">
        <v>1118</v>
      </c>
      <c r="U158" s="26">
        <v>0</v>
      </c>
    </row>
    <row r="159" spans="1:21">
      <c r="A159" s="48">
        <v>306</v>
      </c>
      <c r="B159" s="84" t="s">
        <v>1121</v>
      </c>
      <c r="C159" s="84"/>
      <c r="D159" s="84"/>
      <c r="G159" s="26" t="s">
        <v>14</v>
      </c>
      <c r="H159" s="26" t="s">
        <v>1650</v>
      </c>
      <c r="I159" s="26">
        <v>35</v>
      </c>
      <c r="J159" s="26">
        <v>167</v>
      </c>
      <c r="K159" s="26" t="s">
        <v>1651</v>
      </c>
      <c r="L159" s="26" t="s">
        <v>82</v>
      </c>
      <c r="M159" s="26" t="s">
        <v>55</v>
      </c>
      <c r="N159" s="26" t="s">
        <v>1749</v>
      </c>
      <c r="O159" s="26" t="s">
        <v>1692</v>
      </c>
      <c r="P159" s="26" t="s">
        <v>9</v>
      </c>
      <c r="Q159" s="26" t="s">
        <v>10</v>
      </c>
      <c r="R159" s="26" t="s">
        <v>69</v>
      </c>
      <c r="S159" s="26" t="s">
        <v>1693</v>
      </c>
      <c r="T159" s="26" t="s">
        <v>1694</v>
      </c>
      <c r="U159" s="26" t="s">
        <v>1695</v>
      </c>
    </row>
    <row r="160" spans="1:21">
      <c r="A160" s="48">
        <v>310</v>
      </c>
      <c r="B160" s="84" t="s">
        <v>1121</v>
      </c>
      <c r="C160" s="84"/>
      <c r="D160" s="84"/>
      <c r="G160" s="26" t="s">
        <v>14</v>
      </c>
      <c r="H160" s="26" t="s">
        <v>1656</v>
      </c>
      <c r="I160" s="26">
        <v>35</v>
      </c>
      <c r="J160" s="26">
        <v>153</v>
      </c>
      <c r="K160" s="26" t="s">
        <v>1657</v>
      </c>
      <c r="L160" s="26" t="s">
        <v>461</v>
      </c>
      <c r="M160" s="26" t="s">
        <v>93</v>
      </c>
      <c r="N160" s="26" t="s">
        <v>81</v>
      </c>
      <c r="O160" s="26" t="s">
        <v>10</v>
      </c>
      <c r="P160" s="26" t="s">
        <v>9</v>
      </c>
      <c r="Q160" s="26" t="s">
        <v>29</v>
      </c>
      <c r="R160" s="26" t="s">
        <v>10</v>
      </c>
      <c r="S160" s="26" t="s">
        <v>1701</v>
      </c>
      <c r="T160" s="26" t="s">
        <v>1702</v>
      </c>
      <c r="U160" s="26">
        <v>0</v>
      </c>
    </row>
    <row r="161" spans="1:21">
      <c r="A161" s="48">
        <v>303</v>
      </c>
      <c r="B161" s="84"/>
      <c r="C161" s="84"/>
      <c r="D161" s="84"/>
      <c r="G161" s="26" t="s">
        <v>14</v>
      </c>
      <c r="H161" s="26" t="s">
        <v>1643</v>
      </c>
      <c r="I161" s="26">
        <v>35</v>
      </c>
      <c r="J161" s="26">
        <v>170</v>
      </c>
      <c r="K161" s="26" t="s">
        <v>1644</v>
      </c>
      <c r="L161" s="26" t="s">
        <v>36</v>
      </c>
      <c r="M161" s="26" t="s">
        <v>93</v>
      </c>
      <c r="N161" s="26" t="s">
        <v>59</v>
      </c>
      <c r="O161" s="26" t="s">
        <v>10</v>
      </c>
      <c r="P161" s="26" t="s">
        <v>9</v>
      </c>
      <c r="Q161" s="26" t="s">
        <v>29</v>
      </c>
      <c r="R161" s="26" t="s">
        <v>10</v>
      </c>
      <c r="S161" s="26" t="s">
        <v>1687</v>
      </c>
      <c r="T161" s="26" t="s">
        <v>845</v>
      </c>
      <c r="U161" s="26">
        <v>0</v>
      </c>
    </row>
    <row r="162" spans="1:21">
      <c r="A162" s="48">
        <v>42</v>
      </c>
      <c r="B162" s="81"/>
      <c r="C162" s="81"/>
      <c r="D162" s="81"/>
      <c r="E162" s="80"/>
      <c r="F162" s="80"/>
      <c r="G162" s="36" t="s">
        <v>14</v>
      </c>
      <c r="H162" s="26" t="s">
        <v>904</v>
      </c>
      <c r="I162" s="26">
        <v>35</v>
      </c>
      <c r="J162" s="26">
        <v>170</v>
      </c>
      <c r="K162" s="26" t="s">
        <v>906</v>
      </c>
      <c r="L162" s="26" t="s">
        <v>36</v>
      </c>
      <c r="M162" s="26" t="s">
        <v>15</v>
      </c>
      <c r="N162" s="26" t="s">
        <v>907</v>
      </c>
      <c r="O162" s="26" t="s">
        <v>908</v>
      </c>
      <c r="P162" s="26" t="s">
        <v>75</v>
      </c>
      <c r="Q162" s="26" t="s">
        <v>29</v>
      </c>
      <c r="R162" s="26" t="s">
        <v>11</v>
      </c>
      <c r="S162" s="26" t="s">
        <v>909</v>
      </c>
      <c r="T162" s="26" t="s">
        <v>910</v>
      </c>
      <c r="U162" s="26">
        <v>0</v>
      </c>
    </row>
    <row r="163" spans="1:21">
      <c r="A163" s="48">
        <v>89</v>
      </c>
      <c r="B163" s="81"/>
      <c r="C163" s="81"/>
      <c r="D163" s="81"/>
      <c r="E163" s="80"/>
      <c r="F163" s="80"/>
      <c r="G163" s="36" t="s">
        <v>14</v>
      </c>
      <c r="H163" s="26" t="s">
        <v>1091</v>
      </c>
      <c r="I163" s="26">
        <v>35</v>
      </c>
      <c r="J163" s="26">
        <v>168</v>
      </c>
      <c r="K163" s="26" t="s">
        <v>1092</v>
      </c>
      <c r="L163" s="26" t="s">
        <v>461</v>
      </c>
      <c r="M163" s="26" t="s">
        <v>93</v>
      </c>
      <c r="N163" s="26" t="s">
        <v>72</v>
      </c>
      <c r="O163" s="26" t="s">
        <v>1093</v>
      </c>
      <c r="P163" s="26" t="s">
        <v>9</v>
      </c>
      <c r="Q163" s="26" t="s">
        <v>10</v>
      </c>
      <c r="R163" s="26" t="s">
        <v>10</v>
      </c>
      <c r="S163" s="26" t="s">
        <v>1094</v>
      </c>
      <c r="T163" s="26" t="s">
        <v>1095</v>
      </c>
      <c r="U163" s="26">
        <v>0</v>
      </c>
    </row>
    <row r="164" spans="1:21">
      <c r="A164" s="48">
        <v>67</v>
      </c>
      <c r="B164" s="81"/>
      <c r="C164" s="81"/>
      <c r="D164" s="81"/>
      <c r="E164" s="80"/>
      <c r="F164" s="80"/>
      <c r="G164" s="26" t="s">
        <v>14</v>
      </c>
      <c r="H164" s="26" t="s">
        <v>535</v>
      </c>
      <c r="I164" s="26">
        <v>35</v>
      </c>
      <c r="J164" s="26">
        <v>167</v>
      </c>
      <c r="K164" s="26" t="s">
        <v>536</v>
      </c>
      <c r="L164" s="26" t="s">
        <v>36</v>
      </c>
      <c r="M164" s="26" t="s">
        <v>93</v>
      </c>
      <c r="N164" s="26" t="s">
        <v>537</v>
      </c>
      <c r="O164" s="26" t="s">
        <v>10</v>
      </c>
      <c r="P164" s="26" t="s">
        <v>9</v>
      </c>
      <c r="Q164" s="26" t="s">
        <v>10</v>
      </c>
      <c r="R164" s="26" t="s">
        <v>79</v>
      </c>
      <c r="S164" s="26" t="s">
        <v>538</v>
      </c>
      <c r="T164" s="26" t="s">
        <v>539</v>
      </c>
      <c r="U164" s="26">
        <v>0</v>
      </c>
    </row>
    <row r="165" spans="1:21">
      <c r="A165" s="48">
        <v>150</v>
      </c>
      <c r="B165" s="81"/>
      <c r="C165" s="81"/>
      <c r="D165" s="81"/>
      <c r="E165" s="80"/>
      <c r="F165" s="80"/>
      <c r="G165" s="36" t="s">
        <v>14</v>
      </c>
      <c r="H165" s="26" t="s">
        <v>298</v>
      </c>
      <c r="I165" s="26">
        <v>35</v>
      </c>
      <c r="J165" s="26">
        <v>167</v>
      </c>
      <c r="K165" s="26" t="s">
        <v>299</v>
      </c>
      <c r="L165" s="26" t="s">
        <v>36</v>
      </c>
      <c r="M165" s="26" t="s">
        <v>93</v>
      </c>
      <c r="N165" s="26" t="s">
        <v>12</v>
      </c>
      <c r="O165" s="26" t="s">
        <v>19</v>
      </c>
      <c r="P165" s="26" t="s">
        <v>9</v>
      </c>
      <c r="Q165" s="26" t="s">
        <v>10</v>
      </c>
      <c r="R165" s="26" t="s">
        <v>10</v>
      </c>
      <c r="S165" s="26" t="s">
        <v>300</v>
      </c>
      <c r="T165" s="26" t="s">
        <v>301</v>
      </c>
      <c r="U165" s="26">
        <v>0</v>
      </c>
    </row>
    <row r="166" spans="1:21">
      <c r="A166" s="48">
        <v>40</v>
      </c>
      <c r="B166" s="81"/>
      <c r="C166" s="81"/>
      <c r="D166" s="81"/>
      <c r="E166" s="80"/>
      <c r="F166" s="80"/>
      <c r="G166" s="26" t="s">
        <v>14</v>
      </c>
      <c r="H166" s="26" t="s">
        <v>576</v>
      </c>
      <c r="I166" s="26">
        <v>35</v>
      </c>
      <c r="J166" s="26">
        <v>166</v>
      </c>
      <c r="K166" s="26" t="s">
        <v>577</v>
      </c>
      <c r="L166" s="26" t="s">
        <v>36</v>
      </c>
      <c r="M166" s="26" t="s">
        <v>93</v>
      </c>
      <c r="N166" s="26" t="s">
        <v>51</v>
      </c>
      <c r="O166" s="26" t="s">
        <v>253</v>
      </c>
      <c r="P166" s="26" t="s">
        <v>9</v>
      </c>
      <c r="Q166" s="26" t="s">
        <v>10</v>
      </c>
      <c r="R166" s="26" t="s">
        <v>11</v>
      </c>
      <c r="S166" s="26" t="s">
        <v>578</v>
      </c>
      <c r="T166" s="26" t="s">
        <v>579</v>
      </c>
      <c r="U166" s="26">
        <v>0</v>
      </c>
    </row>
    <row r="167" spans="1:21">
      <c r="A167" s="48">
        <v>360</v>
      </c>
      <c r="B167" s="81"/>
      <c r="C167" s="80"/>
      <c r="D167" s="80"/>
      <c r="G167" s="26" t="s">
        <v>14</v>
      </c>
      <c r="H167" s="26" t="s">
        <v>2072</v>
      </c>
      <c r="I167" s="26">
        <v>35</v>
      </c>
      <c r="J167" s="26">
        <v>163</v>
      </c>
      <c r="K167" s="26" t="s">
        <v>2073</v>
      </c>
      <c r="L167" s="4" t="s">
        <v>461</v>
      </c>
      <c r="M167" s="4" t="s">
        <v>15</v>
      </c>
      <c r="N167" s="4" t="s">
        <v>19</v>
      </c>
      <c r="O167" s="4" t="s">
        <v>10</v>
      </c>
      <c r="P167" s="4" t="s">
        <v>31</v>
      </c>
      <c r="Q167" s="4" t="s">
        <v>10</v>
      </c>
      <c r="R167" s="4" t="s">
        <v>10</v>
      </c>
      <c r="S167" s="4" t="s">
        <v>2074</v>
      </c>
      <c r="T167" s="4" t="s">
        <v>2075</v>
      </c>
      <c r="U167" s="4">
        <v>0</v>
      </c>
    </row>
    <row r="168" spans="1:21">
      <c r="A168" s="48">
        <v>309</v>
      </c>
      <c r="B168" s="84"/>
      <c r="C168" s="84"/>
      <c r="D168" s="84"/>
      <c r="G168" s="26" t="s">
        <v>14</v>
      </c>
      <c r="H168" s="26" t="s">
        <v>1654</v>
      </c>
      <c r="I168" s="26">
        <v>35</v>
      </c>
      <c r="J168" s="26">
        <v>160</v>
      </c>
      <c r="K168" s="26" t="s">
        <v>1655</v>
      </c>
      <c r="L168" s="26" t="s">
        <v>36</v>
      </c>
      <c r="M168" s="26" t="s">
        <v>15</v>
      </c>
      <c r="N168" s="26" t="s">
        <v>76</v>
      </c>
      <c r="O168" s="26" t="s">
        <v>10</v>
      </c>
      <c r="P168" s="26" t="s">
        <v>9</v>
      </c>
      <c r="Q168" s="26" t="s">
        <v>29</v>
      </c>
      <c r="R168" s="26" t="s">
        <v>73</v>
      </c>
      <c r="S168" s="26" t="s">
        <v>1404</v>
      </c>
      <c r="T168" s="26" t="s">
        <v>1700</v>
      </c>
      <c r="U168" s="26">
        <v>0</v>
      </c>
    </row>
    <row r="169" spans="1:21">
      <c r="A169" s="48">
        <v>299</v>
      </c>
      <c r="B169" s="84"/>
      <c r="C169" s="84"/>
      <c r="D169" s="84"/>
      <c r="G169" s="26" t="s">
        <v>14</v>
      </c>
      <c r="H169" s="26" t="s">
        <v>1634</v>
      </c>
      <c r="I169" s="26">
        <v>35</v>
      </c>
      <c r="J169" s="26">
        <v>160</v>
      </c>
      <c r="K169" s="26" t="s">
        <v>1636</v>
      </c>
      <c r="L169" s="26" t="s">
        <v>36</v>
      </c>
      <c r="M169" s="26" t="s">
        <v>93</v>
      </c>
      <c r="N169" s="26" t="s">
        <v>28</v>
      </c>
      <c r="O169" s="26" t="s">
        <v>10</v>
      </c>
      <c r="P169" s="26" t="s">
        <v>9</v>
      </c>
      <c r="Q169" s="26" t="s">
        <v>10</v>
      </c>
      <c r="R169" s="26" t="s">
        <v>10</v>
      </c>
      <c r="S169" s="26" t="s">
        <v>1677</v>
      </c>
      <c r="T169" s="26">
        <v>0</v>
      </c>
      <c r="U169" s="26">
        <v>0</v>
      </c>
    </row>
    <row r="170" spans="1:21">
      <c r="A170" s="48">
        <v>68</v>
      </c>
      <c r="B170" s="81"/>
      <c r="C170" s="81"/>
      <c r="D170" s="81"/>
      <c r="E170" s="80"/>
      <c r="F170" s="80"/>
      <c r="G170" s="36" t="s">
        <v>14</v>
      </c>
      <c r="H170" s="26" t="s">
        <v>256</v>
      </c>
      <c r="I170" s="26">
        <v>35</v>
      </c>
      <c r="J170" s="26">
        <v>160</v>
      </c>
      <c r="K170" s="26" t="s">
        <v>257</v>
      </c>
      <c r="L170" s="26" t="s">
        <v>462</v>
      </c>
      <c r="M170" s="26" t="s">
        <v>93</v>
      </c>
      <c r="N170" s="26" t="s">
        <v>35</v>
      </c>
      <c r="O170" s="26" t="s">
        <v>10</v>
      </c>
      <c r="P170" s="26" t="s">
        <v>9</v>
      </c>
      <c r="Q170" s="26" t="s">
        <v>10</v>
      </c>
      <c r="R170" s="26" t="s">
        <v>10</v>
      </c>
      <c r="S170" s="26" t="s">
        <v>258</v>
      </c>
      <c r="T170" s="26" t="s">
        <v>259</v>
      </c>
      <c r="U170" s="26" t="s">
        <v>260</v>
      </c>
    </row>
    <row r="171" spans="1:21">
      <c r="A171" s="48">
        <v>54</v>
      </c>
      <c r="B171" s="81"/>
      <c r="C171" s="81"/>
      <c r="D171" s="81"/>
      <c r="E171" s="80"/>
      <c r="F171" s="80"/>
      <c r="G171" s="5" t="s">
        <v>14</v>
      </c>
      <c r="H171" s="5" t="s">
        <v>94</v>
      </c>
      <c r="I171" s="50">
        <v>35</v>
      </c>
      <c r="J171" s="37">
        <v>160</v>
      </c>
      <c r="K171" s="4" t="s">
        <v>95</v>
      </c>
      <c r="L171" s="4" t="s">
        <v>36</v>
      </c>
      <c r="M171" s="4" t="s">
        <v>458</v>
      </c>
      <c r="N171" s="4" t="s">
        <v>83</v>
      </c>
      <c r="O171" s="4" t="s">
        <v>96</v>
      </c>
      <c r="P171" s="4" t="s">
        <v>9</v>
      </c>
      <c r="Q171" s="4" t="s">
        <v>29</v>
      </c>
      <c r="R171" s="4" t="s">
        <v>10</v>
      </c>
      <c r="S171" s="4" t="s">
        <v>97</v>
      </c>
      <c r="T171" s="4" t="s">
        <v>98</v>
      </c>
      <c r="U171" s="4">
        <v>0</v>
      </c>
    </row>
    <row r="172" spans="1:21">
      <c r="A172" s="48">
        <v>104</v>
      </c>
      <c r="B172" s="81"/>
      <c r="C172" s="81"/>
      <c r="D172" s="81"/>
      <c r="E172" s="80"/>
      <c r="F172" s="80"/>
      <c r="G172" s="26" t="s">
        <v>14</v>
      </c>
      <c r="H172" s="26" t="s">
        <v>693</v>
      </c>
      <c r="I172" s="26">
        <v>35</v>
      </c>
      <c r="J172" s="26">
        <v>159</v>
      </c>
      <c r="K172" s="26" t="s">
        <v>694</v>
      </c>
      <c r="L172" s="26" t="s">
        <v>36</v>
      </c>
      <c r="M172" s="26" t="s">
        <v>93</v>
      </c>
      <c r="N172" s="26" t="s">
        <v>695</v>
      </c>
      <c r="O172" s="26" t="s">
        <v>696</v>
      </c>
      <c r="P172" s="26" t="s">
        <v>9</v>
      </c>
      <c r="Q172" s="26" t="s">
        <v>29</v>
      </c>
      <c r="R172" s="26" t="s">
        <v>10</v>
      </c>
      <c r="S172" s="26" t="s">
        <v>336</v>
      </c>
      <c r="T172" s="26" t="s">
        <v>697</v>
      </c>
      <c r="U172" s="26">
        <v>0</v>
      </c>
    </row>
    <row r="173" spans="1:21">
      <c r="A173" s="48">
        <v>252</v>
      </c>
      <c r="B173" s="86"/>
      <c r="C173" s="86"/>
      <c r="D173" s="86"/>
      <c r="G173" s="26" t="s">
        <v>14</v>
      </c>
      <c r="H173" s="26" t="s">
        <v>1373</v>
      </c>
      <c r="I173" s="26">
        <v>35</v>
      </c>
      <c r="J173" s="26">
        <v>158</v>
      </c>
      <c r="K173" s="26" t="s">
        <v>1374</v>
      </c>
      <c r="L173" s="26" t="s">
        <v>36</v>
      </c>
      <c r="M173" s="26" t="s">
        <v>93</v>
      </c>
      <c r="N173" s="26" t="s">
        <v>12</v>
      </c>
      <c r="O173" s="26" t="s">
        <v>1375</v>
      </c>
      <c r="P173" s="26" t="s">
        <v>9</v>
      </c>
      <c r="Q173" s="26" t="s">
        <v>29</v>
      </c>
      <c r="R173" s="26" t="s">
        <v>10</v>
      </c>
      <c r="S173" s="26" t="s">
        <v>1376</v>
      </c>
      <c r="T173" s="26" t="s">
        <v>1377</v>
      </c>
      <c r="U173" s="26"/>
    </row>
    <row r="174" spans="1:21">
      <c r="A174" s="48">
        <v>59</v>
      </c>
      <c r="B174" s="81"/>
      <c r="C174" s="81"/>
      <c r="D174" s="81"/>
      <c r="E174" s="80"/>
      <c r="F174" s="80"/>
      <c r="G174" s="26" t="s">
        <v>14</v>
      </c>
      <c r="H174" s="26" t="s">
        <v>549</v>
      </c>
      <c r="I174" s="26">
        <v>35</v>
      </c>
      <c r="J174" s="26">
        <v>158</v>
      </c>
      <c r="K174" s="26" t="s">
        <v>551</v>
      </c>
      <c r="L174" s="26" t="s">
        <v>461</v>
      </c>
      <c r="M174" s="26" t="s">
        <v>15</v>
      </c>
      <c r="N174" s="26" t="s">
        <v>35</v>
      </c>
      <c r="O174" s="26" t="s">
        <v>552</v>
      </c>
      <c r="P174" s="26" t="s">
        <v>9</v>
      </c>
      <c r="Q174" s="26" t="s">
        <v>29</v>
      </c>
      <c r="R174" s="26" t="s">
        <v>79</v>
      </c>
      <c r="S174" s="26" t="s">
        <v>553</v>
      </c>
      <c r="T174" s="26" t="s">
        <v>554</v>
      </c>
      <c r="U174" s="26">
        <v>0</v>
      </c>
    </row>
    <row r="175" spans="1:21">
      <c r="A175" s="48">
        <v>25</v>
      </c>
      <c r="B175" s="81"/>
      <c r="C175" s="81"/>
      <c r="D175" s="81"/>
      <c r="E175" s="80"/>
      <c r="F175" s="81"/>
      <c r="G175" s="36" t="s">
        <v>14</v>
      </c>
      <c r="H175" s="26" t="s">
        <v>276</v>
      </c>
      <c r="I175" s="26">
        <v>35</v>
      </c>
      <c r="J175" s="26">
        <v>156</v>
      </c>
      <c r="K175" s="26" t="s">
        <v>277</v>
      </c>
      <c r="L175" s="26" t="s">
        <v>36</v>
      </c>
      <c r="M175" s="26" t="s">
        <v>55</v>
      </c>
      <c r="N175" s="26" t="s">
        <v>105</v>
      </c>
      <c r="O175" s="26" t="s">
        <v>10</v>
      </c>
      <c r="P175" s="26" t="s">
        <v>20</v>
      </c>
      <c r="Q175" s="26" t="s">
        <v>57</v>
      </c>
      <c r="R175" s="26" t="s">
        <v>10</v>
      </c>
      <c r="S175" s="26" t="s">
        <v>278</v>
      </c>
      <c r="T175" s="26" t="s">
        <v>279</v>
      </c>
      <c r="U175" s="26">
        <v>0</v>
      </c>
    </row>
    <row r="176" spans="1:21">
      <c r="A176" s="48">
        <v>15</v>
      </c>
      <c r="B176" s="81"/>
      <c r="C176" s="81"/>
      <c r="D176" s="81"/>
      <c r="E176" s="80"/>
      <c r="F176" s="80"/>
      <c r="G176" s="26" t="s">
        <v>14</v>
      </c>
      <c r="H176" s="26" t="s">
        <v>414</v>
      </c>
      <c r="I176" s="26">
        <v>35</v>
      </c>
      <c r="J176" s="26">
        <v>152</v>
      </c>
      <c r="K176" s="26" t="s">
        <v>415</v>
      </c>
      <c r="L176" s="26" t="s">
        <v>36</v>
      </c>
      <c r="M176" s="26" t="s">
        <v>55</v>
      </c>
      <c r="N176" s="26" t="s">
        <v>70</v>
      </c>
      <c r="O176" s="26" t="s">
        <v>10</v>
      </c>
      <c r="P176" s="26" t="s">
        <v>9</v>
      </c>
      <c r="Q176" s="26" t="s">
        <v>57</v>
      </c>
      <c r="R176" s="26" t="s">
        <v>10</v>
      </c>
      <c r="S176" s="26" t="s">
        <v>416</v>
      </c>
      <c r="T176" s="26" t="s">
        <v>417</v>
      </c>
      <c r="U176" s="26" t="s">
        <v>418</v>
      </c>
    </row>
    <row r="177" spans="1:21">
      <c r="A177" s="48">
        <v>188</v>
      </c>
      <c r="B177" s="81">
        <v>1</v>
      </c>
      <c r="C177" s="81"/>
      <c r="D177" s="81"/>
      <c r="E177" s="80"/>
      <c r="F177" s="80"/>
      <c r="G177" s="26" t="s">
        <v>14</v>
      </c>
      <c r="H177" s="26" t="s">
        <v>681</v>
      </c>
      <c r="I177" s="26">
        <v>34</v>
      </c>
      <c r="J177" s="26">
        <v>166</v>
      </c>
      <c r="K177" s="26" t="s">
        <v>682</v>
      </c>
      <c r="L177" s="26" t="s">
        <v>465</v>
      </c>
      <c r="M177" s="26" t="s">
        <v>93</v>
      </c>
      <c r="N177" s="26" t="s">
        <v>12</v>
      </c>
      <c r="O177" s="26" t="s">
        <v>10</v>
      </c>
      <c r="P177" s="26" t="s">
        <v>9</v>
      </c>
      <c r="Q177" s="26" t="s">
        <v>10</v>
      </c>
      <c r="R177" s="26" t="s">
        <v>10</v>
      </c>
      <c r="S177" s="26" t="s">
        <v>683</v>
      </c>
      <c r="T177" s="26" t="s">
        <v>684</v>
      </c>
      <c r="U177" s="26">
        <v>0</v>
      </c>
    </row>
    <row r="178" spans="1:21">
      <c r="A178" s="48">
        <v>116</v>
      </c>
      <c r="B178" s="81"/>
      <c r="C178" s="81"/>
      <c r="D178" s="81"/>
      <c r="E178" s="80"/>
      <c r="F178" s="80"/>
      <c r="G178" s="26" t="s">
        <v>14</v>
      </c>
      <c r="H178" s="26" t="s">
        <v>637</v>
      </c>
      <c r="I178" s="26">
        <v>34</v>
      </c>
      <c r="J178" s="26">
        <v>174</v>
      </c>
      <c r="K178" s="26" t="s">
        <v>638</v>
      </c>
      <c r="L178" s="26" t="s">
        <v>36</v>
      </c>
      <c r="M178" s="26" t="s">
        <v>65</v>
      </c>
      <c r="N178" s="26" t="s">
        <v>68</v>
      </c>
      <c r="O178" s="26" t="s">
        <v>639</v>
      </c>
      <c r="P178" s="26" t="s">
        <v>9</v>
      </c>
      <c r="Q178" s="26" t="s">
        <v>10</v>
      </c>
      <c r="R178" s="26" t="s">
        <v>10</v>
      </c>
      <c r="S178" s="26" t="s">
        <v>640</v>
      </c>
      <c r="T178" s="26" t="s">
        <v>641</v>
      </c>
      <c r="U178" s="26">
        <v>0</v>
      </c>
    </row>
    <row r="179" spans="1:21">
      <c r="A179" s="48">
        <v>318</v>
      </c>
      <c r="B179" s="81"/>
      <c r="C179" s="81"/>
      <c r="D179" s="81"/>
      <c r="E179" s="80"/>
      <c r="F179" s="80"/>
      <c r="G179" s="36" t="s">
        <v>14</v>
      </c>
      <c r="H179" s="26" t="s">
        <v>1769</v>
      </c>
      <c r="I179" s="26">
        <v>34</v>
      </c>
      <c r="J179" s="26">
        <v>170</v>
      </c>
      <c r="K179" s="26" t="s">
        <v>1770</v>
      </c>
      <c r="L179" s="26" t="s">
        <v>462</v>
      </c>
      <c r="M179" s="26" t="s">
        <v>93</v>
      </c>
      <c r="N179" s="26" t="s">
        <v>28</v>
      </c>
      <c r="O179" s="26" t="s">
        <v>10</v>
      </c>
      <c r="P179" s="26" t="s">
        <v>9</v>
      </c>
      <c r="Q179" s="26" t="s">
        <v>10</v>
      </c>
      <c r="R179" s="26" t="s">
        <v>11</v>
      </c>
      <c r="S179" s="26" t="s">
        <v>1771</v>
      </c>
      <c r="T179" s="26" t="s">
        <v>1772</v>
      </c>
      <c r="U179" s="26" t="s">
        <v>1773</v>
      </c>
    </row>
    <row r="180" spans="1:21">
      <c r="A180" s="48">
        <v>81</v>
      </c>
      <c r="B180" s="81"/>
      <c r="C180" s="81"/>
      <c r="D180" s="81"/>
      <c r="E180" s="80"/>
      <c r="F180" s="80"/>
      <c r="G180" s="36" t="s">
        <v>14</v>
      </c>
      <c r="H180" s="26" t="s">
        <v>367</v>
      </c>
      <c r="I180" s="26">
        <v>34</v>
      </c>
      <c r="J180" s="26">
        <v>168</v>
      </c>
      <c r="K180" s="26" t="s">
        <v>368</v>
      </c>
      <c r="L180" s="26" t="s">
        <v>36</v>
      </c>
      <c r="M180" s="26" t="s">
        <v>93</v>
      </c>
      <c r="N180" s="26" t="s">
        <v>13</v>
      </c>
      <c r="O180" s="26" t="s">
        <v>369</v>
      </c>
      <c r="P180" s="26" t="s">
        <v>31</v>
      </c>
      <c r="Q180" s="26" t="s">
        <v>10</v>
      </c>
      <c r="R180" s="26" t="s">
        <v>372</v>
      </c>
      <c r="S180" s="26" t="s">
        <v>370</v>
      </c>
      <c r="T180" s="26" t="s">
        <v>371</v>
      </c>
      <c r="U180" s="26">
        <v>0</v>
      </c>
    </row>
    <row r="181" spans="1:21">
      <c r="A181" s="48">
        <v>278</v>
      </c>
      <c r="G181" s="26" t="s">
        <v>14</v>
      </c>
      <c r="H181" s="26" t="s">
        <v>1513</v>
      </c>
      <c r="I181" s="26">
        <v>34</v>
      </c>
      <c r="J181" s="26">
        <v>167</v>
      </c>
      <c r="K181" s="26" t="s">
        <v>1515</v>
      </c>
      <c r="L181" s="26" t="s">
        <v>462</v>
      </c>
      <c r="M181" s="26" t="s">
        <v>93</v>
      </c>
      <c r="N181" s="26" t="s">
        <v>24</v>
      </c>
      <c r="O181" s="26" t="s">
        <v>10</v>
      </c>
      <c r="P181" s="26" t="s">
        <v>20</v>
      </c>
      <c r="Q181" s="26" t="s">
        <v>10</v>
      </c>
      <c r="R181" s="26" t="s">
        <v>10</v>
      </c>
      <c r="S181" s="26" t="s">
        <v>1516</v>
      </c>
      <c r="T181" s="26" t="s">
        <v>1517</v>
      </c>
      <c r="U181" s="26">
        <v>0</v>
      </c>
    </row>
    <row r="182" spans="1:21">
      <c r="A182" s="48">
        <v>250</v>
      </c>
      <c r="B182" s="86"/>
      <c r="C182" s="86"/>
      <c r="D182" s="86"/>
      <c r="G182" s="26" t="s">
        <v>14</v>
      </c>
      <c r="H182" s="26" t="s">
        <v>1362</v>
      </c>
      <c r="I182" s="26">
        <v>34</v>
      </c>
      <c r="J182" s="26">
        <v>165</v>
      </c>
      <c r="K182" s="26" t="s">
        <v>1363</v>
      </c>
      <c r="L182" s="26" t="s">
        <v>36</v>
      </c>
      <c r="M182" s="26" t="s">
        <v>93</v>
      </c>
      <c r="N182" s="26" t="s">
        <v>469</v>
      </c>
      <c r="O182" s="26" t="s">
        <v>1364</v>
      </c>
      <c r="P182" s="26" t="s">
        <v>9</v>
      </c>
      <c r="Q182" s="26" t="s">
        <v>57</v>
      </c>
      <c r="R182" s="26" t="s">
        <v>1367</v>
      </c>
      <c r="S182" s="26" t="s">
        <v>1365</v>
      </c>
      <c r="T182" s="26" t="s">
        <v>1366</v>
      </c>
      <c r="U182" s="26"/>
    </row>
    <row r="183" spans="1:21">
      <c r="A183" s="1">
        <v>211</v>
      </c>
      <c r="B183" s="85"/>
      <c r="C183" s="85"/>
      <c r="D183" s="85"/>
      <c r="E183" s="80"/>
      <c r="F183" s="80"/>
      <c r="G183" s="26" t="s">
        <v>14</v>
      </c>
      <c r="H183" s="26" t="s">
        <v>1130</v>
      </c>
      <c r="I183" s="26">
        <v>34</v>
      </c>
      <c r="J183" s="26">
        <v>165</v>
      </c>
      <c r="K183" s="26" t="s">
        <v>1152</v>
      </c>
      <c r="L183" s="26" t="s">
        <v>82</v>
      </c>
      <c r="M183" s="26" t="s">
        <v>93</v>
      </c>
      <c r="N183" s="26" t="s">
        <v>28</v>
      </c>
      <c r="O183" s="26" t="s">
        <v>10</v>
      </c>
      <c r="P183" s="26" t="s">
        <v>9</v>
      </c>
      <c r="Q183" s="26" t="s">
        <v>29</v>
      </c>
      <c r="R183" s="26" t="s">
        <v>11</v>
      </c>
      <c r="S183" s="26" t="s">
        <v>1153</v>
      </c>
      <c r="T183" s="26" t="s">
        <v>1154</v>
      </c>
      <c r="U183" s="26" t="s">
        <v>1127</v>
      </c>
    </row>
    <row r="184" spans="1:21">
      <c r="A184" s="48">
        <v>291</v>
      </c>
      <c r="B184" s="84"/>
      <c r="C184" s="84"/>
      <c r="D184" s="84"/>
      <c r="G184" s="26" t="s">
        <v>14</v>
      </c>
      <c r="H184" s="26" t="s">
        <v>1563</v>
      </c>
      <c r="I184" s="26">
        <v>34</v>
      </c>
      <c r="J184" s="26">
        <v>164</v>
      </c>
      <c r="K184" s="26" t="s">
        <v>11</v>
      </c>
      <c r="L184" s="26" t="s">
        <v>82</v>
      </c>
      <c r="M184" s="26" t="s">
        <v>93</v>
      </c>
      <c r="N184" s="26" t="s">
        <v>203</v>
      </c>
      <c r="O184" s="26" t="s">
        <v>10</v>
      </c>
      <c r="P184" s="26" t="s">
        <v>9</v>
      </c>
      <c r="Q184" s="26" t="s">
        <v>29</v>
      </c>
      <c r="R184" s="26" t="s">
        <v>10</v>
      </c>
      <c r="S184" s="26" t="s">
        <v>1564</v>
      </c>
      <c r="T184" s="26">
        <v>0</v>
      </c>
      <c r="U184" s="26">
        <v>0</v>
      </c>
    </row>
    <row r="185" spans="1:21">
      <c r="A185" s="48">
        <v>339</v>
      </c>
      <c r="B185" s="84"/>
      <c r="C185" s="84"/>
      <c r="D185" s="84"/>
      <c r="G185" s="36" t="s">
        <v>14</v>
      </c>
      <c r="H185" s="26" t="s">
        <v>1902</v>
      </c>
      <c r="I185" s="26">
        <v>34</v>
      </c>
      <c r="J185" s="26">
        <v>164</v>
      </c>
      <c r="K185" s="26" t="s">
        <v>1906</v>
      </c>
      <c r="L185" s="26" t="s">
        <v>1903</v>
      </c>
      <c r="M185" s="26" t="s">
        <v>55</v>
      </c>
      <c r="N185" s="26" t="s">
        <v>59</v>
      </c>
      <c r="O185" s="26" t="s">
        <v>10</v>
      </c>
      <c r="P185" s="26" t="s">
        <v>56</v>
      </c>
      <c r="Q185" s="26" t="s">
        <v>57</v>
      </c>
      <c r="R185" s="26">
        <v>0</v>
      </c>
      <c r="S185" s="26" t="s">
        <v>1905</v>
      </c>
      <c r="T185" s="26" t="s">
        <v>1904</v>
      </c>
      <c r="U185" s="26">
        <v>0</v>
      </c>
    </row>
    <row r="186" spans="1:21">
      <c r="A186" s="48">
        <v>136</v>
      </c>
      <c r="B186" s="81"/>
      <c r="C186" s="81"/>
      <c r="D186" s="81"/>
      <c r="E186" s="80"/>
      <c r="F186" s="80"/>
      <c r="G186" s="36" t="s">
        <v>14</v>
      </c>
      <c r="H186" s="26" t="s">
        <v>750</v>
      </c>
      <c r="I186" s="26">
        <v>34</v>
      </c>
      <c r="J186" s="26">
        <v>163</v>
      </c>
      <c r="K186" s="26" t="s">
        <v>79</v>
      </c>
      <c r="L186" s="26" t="s">
        <v>765</v>
      </c>
      <c r="M186" s="26" t="s">
        <v>93</v>
      </c>
      <c r="N186" s="26" t="s">
        <v>469</v>
      </c>
      <c r="O186" s="26" t="s">
        <v>10</v>
      </c>
      <c r="P186" s="26" t="s">
        <v>9</v>
      </c>
      <c r="Q186" s="26" t="s">
        <v>10</v>
      </c>
      <c r="R186" s="26" t="s">
        <v>10</v>
      </c>
      <c r="S186" s="26" t="s">
        <v>751</v>
      </c>
      <c r="T186" s="26" t="s">
        <v>752</v>
      </c>
      <c r="U186" s="26" t="s">
        <v>753</v>
      </c>
    </row>
    <row r="187" spans="1:21">
      <c r="A187" s="48">
        <v>293</v>
      </c>
      <c r="B187" s="84"/>
      <c r="C187" s="84"/>
      <c r="D187" s="84"/>
      <c r="G187" s="26" t="s">
        <v>14</v>
      </c>
      <c r="H187" s="26" t="s">
        <v>1567</v>
      </c>
      <c r="I187" s="26">
        <v>34</v>
      </c>
      <c r="J187" s="26">
        <v>162</v>
      </c>
      <c r="K187" s="26" t="s">
        <v>1569</v>
      </c>
      <c r="L187" s="26" t="s">
        <v>1620</v>
      </c>
      <c r="M187" s="26" t="s">
        <v>93</v>
      </c>
      <c r="N187" s="26" t="s">
        <v>68</v>
      </c>
      <c r="O187" s="26" t="s">
        <v>10</v>
      </c>
      <c r="P187" s="26" t="s">
        <v>9</v>
      </c>
      <c r="Q187" s="26" t="s">
        <v>29</v>
      </c>
      <c r="R187" s="26" t="s">
        <v>11</v>
      </c>
      <c r="S187" s="26" t="s">
        <v>1570</v>
      </c>
      <c r="T187" s="26" t="s">
        <v>1571</v>
      </c>
      <c r="U187" s="26">
        <v>0</v>
      </c>
    </row>
    <row r="188" spans="1:21">
      <c r="A188" s="48">
        <v>260</v>
      </c>
      <c r="B188" s="89"/>
      <c r="C188" s="89"/>
      <c r="D188" s="89"/>
      <c r="G188" s="26" t="s">
        <v>14</v>
      </c>
      <c r="H188" s="26" t="s">
        <v>1436</v>
      </c>
      <c r="I188" s="26">
        <v>34</v>
      </c>
      <c r="J188" s="26">
        <v>161</v>
      </c>
      <c r="K188" s="26" t="s">
        <v>1437</v>
      </c>
      <c r="L188" s="26" t="s">
        <v>36</v>
      </c>
      <c r="M188" s="26" t="s">
        <v>93</v>
      </c>
      <c r="N188" s="26" t="s">
        <v>23</v>
      </c>
      <c r="O188" s="26" t="s">
        <v>1004</v>
      </c>
      <c r="P188" s="26" t="s">
        <v>9</v>
      </c>
      <c r="Q188" s="26" t="s">
        <v>10</v>
      </c>
      <c r="R188" s="26" t="s">
        <v>10</v>
      </c>
      <c r="S188" s="26" t="s">
        <v>1438</v>
      </c>
      <c r="T188" s="26" t="s">
        <v>1439</v>
      </c>
      <c r="U188" s="26" t="s">
        <v>1440</v>
      </c>
    </row>
    <row r="189" spans="1:21">
      <c r="A189" s="48">
        <v>177</v>
      </c>
      <c r="B189" s="81"/>
      <c r="C189" s="81"/>
      <c r="D189" s="81"/>
      <c r="E189" s="80"/>
      <c r="F189" s="80"/>
      <c r="G189" s="36" t="s">
        <v>14</v>
      </c>
      <c r="H189" s="26" t="s">
        <v>815</v>
      </c>
      <c r="I189" s="26">
        <v>34</v>
      </c>
      <c r="J189" s="26">
        <v>160</v>
      </c>
      <c r="K189" s="26" t="s">
        <v>816</v>
      </c>
      <c r="L189" s="26" t="s">
        <v>36</v>
      </c>
      <c r="M189" s="26" t="s">
        <v>93</v>
      </c>
      <c r="N189" s="26" t="s">
        <v>105</v>
      </c>
      <c r="O189" s="26" t="s">
        <v>817</v>
      </c>
      <c r="P189" s="26" t="s">
        <v>9</v>
      </c>
      <c r="Q189" s="26" t="s">
        <v>57</v>
      </c>
      <c r="R189" s="26" t="s">
        <v>11</v>
      </c>
      <c r="S189" s="26" t="s">
        <v>818</v>
      </c>
      <c r="T189" s="26" t="s">
        <v>819</v>
      </c>
      <c r="U189" s="26">
        <v>0</v>
      </c>
    </row>
    <row r="190" spans="1:21">
      <c r="A190" s="48">
        <v>7</v>
      </c>
      <c r="B190" s="81"/>
      <c r="C190" s="81"/>
      <c r="D190" s="81"/>
      <c r="E190" s="80"/>
      <c r="F190" s="80"/>
      <c r="G190" s="36" t="s">
        <v>14</v>
      </c>
      <c r="H190" s="26" t="s">
        <v>77</v>
      </c>
      <c r="I190" s="26">
        <v>34</v>
      </c>
      <c r="J190" s="26">
        <v>160</v>
      </c>
      <c r="K190" s="26" t="s">
        <v>150</v>
      </c>
      <c r="L190" s="26" t="s">
        <v>461</v>
      </c>
      <c r="M190" s="26" t="s">
        <v>15</v>
      </c>
      <c r="N190" s="26" t="s">
        <v>35</v>
      </c>
      <c r="O190" s="26" t="s">
        <v>10</v>
      </c>
      <c r="P190" s="26" t="s">
        <v>75</v>
      </c>
      <c r="Q190" s="26" t="s">
        <v>29</v>
      </c>
      <c r="R190" s="26" t="s">
        <v>133</v>
      </c>
      <c r="S190" s="26" t="s">
        <v>78</v>
      </c>
      <c r="T190" s="26" t="s">
        <v>151</v>
      </c>
      <c r="U190" s="26" t="s">
        <v>152</v>
      </c>
    </row>
    <row r="191" spans="1:21">
      <c r="A191" s="48">
        <v>182</v>
      </c>
      <c r="B191" s="81"/>
      <c r="C191" s="81"/>
      <c r="D191" s="81"/>
      <c r="E191" s="80"/>
      <c r="F191" s="80"/>
      <c r="G191" s="26" t="s">
        <v>14</v>
      </c>
      <c r="H191" s="26" t="s">
        <v>326</v>
      </c>
      <c r="I191" s="26">
        <v>34</v>
      </c>
      <c r="J191" s="26">
        <v>160</v>
      </c>
      <c r="K191" s="26" t="s">
        <v>328</v>
      </c>
      <c r="L191" s="26" t="s">
        <v>462</v>
      </c>
      <c r="M191" s="26" t="s">
        <v>463</v>
      </c>
      <c r="N191" s="26" t="s">
        <v>329</v>
      </c>
      <c r="O191" s="26" t="s">
        <v>330</v>
      </c>
      <c r="P191" s="26" t="s">
        <v>61</v>
      </c>
      <c r="Q191" s="26" t="s">
        <v>10</v>
      </c>
      <c r="R191" s="26" t="s">
        <v>333</v>
      </c>
      <c r="S191" s="26" t="s">
        <v>331</v>
      </c>
      <c r="T191" s="26" t="s">
        <v>332</v>
      </c>
      <c r="U191" s="26">
        <v>0</v>
      </c>
    </row>
    <row r="192" spans="1:21">
      <c r="A192" s="48">
        <v>185</v>
      </c>
      <c r="B192" s="81"/>
      <c r="C192" s="81"/>
      <c r="D192" s="81"/>
      <c r="E192" s="80"/>
      <c r="F192" s="80"/>
      <c r="G192" s="36" t="s">
        <v>14</v>
      </c>
      <c r="H192" s="26" t="s">
        <v>1101</v>
      </c>
      <c r="I192" s="26">
        <v>34</v>
      </c>
      <c r="J192" s="26">
        <v>160</v>
      </c>
      <c r="K192" s="26" t="s">
        <v>1102</v>
      </c>
      <c r="L192" s="26" t="s">
        <v>25</v>
      </c>
      <c r="M192" s="26" t="s">
        <v>15</v>
      </c>
      <c r="N192" s="26" t="s">
        <v>18</v>
      </c>
      <c r="O192" s="26" t="s">
        <v>10</v>
      </c>
      <c r="P192" s="26" t="s">
        <v>75</v>
      </c>
      <c r="Q192" s="26" t="s">
        <v>57</v>
      </c>
      <c r="R192" s="26" t="s">
        <v>11</v>
      </c>
      <c r="S192" s="26" t="s">
        <v>1103</v>
      </c>
      <c r="T192" s="26" t="s">
        <v>1104</v>
      </c>
      <c r="U192" s="26">
        <v>0</v>
      </c>
    </row>
    <row r="193" spans="1:21">
      <c r="A193" s="48">
        <v>8</v>
      </c>
      <c r="B193" s="81"/>
      <c r="C193" s="81"/>
      <c r="D193" s="81"/>
      <c r="E193" s="80"/>
      <c r="F193" s="80"/>
      <c r="G193" s="26" t="s">
        <v>14</v>
      </c>
      <c r="H193" s="26" t="s">
        <v>698</v>
      </c>
      <c r="I193" s="26">
        <v>34</v>
      </c>
      <c r="J193" s="26">
        <v>158</v>
      </c>
      <c r="K193" s="26" t="s">
        <v>699</v>
      </c>
      <c r="L193" s="26" t="s">
        <v>36</v>
      </c>
      <c r="M193" s="26" t="s">
        <v>458</v>
      </c>
      <c r="N193" s="26" t="s">
        <v>30</v>
      </c>
      <c r="O193" s="26" t="s">
        <v>10</v>
      </c>
      <c r="P193" s="26" t="s">
        <v>49</v>
      </c>
      <c r="Q193" s="26" t="s">
        <v>10</v>
      </c>
      <c r="R193" s="26" t="s">
        <v>702</v>
      </c>
      <c r="S193" s="26" t="s">
        <v>700</v>
      </c>
      <c r="T193" s="26" t="s">
        <v>701</v>
      </c>
      <c r="U193" s="26">
        <v>0</v>
      </c>
    </row>
    <row r="194" spans="1:21">
      <c r="A194" s="48">
        <v>186</v>
      </c>
      <c r="B194" s="81">
        <v>1</v>
      </c>
      <c r="C194" s="81"/>
      <c r="D194" s="81"/>
      <c r="E194" s="80"/>
      <c r="F194" s="80"/>
      <c r="G194" s="26" t="s">
        <v>14</v>
      </c>
      <c r="H194" s="26" t="s">
        <v>387</v>
      </c>
      <c r="I194" s="26">
        <v>33</v>
      </c>
      <c r="J194" s="26">
        <v>157</v>
      </c>
      <c r="K194" s="26" t="s">
        <v>389</v>
      </c>
      <c r="L194" s="26" t="s">
        <v>25</v>
      </c>
      <c r="M194" s="26" t="s">
        <v>55</v>
      </c>
      <c r="N194" s="26" t="s">
        <v>13</v>
      </c>
      <c r="O194" s="26" t="s">
        <v>390</v>
      </c>
      <c r="P194" s="26" t="s">
        <v>9</v>
      </c>
      <c r="Q194" s="26" t="s">
        <v>10</v>
      </c>
      <c r="R194" s="26" t="s">
        <v>10</v>
      </c>
      <c r="S194" s="26" t="s">
        <v>391</v>
      </c>
      <c r="T194" s="26" t="s">
        <v>392</v>
      </c>
      <c r="U194" s="26">
        <v>0</v>
      </c>
    </row>
    <row r="195" spans="1:21">
      <c r="A195" s="107">
        <v>362</v>
      </c>
      <c r="B195" s="81"/>
      <c r="C195" s="81"/>
      <c r="D195" s="81"/>
      <c r="E195" s="80"/>
      <c r="F195" s="81"/>
      <c r="G195" s="26" t="s">
        <v>14</v>
      </c>
      <c r="H195" s="26" t="s">
        <v>595</v>
      </c>
      <c r="I195" s="26">
        <v>33</v>
      </c>
      <c r="J195" s="26">
        <v>175</v>
      </c>
      <c r="K195" s="26" t="s">
        <v>2633</v>
      </c>
      <c r="L195" s="26" t="s">
        <v>465</v>
      </c>
      <c r="M195" s="26" t="s">
        <v>93</v>
      </c>
      <c r="N195" s="4" t="s">
        <v>12</v>
      </c>
      <c r="O195" s="4" t="s">
        <v>10</v>
      </c>
      <c r="P195" s="4" t="s">
        <v>31</v>
      </c>
      <c r="Q195" s="4" t="s">
        <v>10</v>
      </c>
      <c r="R195" s="4" t="s">
        <v>10</v>
      </c>
      <c r="S195" s="4" t="s">
        <v>2705</v>
      </c>
      <c r="T195" s="4" t="s">
        <v>2079</v>
      </c>
      <c r="U195" s="4">
        <v>0</v>
      </c>
    </row>
    <row r="196" spans="1:21">
      <c r="A196" s="48">
        <v>175</v>
      </c>
      <c r="B196" s="81"/>
      <c r="C196" s="81"/>
      <c r="D196" s="81"/>
      <c r="E196" s="80"/>
      <c r="F196" s="80"/>
      <c r="G196" s="36" t="s">
        <v>14</v>
      </c>
      <c r="H196" s="26" t="s">
        <v>544</v>
      </c>
      <c r="I196" s="26">
        <v>33</v>
      </c>
      <c r="J196" s="26">
        <v>166</v>
      </c>
      <c r="K196" s="26" t="s">
        <v>545</v>
      </c>
      <c r="L196" s="26" t="s">
        <v>462</v>
      </c>
      <c r="M196" s="26" t="s">
        <v>65</v>
      </c>
      <c r="N196" s="26" t="s">
        <v>66</v>
      </c>
      <c r="O196" s="26" t="s">
        <v>546</v>
      </c>
      <c r="P196" s="26" t="s">
        <v>9</v>
      </c>
      <c r="Q196" s="26" t="s">
        <v>10</v>
      </c>
      <c r="R196" s="26" t="s">
        <v>11</v>
      </c>
      <c r="S196" s="26" t="s">
        <v>547</v>
      </c>
      <c r="T196" s="26" t="s">
        <v>548</v>
      </c>
      <c r="U196" s="26">
        <v>0</v>
      </c>
    </row>
    <row r="197" spans="1:21">
      <c r="A197" s="48">
        <v>101</v>
      </c>
      <c r="B197" s="81"/>
      <c r="C197" s="81"/>
      <c r="D197" s="81"/>
      <c r="E197" s="80"/>
      <c r="F197" s="80"/>
      <c r="G197" s="26" t="s">
        <v>14</v>
      </c>
      <c r="H197" s="26" t="s">
        <v>740</v>
      </c>
      <c r="I197" s="26">
        <v>33</v>
      </c>
      <c r="J197" s="26">
        <v>165</v>
      </c>
      <c r="K197" s="26" t="s">
        <v>741</v>
      </c>
      <c r="L197" s="26" t="s">
        <v>25</v>
      </c>
      <c r="M197" s="26" t="s">
        <v>93</v>
      </c>
      <c r="N197" s="26" t="s">
        <v>12</v>
      </c>
      <c r="O197" s="26" t="s">
        <v>10</v>
      </c>
      <c r="P197" s="26" t="s">
        <v>9</v>
      </c>
      <c r="Q197" s="26" t="s">
        <v>10</v>
      </c>
      <c r="R197" s="26" t="s">
        <v>10</v>
      </c>
      <c r="S197" s="26" t="s">
        <v>742</v>
      </c>
      <c r="T197" s="26" t="s">
        <v>743</v>
      </c>
      <c r="U197" s="26">
        <v>0</v>
      </c>
    </row>
    <row r="198" spans="1:21">
      <c r="A198" s="48">
        <v>276</v>
      </c>
      <c r="B198" s="84"/>
      <c r="C198" s="84"/>
      <c r="D198" s="84"/>
      <c r="G198" s="26" t="s">
        <v>14</v>
      </c>
      <c r="H198" s="26" t="s">
        <v>1310</v>
      </c>
      <c r="I198" s="26">
        <v>33</v>
      </c>
      <c r="J198" s="26">
        <v>163</v>
      </c>
      <c r="K198" s="26" t="s">
        <v>868</v>
      </c>
      <c r="L198" s="26" t="s">
        <v>36</v>
      </c>
      <c r="M198" s="26" t="s">
        <v>458</v>
      </c>
      <c r="N198" s="26" t="s">
        <v>557</v>
      </c>
      <c r="O198" s="26" t="s">
        <v>10</v>
      </c>
      <c r="P198" s="26" t="s">
        <v>20</v>
      </c>
      <c r="Q198" s="26" t="s">
        <v>10</v>
      </c>
      <c r="R198" s="26" t="s">
        <v>79</v>
      </c>
      <c r="S198" s="26" t="s">
        <v>1506</v>
      </c>
      <c r="T198" s="26" t="s">
        <v>1507</v>
      </c>
      <c r="U198" s="26" t="s">
        <v>1314</v>
      </c>
    </row>
    <row r="199" spans="1:21">
      <c r="A199" s="48">
        <v>241</v>
      </c>
      <c r="B199" s="86"/>
      <c r="C199" s="86"/>
      <c r="D199" s="86"/>
      <c r="G199" s="26" t="s">
        <v>14</v>
      </c>
      <c r="H199" s="26" t="s">
        <v>1310</v>
      </c>
      <c r="I199" s="26">
        <v>33</v>
      </c>
      <c r="J199" s="26">
        <v>163</v>
      </c>
      <c r="K199" s="26" t="s">
        <v>868</v>
      </c>
      <c r="L199" s="26" t="s">
        <v>36</v>
      </c>
      <c r="M199" s="26" t="s">
        <v>93</v>
      </c>
      <c r="N199" s="26" t="s">
        <v>557</v>
      </c>
      <c r="O199" s="26" t="s">
        <v>1311</v>
      </c>
      <c r="P199" s="26" t="s">
        <v>20</v>
      </c>
      <c r="Q199" s="26" t="s">
        <v>10</v>
      </c>
      <c r="R199" s="26" t="s">
        <v>79</v>
      </c>
      <c r="S199" s="26" t="s">
        <v>1312</v>
      </c>
      <c r="T199" s="26" t="s">
        <v>1313</v>
      </c>
      <c r="U199" s="26" t="s">
        <v>1314</v>
      </c>
    </row>
    <row r="200" spans="1:21">
      <c r="A200" s="48">
        <v>69</v>
      </c>
      <c r="B200" s="81"/>
      <c r="C200" s="81"/>
      <c r="D200" s="81"/>
      <c r="E200" s="80"/>
      <c r="F200" s="80"/>
      <c r="G200" s="36" t="s">
        <v>14</v>
      </c>
      <c r="H200" s="26" t="s">
        <v>689</v>
      </c>
      <c r="I200" s="26">
        <v>33</v>
      </c>
      <c r="J200" s="26">
        <v>163</v>
      </c>
      <c r="K200" s="26" t="s">
        <v>690</v>
      </c>
      <c r="L200" s="26" t="s">
        <v>462</v>
      </c>
      <c r="M200" s="26" t="s">
        <v>458</v>
      </c>
      <c r="N200" s="26" t="s">
        <v>13</v>
      </c>
      <c r="O200" s="26" t="s">
        <v>204</v>
      </c>
      <c r="P200" s="26" t="s">
        <v>9</v>
      </c>
      <c r="Q200" s="26" t="s">
        <v>29</v>
      </c>
      <c r="R200" s="26" t="s">
        <v>32</v>
      </c>
      <c r="S200" s="26" t="s">
        <v>691</v>
      </c>
      <c r="T200" s="26" t="s">
        <v>692</v>
      </c>
      <c r="U200" s="26">
        <v>0</v>
      </c>
    </row>
    <row r="201" spans="1:21">
      <c r="A201" s="48">
        <v>167</v>
      </c>
      <c r="B201" s="81"/>
      <c r="C201" s="81"/>
      <c r="D201" s="81"/>
      <c r="E201" s="80"/>
      <c r="F201" s="80"/>
      <c r="G201" s="26" t="s">
        <v>14</v>
      </c>
      <c r="H201" s="26" t="s">
        <v>600</v>
      </c>
      <c r="I201" s="26">
        <v>33</v>
      </c>
      <c r="J201" s="26">
        <v>162</v>
      </c>
      <c r="K201" s="26" t="s">
        <v>601</v>
      </c>
      <c r="L201" s="26" t="s">
        <v>36</v>
      </c>
      <c r="M201" s="26" t="s">
        <v>15</v>
      </c>
      <c r="N201" s="26" t="s">
        <v>557</v>
      </c>
      <c r="O201" s="26" t="s">
        <v>10</v>
      </c>
      <c r="P201" s="26" t="s">
        <v>9</v>
      </c>
      <c r="Q201" s="26" t="s">
        <v>10</v>
      </c>
      <c r="R201" s="26" t="s">
        <v>10</v>
      </c>
      <c r="S201" s="26" t="s">
        <v>602</v>
      </c>
      <c r="T201" s="26" t="s">
        <v>603</v>
      </c>
      <c r="U201" s="26">
        <v>0</v>
      </c>
    </row>
    <row r="202" spans="1:21">
      <c r="A202" s="48">
        <v>277</v>
      </c>
      <c r="B202" s="84"/>
      <c r="C202" s="84"/>
      <c r="D202" s="84"/>
      <c r="G202" s="26" t="s">
        <v>14</v>
      </c>
      <c r="H202" s="26" t="s">
        <v>1508</v>
      </c>
      <c r="I202" s="26">
        <v>33</v>
      </c>
      <c r="J202" s="26">
        <v>160</v>
      </c>
      <c r="K202" s="26" t="s">
        <v>1509</v>
      </c>
      <c r="L202" s="26" t="s">
        <v>36</v>
      </c>
      <c r="M202" s="26" t="s">
        <v>15</v>
      </c>
      <c r="N202" s="26" t="s">
        <v>68</v>
      </c>
      <c r="O202" s="26" t="s">
        <v>1510</v>
      </c>
      <c r="P202" s="26" t="s">
        <v>9</v>
      </c>
      <c r="Q202" s="26" t="s">
        <v>57</v>
      </c>
      <c r="R202" s="26" t="s">
        <v>10</v>
      </c>
      <c r="S202" s="26" t="s">
        <v>1511</v>
      </c>
      <c r="T202" s="26" t="s">
        <v>1512</v>
      </c>
      <c r="U202" s="26">
        <v>0</v>
      </c>
    </row>
    <row r="203" spans="1:21">
      <c r="A203" s="107">
        <v>364</v>
      </c>
      <c r="B203" s="81"/>
      <c r="C203" s="81"/>
      <c r="D203" s="81"/>
      <c r="E203" s="80"/>
      <c r="F203" s="81"/>
      <c r="G203" s="26" t="s">
        <v>14</v>
      </c>
      <c r="H203" s="26" t="s">
        <v>2709</v>
      </c>
      <c r="I203" s="26">
        <v>33</v>
      </c>
      <c r="J203" s="26">
        <v>160</v>
      </c>
      <c r="K203" s="26" t="s">
        <v>273</v>
      </c>
      <c r="L203" s="26" t="s">
        <v>461</v>
      </c>
      <c r="M203" s="26" t="s">
        <v>93</v>
      </c>
      <c r="N203" s="4" t="s">
        <v>1125</v>
      </c>
      <c r="O203" s="4" t="s">
        <v>2710</v>
      </c>
      <c r="P203" s="4" t="s">
        <v>9</v>
      </c>
      <c r="Q203" s="4" t="s">
        <v>63</v>
      </c>
      <c r="R203" s="4" t="s">
        <v>707</v>
      </c>
      <c r="S203" s="4" t="s">
        <v>2711</v>
      </c>
      <c r="T203" s="4" t="s">
        <v>2712</v>
      </c>
      <c r="U203" s="4">
        <v>0</v>
      </c>
    </row>
    <row r="204" spans="1:21">
      <c r="A204" s="48">
        <v>199</v>
      </c>
      <c r="B204" s="85"/>
      <c r="C204" s="85"/>
      <c r="D204" s="85"/>
      <c r="E204" s="80"/>
      <c r="F204" s="80"/>
      <c r="G204" s="26" t="s">
        <v>14</v>
      </c>
      <c r="H204" s="26" t="s">
        <v>564</v>
      </c>
      <c r="I204" s="26">
        <v>33</v>
      </c>
      <c r="J204" s="26">
        <v>159</v>
      </c>
      <c r="K204" s="26" t="s">
        <v>566</v>
      </c>
      <c r="L204" s="26" t="s">
        <v>82</v>
      </c>
      <c r="M204" s="26" t="s">
        <v>458</v>
      </c>
      <c r="N204" s="26" t="s">
        <v>148</v>
      </c>
      <c r="O204" s="26" t="s">
        <v>10</v>
      </c>
      <c r="P204" s="26" t="s">
        <v>49</v>
      </c>
      <c r="Q204" s="26" t="s">
        <v>10</v>
      </c>
      <c r="R204" s="26" t="s">
        <v>569</v>
      </c>
      <c r="S204" s="26" t="s">
        <v>567</v>
      </c>
      <c r="T204" s="26" t="s">
        <v>568</v>
      </c>
      <c r="U204" s="26">
        <v>0</v>
      </c>
    </row>
    <row r="205" spans="1:21">
      <c r="A205" s="1">
        <v>213</v>
      </c>
      <c r="B205" s="85"/>
      <c r="C205" s="85"/>
      <c r="D205" s="85"/>
      <c r="E205" s="80"/>
      <c r="F205" s="80"/>
      <c r="G205" s="26" t="s">
        <v>14</v>
      </c>
      <c r="H205" s="26" t="s">
        <v>1138</v>
      </c>
      <c r="I205" s="26">
        <v>33</v>
      </c>
      <c r="J205" s="26">
        <v>159</v>
      </c>
      <c r="K205" s="26" t="s">
        <v>1158</v>
      </c>
      <c r="L205" s="26" t="s">
        <v>17</v>
      </c>
      <c r="M205" s="26" t="s">
        <v>15</v>
      </c>
      <c r="N205" s="26" t="s">
        <v>37</v>
      </c>
      <c r="O205" s="26" t="s">
        <v>1142</v>
      </c>
      <c r="P205" s="26" t="s">
        <v>9</v>
      </c>
      <c r="Q205" s="26" t="s">
        <v>29</v>
      </c>
      <c r="R205" s="26">
        <v>0</v>
      </c>
      <c r="S205" s="26" t="s">
        <v>1159</v>
      </c>
      <c r="T205" s="26">
        <v>0</v>
      </c>
      <c r="U205" s="26">
        <v>0</v>
      </c>
    </row>
    <row r="206" spans="1:21">
      <c r="A206" s="48">
        <v>324</v>
      </c>
      <c r="B206" s="81">
        <v>1</v>
      </c>
      <c r="C206" s="81"/>
      <c r="D206" s="81"/>
      <c r="E206" s="80"/>
      <c r="F206" s="80"/>
      <c r="G206" s="36" t="s">
        <v>14</v>
      </c>
      <c r="H206" s="26" t="s">
        <v>1792</v>
      </c>
      <c r="I206" s="26">
        <v>32</v>
      </c>
      <c r="J206" s="26">
        <v>168</v>
      </c>
      <c r="K206" s="26" t="s">
        <v>1793</v>
      </c>
      <c r="L206" s="26" t="s">
        <v>461</v>
      </c>
      <c r="M206" s="26" t="s">
        <v>93</v>
      </c>
      <c r="N206" s="26" t="s">
        <v>66</v>
      </c>
      <c r="O206" s="26" t="s">
        <v>10</v>
      </c>
      <c r="P206" s="26" t="s">
        <v>9</v>
      </c>
      <c r="Q206" s="26" t="s">
        <v>29</v>
      </c>
      <c r="R206" s="26" t="s">
        <v>79</v>
      </c>
      <c r="S206" s="26" t="s">
        <v>1218</v>
      </c>
      <c r="T206" s="26" t="s">
        <v>1794</v>
      </c>
      <c r="U206" s="26">
        <v>0</v>
      </c>
    </row>
    <row r="207" spans="1:21">
      <c r="A207" s="48">
        <v>228</v>
      </c>
      <c r="B207" s="88">
        <v>1</v>
      </c>
      <c r="C207" s="88"/>
      <c r="D207" s="88"/>
      <c r="G207" s="26" t="s">
        <v>14</v>
      </c>
      <c r="H207" s="26" t="s">
        <v>1227</v>
      </c>
      <c r="I207" s="26">
        <v>32</v>
      </c>
      <c r="J207" s="26">
        <v>158.80000000000001</v>
      </c>
      <c r="K207" s="26" t="s">
        <v>1229</v>
      </c>
      <c r="L207" s="26" t="s">
        <v>25</v>
      </c>
      <c r="M207" s="26" t="s">
        <v>91</v>
      </c>
      <c r="N207" s="26" t="s">
        <v>18</v>
      </c>
      <c r="O207" s="26" t="s">
        <v>1230</v>
      </c>
      <c r="P207" s="26" t="s">
        <v>9</v>
      </c>
      <c r="Q207" s="26" t="s">
        <v>10</v>
      </c>
      <c r="R207" s="26" t="s">
        <v>10</v>
      </c>
      <c r="S207" s="26" t="s">
        <v>1231</v>
      </c>
      <c r="T207" s="26" t="s">
        <v>1232</v>
      </c>
      <c r="U207" s="26">
        <v>0</v>
      </c>
    </row>
    <row r="208" spans="1:21">
      <c r="A208" s="48">
        <v>61</v>
      </c>
      <c r="B208" s="81">
        <v>1</v>
      </c>
      <c r="C208" s="81"/>
      <c r="D208" s="81"/>
      <c r="E208" s="80"/>
      <c r="F208" s="80"/>
      <c r="G208" s="26" t="s">
        <v>14</v>
      </c>
      <c r="H208" s="26" t="s">
        <v>926</v>
      </c>
      <c r="I208" s="26">
        <v>31</v>
      </c>
      <c r="J208" s="26">
        <v>170</v>
      </c>
      <c r="K208" s="26" t="s">
        <v>927</v>
      </c>
      <c r="L208" s="26" t="s">
        <v>25</v>
      </c>
      <c r="M208" s="26" t="s">
        <v>55</v>
      </c>
      <c r="N208" s="26" t="s">
        <v>928</v>
      </c>
      <c r="O208" s="26" t="s">
        <v>929</v>
      </c>
      <c r="P208" s="26" t="s">
        <v>9</v>
      </c>
      <c r="Q208" s="26" t="s">
        <v>10</v>
      </c>
      <c r="R208" s="26" t="s">
        <v>10</v>
      </c>
      <c r="S208" s="26" t="s">
        <v>930</v>
      </c>
      <c r="T208" s="26" t="s">
        <v>931</v>
      </c>
      <c r="U208" s="26">
        <v>0</v>
      </c>
    </row>
    <row r="209" spans="1:21">
      <c r="A209" s="48">
        <v>332</v>
      </c>
      <c r="B209" s="84">
        <v>1</v>
      </c>
      <c r="C209" s="84"/>
      <c r="D209" s="84"/>
      <c r="G209" s="26" t="s">
        <v>14</v>
      </c>
      <c r="H209" s="26" t="s">
        <v>1852</v>
      </c>
      <c r="I209" s="26">
        <v>31</v>
      </c>
      <c r="J209" s="26">
        <v>161</v>
      </c>
      <c r="K209" s="26" t="s">
        <v>1853</v>
      </c>
      <c r="L209" s="26" t="s">
        <v>25</v>
      </c>
      <c r="M209" s="26" t="s">
        <v>15</v>
      </c>
      <c r="N209" s="26" t="s">
        <v>13</v>
      </c>
      <c r="O209" s="26" t="s">
        <v>10</v>
      </c>
      <c r="P209" s="26" t="s">
        <v>31</v>
      </c>
      <c r="Q209" s="26" t="s">
        <v>29</v>
      </c>
      <c r="R209" s="26" t="s">
        <v>10</v>
      </c>
      <c r="S209" s="26" t="s">
        <v>1854</v>
      </c>
      <c r="T209" s="26" t="s">
        <v>271</v>
      </c>
      <c r="U209" s="26">
        <v>0</v>
      </c>
    </row>
    <row r="210" spans="1:21">
      <c r="A210" s="48">
        <v>311</v>
      </c>
      <c r="B210" s="79" t="s">
        <v>1121</v>
      </c>
      <c r="G210" s="26" t="s">
        <v>14</v>
      </c>
      <c r="H210" s="26" t="s">
        <v>1658</v>
      </c>
      <c r="I210" s="26">
        <v>30</v>
      </c>
      <c r="J210" s="26">
        <v>170</v>
      </c>
      <c r="K210" s="26" t="s">
        <v>79</v>
      </c>
      <c r="L210" s="26" t="s">
        <v>25</v>
      </c>
      <c r="M210" s="26" t="s">
        <v>93</v>
      </c>
      <c r="N210" s="26" t="s">
        <v>72</v>
      </c>
      <c r="O210" s="26" t="s">
        <v>10</v>
      </c>
      <c r="P210" s="26" t="s">
        <v>9</v>
      </c>
      <c r="Q210" s="26" t="s">
        <v>29</v>
      </c>
      <c r="R210" s="26" t="s">
        <v>10</v>
      </c>
      <c r="S210" s="26" t="s">
        <v>1703</v>
      </c>
      <c r="T210" s="26" t="s">
        <v>1704</v>
      </c>
      <c r="U210" s="26">
        <v>0</v>
      </c>
    </row>
    <row r="211" spans="1:21">
      <c r="A211" s="48">
        <v>344</v>
      </c>
      <c r="B211" s="79" t="s">
        <v>1121</v>
      </c>
      <c r="G211" s="26" t="s">
        <v>14</v>
      </c>
      <c r="H211" s="26" t="s">
        <v>1930</v>
      </c>
      <c r="I211" s="26">
        <v>30</v>
      </c>
      <c r="J211" s="26">
        <v>169</v>
      </c>
      <c r="K211" s="26" t="s">
        <v>1931</v>
      </c>
      <c r="L211" s="26" t="s">
        <v>82</v>
      </c>
      <c r="M211" s="26" t="s">
        <v>65</v>
      </c>
      <c r="N211" s="26" t="s">
        <v>18</v>
      </c>
      <c r="O211" s="26" t="s">
        <v>10</v>
      </c>
      <c r="P211" s="26" t="s">
        <v>9</v>
      </c>
      <c r="Q211" s="26" t="s">
        <v>10</v>
      </c>
      <c r="R211" s="26" t="s">
        <v>69</v>
      </c>
      <c r="S211" s="26" t="s">
        <v>1932</v>
      </c>
      <c r="T211" s="26" t="s">
        <v>1933</v>
      </c>
      <c r="U211" s="26" t="s">
        <v>1934</v>
      </c>
    </row>
    <row r="212" spans="1:21">
      <c r="A212" s="48">
        <v>144</v>
      </c>
      <c r="B212" s="81">
        <v>1</v>
      </c>
      <c r="C212" s="80"/>
      <c r="D212" s="80"/>
      <c r="E212" s="80"/>
      <c r="F212" s="80"/>
      <c r="G212" s="26" t="s">
        <v>14</v>
      </c>
      <c r="H212" s="36" t="s">
        <v>409</v>
      </c>
      <c r="I212" s="26">
        <v>29</v>
      </c>
      <c r="J212" s="26">
        <v>165</v>
      </c>
      <c r="K212" s="26" t="s">
        <v>79</v>
      </c>
      <c r="L212" s="26" t="s">
        <v>82</v>
      </c>
      <c r="M212" s="26" t="s">
        <v>93</v>
      </c>
      <c r="N212" s="26" t="s">
        <v>80</v>
      </c>
      <c r="O212" s="26" t="s">
        <v>10</v>
      </c>
      <c r="P212" s="26" t="s">
        <v>9</v>
      </c>
      <c r="Q212" s="26" t="s">
        <v>10</v>
      </c>
      <c r="R212" s="26" t="s">
        <v>196</v>
      </c>
      <c r="S212" s="26" t="s">
        <v>411</v>
      </c>
      <c r="T212" s="26" t="s">
        <v>412</v>
      </c>
      <c r="U212" s="26" t="s">
        <v>413</v>
      </c>
    </row>
    <row r="213" spans="1:21">
      <c r="A213" s="48">
        <v>333</v>
      </c>
      <c r="B213" s="79">
        <v>1</v>
      </c>
      <c r="G213" s="26" t="s">
        <v>14</v>
      </c>
      <c r="H213" s="26" t="s">
        <v>1855</v>
      </c>
      <c r="I213" s="26">
        <v>29</v>
      </c>
      <c r="J213" s="26">
        <v>157</v>
      </c>
      <c r="K213" s="26" t="s">
        <v>1856</v>
      </c>
      <c r="L213" s="26" t="s">
        <v>25</v>
      </c>
      <c r="M213" s="26" t="s">
        <v>15</v>
      </c>
      <c r="N213" s="26" t="s">
        <v>37</v>
      </c>
      <c r="O213" s="26" t="s">
        <v>1857</v>
      </c>
      <c r="P213" s="26" t="s">
        <v>49</v>
      </c>
      <c r="Q213" s="26" t="s">
        <v>10</v>
      </c>
      <c r="R213" s="26" t="s">
        <v>10</v>
      </c>
      <c r="S213" s="26" t="s">
        <v>1858</v>
      </c>
      <c r="T213" s="26" t="s">
        <v>1859</v>
      </c>
      <c r="U213" s="26" t="s">
        <v>1860</v>
      </c>
    </row>
    <row r="214" spans="1:21">
      <c r="A214" s="48">
        <v>369</v>
      </c>
      <c r="B214" s="81">
        <v>1</v>
      </c>
      <c r="C214" s="81"/>
      <c r="D214" s="81"/>
      <c r="E214" s="80"/>
      <c r="F214" s="81"/>
      <c r="G214" s="26" t="s">
        <v>14</v>
      </c>
      <c r="H214" s="26" t="s">
        <v>2727</v>
      </c>
      <c r="I214" s="26">
        <v>29</v>
      </c>
      <c r="J214" s="26">
        <v>154</v>
      </c>
      <c r="K214" s="26" t="s">
        <v>2675</v>
      </c>
      <c r="L214" s="26" t="s">
        <v>62</v>
      </c>
      <c r="M214" s="26" t="s">
        <v>15</v>
      </c>
      <c r="N214" s="4" t="s">
        <v>633</v>
      </c>
      <c r="O214" s="4" t="s">
        <v>10</v>
      </c>
      <c r="P214" s="4" t="s">
        <v>9</v>
      </c>
      <c r="Q214" s="4" t="s">
        <v>10</v>
      </c>
      <c r="R214" s="4" t="s">
        <v>10</v>
      </c>
      <c r="S214" s="4" t="s">
        <v>2728</v>
      </c>
      <c r="T214" s="4" t="s">
        <v>249</v>
      </c>
      <c r="U214" s="4">
        <v>0</v>
      </c>
    </row>
    <row r="215" spans="1:21">
      <c r="A215" s="48">
        <v>301</v>
      </c>
      <c r="B215" s="84" t="s">
        <v>1121</v>
      </c>
      <c r="C215" s="84"/>
      <c r="D215" s="84"/>
      <c r="G215" s="26" t="s">
        <v>14</v>
      </c>
      <c r="H215" s="26" t="s">
        <v>1639</v>
      </c>
      <c r="I215" s="26">
        <v>29</v>
      </c>
      <c r="J215" s="26">
        <v>161</v>
      </c>
      <c r="K215" s="26" t="s">
        <v>1640</v>
      </c>
      <c r="L215" s="26" t="s">
        <v>25</v>
      </c>
      <c r="M215" s="26" t="s">
        <v>15</v>
      </c>
      <c r="N215" s="26" t="s">
        <v>37</v>
      </c>
      <c r="O215" s="26" t="s">
        <v>390</v>
      </c>
      <c r="P215" s="26" t="s">
        <v>9</v>
      </c>
      <c r="Q215" s="26" t="s">
        <v>10</v>
      </c>
      <c r="R215" s="26" t="s">
        <v>10</v>
      </c>
      <c r="S215" s="26" t="s">
        <v>1681</v>
      </c>
      <c r="T215" s="26" t="s">
        <v>1682</v>
      </c>
      <c r="U215" s="26" t="s">
        <v>1683</v>
      </c>
    </row>
    <row r="216" spans="1:21">
      <c r="A216" s="48">
        <v>219</v>
      </c>
      <c r="B216" s="88">
        <v>1</v>
      </c>
      <c r="C216" s="88"/>
      <c r="D216" s="88"/>
      <c r="E216" s="80"/>
      <c r="F216" s="80"/>
      <c r="G216" s="26" t="s">
        <v>14</v>
      </c>
      <c r="H216" s="26" t="s">
        <v>1189</v>
      </c>
      <c r="I216" s="26">
        <v>28</v>
      </c>
      <c r="J216" s="26">
        <v>171.8</v>
      </c>
      <c r="K216" s="26" t="s">
        <v>1190</v>
      </c>
      <c r="L216" s="26" t="s">
        <v>25</v>
      </c>
      <c r="M216" s="26" t="s">
        <v>93</v>
      </c>
      <c r="N216" s="26" t="s">
        <v>105</v>
      </c>
      <c r="O216" s="26" t="s">
        <v>1191</v>
      </c>
      <c r="P216" s="26" t="s">
        <v>31</v>
      </c>
      <c r="Q216" s="26" t="s">
        <v>10</v>
      </c>
      <c r="R216" s="26" t="s">
        <v>707</v>
      </c>
      <c r="S216" s="26" t="s">
        <v>1192</v>
      </c>
      <c r="T216" s="26" t="s">
        <v>1193</v>
      </c>
      <c r="U216" s="26">
        <v>0</v>
      </c>
    </row>
    <row r="217" spans="1:21">
      <c r="A217" s="48">
        <v>221</v>
      </c>
      <c r="B217" s="88">
        <v>1</v>
      </c>
      <c r="C217" s="88"/>
      <c r="D217" s="88"/>
      <c r="E217" s="80"/>
      <c r="F217" s="80"/>
      <c r="G217" s="26" t="s">
        <v>14</v>
      </c>
      <c r="H217" s="26" t="s">
        <v>904</v>
      </c>
      <c r="I217" s="26">
        <v>28</v>
      </c>
      <c r="J217" s="26">
        <v>169</v>
      </c>
      <c r="K217" s="26" t="s">
        <v>1199</v>
      </c>
      <c r="L217" s="26" t="s">
        <v>462</v>
      </c>
      <c r="M217" s="26" t="s">
        <v>93</v>
      </c>
      <c r="N217" s="26" t="s">
        <v>68</v>
      </c>
      <c r="O217" s="26" t="s">
        <v>364</v>
      </c>
      <c r="P217" s="26" t="s">
        <v>61</v>
      </c>
      <c r="Q217" s="26" t="s">
        <v>10</v>
      </c>
      <c r="R217" s="26" t="s">
        <v>69</v>
      </c>
      <c r="S217" s="26" t="s">
        <v>1200</v>
      </c>
      <c r="T217" s="26" t="s">
        <v>1201</v>
      </c>
      <c r="U217" s="26">
        <v>0</v>
      </c>
    </row>
    <row r="218" spans="1:21">
      <c r="A218" s="48">
        <v>320</v>
      </c>
      <c r="B218" s="81">
        <v>1</v>
      </c>
      <c r="C218" s="81"/>
      <c r="D218" s="81"/>
      <c r="E218" s="80"/>
      <c r="F218" s="80"/>
      <c r="G218" s="36" t="s">
        <v>14</v>
      </c>
      <c r="H218" s="26" t="s">
        <v>1777</v>
      </c>
      <c r="I218" s="26">
        <v>28</v>
      </c>
      <c r="J218" s="26">
        <v>169</v>
      </c>
      <c r="K218" s="26" t="s">
        <v>1778</v>
      </c>
      <c r="L218" s="26" t="s">
        <v>25</v>
      </c>
      <c r="M218" s="26" t="s">
        <v>93</v>
      </c>
      <c r="N218" s="26" t="s">
        <v>252</v>
      </c>
      <c r="O218" s="26" t="s">
        <v>1779</v>
      </c>
      <c r="P218" s="26" t="s">
        <v>9</v>
      </c>
      <c r="Q218" s="26" t="s">
        <v>10</v>
      </c>
      <c r="R218" s="26" t="s">
        <v>10</v>
      </c>
      <c r="S218" s="26" t="s">
        <v>1780</v>
      </c>
      <c r="T218" s="26" t="s">
        <v>1781</v>
      </c>
      <c r="U218" s="26">
        <v>0</v>
      </c>
    </row>
    <row r="219" spans="1:21">
      <c r="A219" s="48">
        <v>220</v>
      </c>
      <c r="B219" s="88">
        <v>1</v>
      </c>
      <c r="C219" s="88"/>
      <c r="D219" s="88"/>
      <c r="E219" s="80"/>
      <c r="F219" s="80"/>
      <c r="G219" s="26" t="s">
        <v>14</v>
      </c>
      <c r="H219" s="26" t="s">
        <v>1194</v>
      </c>
      <c r="I219" s="26">
        <v>28</v>
      </c>
      <c r="J219" s="26">
        <v>168</v>
      </c>
      <c r="K219" s="26" t="s">
        <v>1195</v>
      </c>
      <c r="L219" s="26" t="s">
        <v>460</v>
      </c>
      <c r="M219" s="26" t="s">
        <v>15</v>
      </c>
      <c r="N219" s="26" t="s">
        <v>12</v>
      </c>
      <c r="O219" s="26" t="s">
        <v>10</v>
      </c>
      <c r="P219" s="26" t="s">
        <v>9</v>
      </c>
      <c r="Q219" s="26" t="s">
        <v>10</v>
      </c>
      <c r="R219" s="26" t="s">
        <v>10</v>
      </c>
      <c r="S219" s="26" t="s">
        <v>1196</v>
      </c>
      <c r="T219" s="26" t="s">
        <v>1197</v>
      </c>
      <c r="U219" s="26" t="s">
        <v>1198</v>
      </c>
    </row>
    <row r="220" spans="1:21">
      <c r="A220" s="48">
        <v>341</v>
      </c>
      <c r="B220" s="79" t="s">
        <v>1121</v>
      </c>
      <c r="F220" s="87"/>
      <c r="G220" s="26" t="s">
        <v>14</v>
      </c>
      <c r="H220" s="26" t="s">
        <v>1914</v>
      </c>
      <c r="I220" s="26">
        <v>27</v>
      </c>
      <c r="J220" s="26">
        <v>167</v>
      </c>
      <c r="K220" s="26" t="s">
        <v>294</v>
      </c>
      <c r="L220" s="26" t="s">
        <v>459</v>
      </c>
      <c r="M220" s="26" t="s">
        <v>458</v>
      </c>
      <c r="N220" s="26" t="s">
        <v>59</v>
      </c>
      <c r="O220" s="26" t="s">
        <v>1915</v>
      </c>
      <c r="P220" s="26" t="s">
        <v>9</v>
      </c>
      <c r="Q220" s="26" t="s">
        <v>57</v>
      </c>
      <c r="R220" s="26" t="s">
        <v>133</v>
      </c>
      <c r="S220" s="26" t="s">
        <v>1916</v>
      </c>
      <c r="T220" s="26" t="s">
        <v>1917</v>
      </c>
      <c r="U220" s="26">
        <v>0</v>
      </c>
    </row>
    <row r="221" spans="1:21">
      <c r="A221" s="48">
        <v>193</v>
      </c>
      <c r="B221" s="83" t="s">
        <v>1121</v>
      </c>
      <c r="C221" s="83"/>
      <c r="D221" s="83"/>
      <c r="E221" s="80"/>
      <c r="F221" s="81"/>
      <c r="G221" s="26" t="s">
        <v>14</v>
      </c>
      <c r="H221" s="36" t="s">
        <v>570</v>
      </c>
      <c r="I221" s="26">
        <v>27</v>
      </c>
      <c r="J221" s="26">
        <v>165</v>
      </c>
      <c r="K221" s="26" t="s">
        <v>571</v>
      </c>
      <c r="L221" s="26" t="s">
        <v>460</v>
      </c>
      <c r="M221" s="26" t="s">
        <v>93</v>
      </c>
      <c r="N221" s="26" t="s">
        <v>68</v>
      </c>
      <c r="O221" s="26" t="s">
        <v>572</v>
      </c>
      <c r="P221" s="26" t="s">
        <v>9</v>
      </c>
      <c r="Q221" s="26" t="s">
        <v>29</v>
      </c>
      <c r="R221" s="26" t="s">
        <v>11</v>
      </c>
      <c r="S221" s="26" t="s">
        <v>573</v>
      </c>
      <c r="T221" s="26" t="s">
        <v>574</v>
      </c>
      <c r="U221" s="26" t="s">
        <v>575</v>
      </c>
    </row>
    <row r="222" spans="1:21">
      <c r="A222" s="48">
        <v>331</v>
      </c>
      <c r="B222" s="85" t="s">
        <v>1121</v>
      </c>
      <c r="C222" s="83"/>
      <c r="D222" s="83"/>
      <c r="F222" s="87"/>
      <c r="G222" s="26" t="s">
        <v>1148</v>
      </c>
      <c r="H222" s="26" t="s">
        <v>1844</v>
      </c>
      <c r="I222" s="26">
        <v>27</v>
      </c>
      <c r="J222" s="26">
        <v>164</v>
      </c>
      <c r="K222" s="26" t="s">
        <v>1845</v>
      </c>
      <c r="L222" s="26" t="s">
        <v>25</v>
      </c>
      <c r="M222" s="26" t="s">
        <v>93</v>
      </c>
      <c r="N222" s="26" t="s">
        <v>35</v>
      </c>
      <c r="O222" s="26" t="s">
        <v>1841</v>
      </c>
      <c r="P222" s="26" t="s">
        <v>9</v>
      </c>
      <c r="Q222" s="26" t="s">
        <v>29</v>
      </c>
      <c r="R222" s="26" t="s">
        <v>707</v>
      </c>
      <c r="S222" s="26" t="s">
        <v>1842</v>
      </c>
      <c r="T222" s="26" t="s">
        <v>1843</v>
      </c>
      <c r="U222" s="26"/>
    </row>
    <row r="223" spans="1:21">
      <c r="A223" s="109">
        <v>212</v>
      </c>
      <c r="B223" s="85" t="s">
        <v>1121</v>
      </c>
      <c r="C223" s="83"/>
      <c r="D223" s="83"/>
      <c r="E223" s="80"/>
      <c r="F223" s="81"/>
      <c r="G223" s="26" t="s">
        <v>14</v>
      </c>
      <c r="H223" s="36" t="s">
        <v>1134</v>
      </c>
      <c r="I223" s="26">
        <v>27</v>
      </c>
      <c r="J223" s="26">
        <v>156</v>
      </c>
      <c r="K223" s="26" t="s">
        <v>1155</v>
      </c>
      <c r="L223" s="26" t="s">
        <v>1156</v>
      </c>
      <c r="M223" s="26" t="s">
        <v>93</v>
      </c>
      <c r="N223" s="26" t="s">
        <v>28</v>
      </c>
      <c r="O223" s="26" t="s">
        <v>10</v>
      </c>
      <c r="P223" s="26" t="s">
        <v>9</v>
      </c>
      <c r="Q223" s="26" t="s">
        <v>29</v>
      </c>
      <c r="R223" s="26">
        <v>0</v>
      </c>
      <c r="S223" s="26" t="s">
        <v>1157</v>
      </c>
      <c r="T223" s="26">
        <v>0</v>
      </c>
      <c r="U223" s="26">
        <v>0</v>
      </c>
    </row>
    <row r="224" spans="1:21">
      <c r="A224" s="107">
        <v>307</v>
      </c>
      <c r="B224" s="79" t="s">
        <v>1121</v>
      </c>
      <c r="G224" s="26" t="s">
        <v>14</v>
      </c>
      <c r="H224" s="36" t="s">
        <v>1652</v>
      </c>
      <c r="I224" s="26">
        <v>26</v>
      </c>
      <c r="J224" s="26">
        <v>168</v>
      </c>
      <c r="K224" s="26" t="s">
        <v>1653</v>
      </c>
      <c r="L224" s="26" t="s">
        <v>62</v>
      </c>
      <c r="M224" s="26" t="s">
        <v>93</v>
      </c>
      <c r="N224" s="26" t="s">
        <v>12</v>
      </c>
      <c r="O224" s="26" t="s">
        <v>10</v>
      </c>
      <c r="P224" s="26" t="s">
        <v>9</v>
      </c>
      <c r="Q224" s="26" t="s">
        <v>29</v>
      </c>
      <c r="R224" s="26" t="s">
        <v>646</v>
      </c>
      <c r="S224" s="26" t="s">
        <v>1696</v>
      </c>
      <c r="T224" s="26" t="s">
        <v>1697</v>
      </c>
      <c r="U224" s="26">
        <v>0</v>
      </c>
    </row>
    <row r="225" spans="1:24">
      <c r="A225" s="48">
        <v>120</v>
      </c>
      <c r="B225" s="80">
        <v>1</v>
      </c>
      <c r="C225" s="80"/>
      <c r="D225" s="80"/>
      <c r="E225" s="80"/>
      <c r="F225" s="80"/>
      <c r="G225" s="26" t="s">
        <v>14</v>
      </c>
      <c r="H225" s="26" t="s">
        <v>888</v>
      </c>
      <c r="I225" s="26">
        <v>23</v>
      </c>
      <c r="J225" s="26">
        <v>168</v>
      </c>
      <c r="K225" s="26" t="s">
        <v>890</v>
      </c>
      <c r="L225" s="26" t="s">
        <v>737</v>
      </c>
      <c r="M225" s="26" t="s">
        <v>93</v>
      </c>
      <c r="N225" s="26" t="s">
        <v>37</v>
      </c>
      <c r="O225" s="26" t="s">
        <v>891</v>
      </c>
      <c r="P225" s="26" t="s">
        <v>56</v>
      </c>
      <c r="Q225" s="26" t="s">
        <v>29</v>
      </c>
      <c r="R225" s="26" t="s">
        <v>10</v>
      </c>
      <c r="S225" s="26" t="s">
        <v>892</v>
      </c>
      <c r="T225" s="26" t="s">
        <v>893</v>
      </c>
      <c r="U225" s="26" t="s">
        <v>894</v>
      </c>
      <c r="X225" s="26">
        <v>162</v>
      </c>
    </row>
    <row r="226" spans="1:24">
      <c r="A226" s="48">
        <v>279</v>
      </c>
      <c r="B226" s="84"/>
      <c r="C226" s="84"/>
      <c r="D226" s="84"/>
      <c r="F226" s="87"/>
      <c r="G226" s="26" t="s">
        <v>14</v>
      </c>
      <c r="H226" s="26" t="s">
        <v>1518</v>
      </c>
      <c r="I226" s="26">
        <v>33</v>
      </c>
      <c r="J226" s="26">
        <v>156</v>
      </c>
      <c r="K226" s="26" t="s">
        <v>1519</v>
      </c>
      <c r="L226" s="26" t="s">
        <v>36</v>
      </c>
      <c r="M226" s="26" t="s">
        <v>10</v>
      </c>
      <c r="N226" s="26" t="s">
        <v>37</v>
      </c>
      <c r="O226" s="26" t="s">
        <v>1520</v>
      </c>
      <c r="P226" s="26" t="s">
        <v>9</v>
      </c>
      <c r="Q226" s="26" t="s">
        <v>10</v>
      </c>
      <c r="R226" s="26" t="s">
        <v>10</v>
      </c>
      <c r="S226" s="26" t="s">
        <v>1521</v>
      </c>
      <c r="T226" s="26" t="s">
        <v>1522</v>
      </c>
      <c r="U226" s="26">
        <v>0</v>
      </c>
    </row>
    <row r="227" spans="1:24">
      <c r="A227" s="48">
        <v>169</v>
      </c>
      <c r="B227" s="81"/>
      <c r="C227" s="81"/>
      <c r="D227" s="81"/>
      <c r="E227" s="80"/>
      <c r="F227" s="81"/>
      <c r="G227" s="26" t="s">
        <v>14</v>
      </c>
      <c r="H227" s="26" t="s">
        <v>1074</v>
      </c>
      <c r="I227" s="26">
        <v>33</v>
      </c>
      <c r="J227" s="26">
        <v>155</v>
      </c>
      <c r="K227" s="26" t="s">
        <v>1075</v>
      </c>
      <c r="L227" s="26" t="s">
        <v>462</v>
      </c>
      <c r="M227" s="26" t="s">
        <v>15</v>
      </c>
      <c r="N227" s="26" t="s">
        <v>85</v>
      </c>
      <c r="O227" s="26" t="s">
        <v>1076</v>
      </c>
      <c r="P227" s="26" t="s">
        <v>9</v>
      </c>
      <c r="Q227" s="26" t="s">
        <v>29</v>
      </c>
      <c r="R227" s="26" t="s">
        <v>10</v>
      </c>
      <c r="S227" s="26" t="s">
        <v>1077</v>
      </c>
      <c r="T227" s="26" t="s">
        <v>1078</v>
      </c>
      <c r="U227" s="26">
        <v>0</v>
      </c>
    </row>
    <row r="228" spans="1:24">
      <c r="A228" s="48">
        <v>121</v>
      </c>
      <c r="B228" s="81"/>
      <c r="C228" s="81"/>
      <c r="D228" s="81"/>
      <c r="E228" s="80"/>
      <c r="F228" s="81"/>
      <c r="G228" s="26" t="s">
        <v>14</v>
      </c>
      <c r="H228" s="26" t="s">
        <v>250</v>
      </c>
      <c r="I228" s="26">
        <v>33</v>
      </c>
      <c r="J228" s="26">
        <v>155</v>
      </c>
      <c r="K228" s="26" t="s">
        <v>251</v>
      </c>
      <c r="L228" s="26" t="s">
        <v>461</v>
      </c>
      <c r="M228" s="26" t="s">
        <v>55</v>
      </c>
      <c r="N228" s="26" t="s">
        <v>252</v>
      </c>
      <c r="O228" s="26" t="s">
        <v>253</v>
      </c>
      <c r="P228" s="26" t="s">
        <v>9</v>
      </c>
      <c r="Q228" s="26" t="s">
        <v>10</v>
      </c>
      <c r="R228" s="26" t="s">
        <v>10</v>
      </c>
      <c r="S228" s="26" t="s">
        <v>254</v>
      </c>
      <c r="T228" s="26" t="s">
        <v>255</v>
      </c>
      <c r="U228" s="26">
        <v>0</v>
      </c>
    </row>
    <row r="229" spans="1:24">
      <c r="A229" s="107">
        <v>43</v>
      </c>
      <c r="B229" s="81"/>
      <c r="C229" s="81"/>
      <c r="D229" s="81"/>
      <c r="E229" s="80"/>
      <c r="F229" s="80"/>
      <c r="G229" s="36" t="s">
        <v>14</v>
      </c>
      <c r="H229" s="26" t="s">
        <v>338</v>
      </c>
      <c r="I229" s="26">
        <v>33</v>
      </c>
      <c r="J229" s="26">
        <v>155</v>
      </c>
      <c r="K229" s="26" t="s">
        <v>339</v>
      </c>
      <c r="L229" s="26" t="s">
        <v>25</v>
      </c>
      <c r="M229" s="26" t="s">
        <v>93</v>
      </c>
      <c r="N229" s="26" t="s">
        <v>59</v>
      </c>
      <c r="O229" s="26" t="s">
        <v>193</v>
      </c>
      <c r="P229" s="26" t="s">
        <v>9</v>
      </c>
      <c r="Q229" s="26" t="s">
        <v>10</v>
      </c>
      <c r="R229" s="26" t="s">
        <v>11</v>
      </c>
      <c r="S229" s="26" t="s">
        <v>340</v>
      </c>
      <c r="T229" s="26" t="s">
        <v>341</v>
      </c>
      <c r="U229" s="26" t="s">
        <v>342</v>
      </c>
    </row>
    <row r="230" spans="1:24">
      <c r="A230" s="48">
        <v>269</v>
      </c>
      <c r="B230" s="84"/>
      <c r="C230" s="84"/>
      <c r="D230" s="84"/>
      <c r="G230" s="26" t="s">
        <v>14</v>
      </c>
      <c r="H230" s="26" t="s">
        <v>1475</v>
      </c>
      <c r="I230" s="26">
        <v>32</v>
      </c>
      <c r="J230" s="26">
        <v>173</v>
      </c>
      <c r="K230" s="26" t="s">
        <v>1476</v>
      </c>
      <c r="L230" s="26" t="s">
        <v>36</v>
      </c>
      <c r="M230" s="26" t="s">
        <v>93</v>
      </c>
      <c r="N230" s="26" t="s">
        <v>480</v>
      </c>
      <c r="O230" s="26" t="s">
        <v>10</v>
      </c>
      <c r="P230" s="26" t="s">
        <v>9</v>
      </c>
      <c r="Q230" s="26" t="s">
        <v>29</v>
      </c>
      <c r="R230" s="26" t="s">
        <v>10</v>
      </c>
      <c r="S230" s="26" t="s">
        <v>1477</v>
      </c>
      <c r="T230" s="26" t="s">
        <v>1478</v>
      </c>
      <c r="U230" s="26">
        <v>0</v>
      </c>
    </row>
    <row r="231" spans="1:24">
      <c r="A231" s="48">
        <v>27</v>
      </c>
      <c r="B231" s="81"/>
      <c r="C231" s="81"/>
      <c r="D231" s="81"/>
      <c r="E231" s="80"/>
      <c r="F231" s="80"/>
      <c r="G231" s="36" t="s">
        <v>14</v>
      </c>
      <c r="H231" s="26" t="s">
        <v>246</v>
      </c>
      <c r="I231" s="26">
        <v>32</v>
      </c>
      <c r="J231" s="26">
        <v>172</v>
      </c>
      <c r="K231" s="26" t="s">
        <v>1025</v>
      </c>
      <c r="L231" s="26" t="s">
        <v>25</v>
      </c>
      <c r="M231" s="26" t="s">
        <v>65</v>
      </c>
      <c r="N231" s="26" t="s">
        <v>290</v>
      </c>
      <c r="O231" s="26" t="s">
        <v>10</v>
      </c>
      <c r="P231" s="26" t="s">
        <v>9</v>
      </c>
      <c r="Q231" s="26" t="s">
        <v>10</v>
      </c>
      <c r="R231" s="26" t="s">
        <v>73</v>
      </c>
      <c r="S231" s="26" t="s">
        <v>249</v>
      </c>
      <c r="T231" s="26" t="s">
        <v>1026</v>
      </c>
      <c r="U231" s="26">
        <v>0</v>
      </c>
    </row>
    <row r="232" spans="1:24">
      <c r="A232" s="48">
        <v>302</v>
      </c>
      <c r="B232" s="84"/>
      <c r="C232" s="84"/>
      <c r="D232" s="84"/>
      <c r="G232" s="26" t="s">
        <v>14</v>
      </c>
      <c r="H232" s="26" t="s">
        <v>989</v>
      </c>
      <c r="I232" s="26">
        <v>32</v>
      </c>
      <c r="J232" s="26">
        <v>171</v>
      </c>
      <c r="K232" s="26" t="s">
        <v>1642</v>
      </c>
      <c r="L232" s="26" t="s">
        <v>82</v>
      </c>
      <c r="M232" s="26" t="s">
        <v>458</v>
      </c>
      <c r="N232" s="26" t="s">
        <v>1684</v>
      </c>
      <c r="O232" s="26" t="s">
        <v>10</v>
      </c>
      <c r="P232" s="26" t="s">
        <v>75</v>
      </c>
      <c r="Q232" s="26" t="s">
        <v>57</v>
      </c>
      <c r="R232" s="26" t="s">
        <v>11</v>
      </c>
      <c r="S232" s="26" t="s">
        <v>1685</v>
      </c>
      <c r="T232" s="26" t="s">
        <v>1686</v>
      </c>
      <c r="U232" s="26">
        <v>0</v>
      </c>
    </row>
    <row r="233" spans="1:24">
      <c r="A233" s="48">
        <v>9</v>
      </c>
      <c r="B233" s="81"/>
      <c r="C233" s="81"/>
      <c r="D233" s="81"/>
      <c r="E233" s="80"/>
      <c r="F233" s="80"/>
      <c r="G233" s="36" t="s">
        <v>14</v>
      </c>
      <c r="H233" s="26" t="s">
        <v>305</v>
      </c>
      <c r="I233" s="26">
        <v>32</v>
      </c>
      <c r="J233" s="26">
        <v>171</v>
      </c>
      <c r="K233" s="26" t="s">
        <v>306</v>
      </c>
      <c r="L233" s="26" t="s">
        <v>25</v>
      </c>
      <c r="M233" s="26" t="s">
        <v>93</v>
      </c>
      <c r="N233" s="26" t="s">
        <v>307</v>
      </c>
      <c r="O233" s="26" t="s">
        <v>10</v>
      </c>
      <c r="P233" s="26" t="s">
        <v>9</v>
      </c>
      <c r="Q233" s="26" t="s">
        <v>29</v>
      </c>
      <c r="R233" s="26" t="s">
        <v>69</v>
      </c>
      <c r="S233" s="26" t="s">
        <v>308</v>
      </c>
      <c r="T233" s="26" t="s">
        <v>309</v>
      </c>
      <c r="U233" s="26">
        <v>0</v>
      </c>
    </row>
    <row r="234" spans="1:24">
      <c r="A234" s="48">
        <v>24</v>
      </c>
      <c r="B234" s="81"/>
      <c r="C234" s="81"/>
      <c r="D234" s="81"/>
      <c r="E234" s="80"/>
      <c r="F234" s="80"/>
      <c r="G234" s="36" t="s">
        <v>14</v>
      </c>
      <c r="H234" s="26" t="s">
        <v>989</v>
      </c>
      <c r="I234" s="26">
        <v>32</v>
      </c>
      <c r="J234" s="26">
        <v>171</v>
      </c>
      <c r="K234" s="26" t="s">
        <v>990</v>
      </c>
      <c r="L234" s="26" t="s">
        <v>82</v>
      </c>
      <c r="M234" s="26" t="s">
        <v>458</v>
      </c>
      <c r="N234" s="26" t="s">
        <v>37</v>
      </c>
      <c r="O234" s="26" t="s">
        <v>10</v>
      </c>
      <c r="P234" s="26" t="s">
        <v>49</v>
      </c>
      <c r="Q234" s="26" t="s">
        <v>10</v>
      </c>
      <c r="R234" s="26" t="s">
        <v>11</v>
      </c>
      <c r="S234" s="26" t="s">
        <v>991</v>
      </c>
      <c r="T234" s="26" t="s">
        <v>992</v>
      </c>
      <c r="U234" s="26">
        <v>0</v>
      </c>
    </row>
    <row r="235" spans="1:24">
      <c r="A235" s="48">
        <v>73</v>
      </c>
      <c r="B235" s="81"/>
      <c r="C235" s="81"/>
      <c r="D235" s="81"/>
      <c r="E235" s="80"/>
      <c r="F235" s="80"/>
      <c r="G235" s="36" t="s">
        <v>14</v>
      </c>
      <c r="H235" s="26" t="s">
        <v>867</v>
      </c>
      <c r="I235" s="26">
        <v>32</v>
      </c>
      <c r="J235" s="26">
        <v>170</v>
      </c>
      <c r="K235" s="26" t="s">
        <v>868</v>
      </c>
      <c r="L235" s="26" t="s">
        <v>36</v>
      </c>
      <c r="M235" s="26" t="s">
        <v>93</v>
      </c>
      <c r="N235" s="26" t="s">
        <v>76</v>
      </c>
      <c r="O235" s="26" t="s">
        <v>10</v>
      </c>
      <c r="P235" s="26" t="s">
        <v>20</v>
      </c>
      <c r="Q235" s="26" t="s">
        <v>29</v>
      </c>
      <c r="R235" s="26" t="s">
        <v>11</v>
      </c>
      <c r="S235" s="26" t="s">
        <v>869</v>
      </c>
      <c r="T235" s="26" t="s">
        <v>870</v>
      </c>
      <c r="U235" s="26">
        <v>0</v>
      </c>
    </row>
    <row r="236" spans="1:24">
      <c r="A236" s="48">
        <v>155</v>
      </c>
      <c r="B236" s="81"/>
      <c r="C236" s="81"/>
      <c r="D236" s="81"/>
      <c r="E236" s="80"/>
      <c r="F236" s="80"/>
      <c r="G236" s="36" t="s">
        <v>14</v>
      </c>
      <c r="H236" s="26" t="s">
        <v>920</v>
      </c>
      <c r="I236" s="26">
        <v>32</v>
      </c>
      <c r="J236" s="26">
        <v>170</v>
      </c>
      <c r="K236" s="26" t="s">
        <v>921</v>
      </c>
      <c r="L236" s="26" t="s">
        <v>465</v>
      </c>
      <c r="M236" s="26" t="s">
        <v>93</v>
      </c>
      <c r="N236" s="26" t="s">
        <v>70</v>
      </c>
      <c r="O236" s="26" t="s">
        <v>922</v>
      </c>
      <c r="P236" s="26" t="s">
        <v>31</v>
      </c>
      <c r="Q236" s="26" t="s">
        <v>57</v>
      </c>
      <c r="R236" s="26" t="s">
        <v>79</v>
      </c>
      <c r="S236" s="26" t="s">
        <v>923</v>
      </c>
      <c r="T236" s="26" t="s">
        <v>924</v>
      </c>
      <c r="U236" s="26" t="s">
        <v>925</v>
      </c>
    </row>
    <row r="237" spans="1:24">
      <c r="A237" s="48">
        <v>263</v>
      </c>
      <c r="B237" s="89"/>
      <c r="C237" s="89"/>
      <c r="D237" s="89"/>
      <c r="G237" s="26" t="s">
        <v>14</v>
      </c>
      <c r="H237" s="26" t="s">
        <v>1449</v>
      </c>
      <c r="I237" s="26">
        <v>32</v>
      </c>
      <c r="J237" s="26">
        <v>168</v>
      </c>
      <c r="K237" s="26" t="s">
        <v>1450</v>
      </c>
      <c r="L237" s="26" t="s">
        <v>25</v>
      </c>
      <c r="M237" s="26" t="s">
        <v>93</v>
      </c>
      <c r="N237" s="26" t="s">
        <v>1451</v>
      </c>
      <c r="O237" s="26" t="s">
        <v>1452</v>
      </c>
      <c r="P237" s="26" t="s">
        <v>9</v>
      </c>
      <c r="Q237" s="26" t="s">
        <v>29</v>
      </c>
      <c r="R237" s="26" t="s">
        <v>11</v>
      </c>
      <c r="S237" s="26" t="s">
        <v>1453</v>
      </c>
      <c r="T237" s="26" t="s">
        <v>1454</v>
      </c>
      <c r="U237" s="26">
        <v>0</v>
      </c>
    </row>
    <row r="238" spans="1:24">
      <c r="A238" s="48">
        <v>216</v>
      </c>
      <c r="B238" s="85"/>
      <c r="C238" s="85"/>
      <c r="D238" s="85"/>
      <c r="E238" s="80"/>
      <c r="F238" s="80"/>
      <c r="G238" s="26" t="s">
        <v>14</v>
      </c>
      <c r="H238" s="26" t="s">
        <v>1169</v>
      </c>
      <c r="I238" s="26">
        <v>32</v>
      </c>
      <c r="J238" s="26">
        <v>168</v>
      </c>
      <c r="K238" s="26" t="s">
        <v>1170</v>
      </c>
      <c r="L238" s="26" t="s">
        <v>82</v>
      </c>
      <c r="M238" s="26" t="s">
        <v>93</v>
      </c>
      <c r="N238" s="26" t="s">
        <v>59</v>
      </c>
      <c r="O238" s="26" t="s">
        <v>10</v>
      </c>
      <c r="P238" s="26" t="s">
        <v>9</v>
      </c>
      <c r="Q238" s="26" t="s">
        <v>29</v>
      </c>
      <c r="R238" s="26" t="s">
        <v>10</v>
      </c>
      <c r="S238" s="26" t="s">
        <v>1175</v>
      </c>
      <c r="T238" s="26" t="s">
        <v>1172</v>
      </c>
      <c r="U238" s="26" t="s">
        <v>1127</v>
      </c>
    </row>
    <row r="239" spans="1:24">
      <c r="A239" s="48">
        <v>108</v>
      </c>
      <c r="B239" s="81"/>
      <c r="C239" s="81"/>
      <c r="D239" s="81"/>
      <c r="E239" s="80"/>
      <c r="F239" s="80"/>
      <c r="G239" s="36" t="s">
        <v>14</v>
      </c>
      <c r="H239" s="26" t="s">
        <v>1898</v>
      </c>
      <c r="I239" s="26">
        <v>32</v>
      </c>
      <c r="J239" s="26">
        <v>165</v>
      </c>
      <c r="K239" s="26" t="s">
        <v>883</v>
      </c>
      <c r="L239" s="26" t="s">
        <v>25</v>
      </c>
      <c r="M239" s="26" t="s">
        <v>65</v>
      </c>
      <c r="N239" s="26" t="s">
        <v>884</v>
      </c>
      <c r="O239" s="26" t="s">
        <v>885</v>
      </c>
      <c r="P239" s="26" t="s">
        <v>9</v>
      </c>
      <c r="Q239" s="26" t="s">
        <v>29</v>
      </c>
      <c r="R239" s="26" t="s">
        <v>10</v>
      </c>
      <c r="S239" s="26" t="s">
        <v>886</v>
      </c>
      <c r="T239" s="26" t="s">
        <v>887</v>
      </c>
      <c r="U239" s="26">
        <v>0</v>
      </c>
    </row>
    <row r="240" spans="1:24">
      <c r="A240" s="48">
        <v>52</v>
      </c>
      <c r="B240" s="81"/>
      <c r="C240" s="81"/>
      <c r="D240" s="81"/>
      <c r="E240" s="80"/>
      <c r="F240" s="80"/>
      <c r="G240" s="36" t="s">
        <v>14</v>
      </c>
      <c r="H240" s="36" t="s">
        <v>58</v>
      </c>
      <c r="I240" s="26">
        <v>32</v>
      </c>
      <c r="J240" s="26">
        <v>163</v>
      </c>
      <c r="K240" s="26" t="s">
        <v>964</v>
      </c>
      <c r="L240" s="26" t="s">
        <v>36</v>
      </c>
      <c r="M240" s="26" t="s">
        <v>93</v>
      </c>
      <c r="N240" s="26" t="s">
        <v>965</v>
      </c>
      <c r="O240" s="26" t="s">
        <v>966</v>
      </c>
      <c r="P240" s="26" t="s">
        <v>75</v>
      </c>
      <c r="Q240" s="26" t="s">
        <v>29</v>
      </c>
      <c r="R240" s="26" t="s">
        <v>10</v>
      </c>
      <c r="S240" s="26" t="s">
        <v>967</v>
      </c>
      <c r="T240" s="26" t="s">
        <v>968</v>
      </c>
      <c r="U240" s="26">
        <v>0</v>
      </c>
    </row>
    <row r="241" spans="1:21">
      <c r="A241" s="48">
        <v>243</v>
      </c>
      <c r="B241" s="86"/>
      <c r="C241" s="86"/>
      <c r="D241" s="86"/>
      <c r="G241" s="26" t="s">
        <v>14</v>
      </c>
      <c r="H241" s="26" t="s">
        <v>1319</v>
      </c>
      <c r="I241" s="26">
        <v>32</v>
      </c>
      <c r="J241" s="26">
        <v>162</v>
      </c>
      <c r="K241" s="26" t="s">
        <v>1320</v>
      </c>
      <c r="L241" s="26" t="s">
        <v>36</v>
      </c>
      <c r="M241" s="26" t="s">
        <v>93</v>
      </c>
      <c r="N241" s="26" t="s">
        <v>252</v>
      </c>
      <c r="O241" s="26" t="s">
        <v>10</v>
      </c>
      <c r="P241" s="26" t="s">
        <v>75</v>
      </c>
      <c r="Q241" s="26" t="s">
        <v>10</v>
      </c>
      <c r="R241" s="26" t="s">
        <v>11</v>
      </c>
      <c r="S241" s="26" t="s">
        <v>1321</v>
      </c>
      <c r="T241" s="26" t="s">
        <v>1322</v>
      </c>
      <c r="U241" s="26">
        <v>0</v>
      </c>
    </row>
    <row r="242" spans="1:21">
      <c r="A242" s="48">
        <v>266</v>
      </c>
      <c r="B242" s="84"/>
      <c r="C242" s="84"/>
      <c r="D242" s="84"/>
      <c r="G242" s="26" t="s">
        <v>14</v>
      </c>
      <c r="H242" s="26" t="s">
        <v>1463</v>
      </c>
      <c r="I242" s="26">
        <v>32</v>
      </c>
      <c r="J242" s="26">
        <v>161</v>
      </c>
      <c r="K242" s="26" t="s">
        <v>1464</v>
      </c>
      <c r="L242" s="26" t="s">
        <v>25</v>
      </c>
      <c r="M242" s="26" t="s">
        <v>93</v>
      </c>
      <c r="N242" s="26" t="s">
        <v>746</v>
      </c>
      <c r="O242" s="26" t="s">
        <v>10</v>
      </c>
      <c r="P242" s="26" t="s">
        <v>31</v>
      </c>
      <c r="Q242" s="26" t="s">
        <v>10</v>
      </c>
      <c r="R242" s="26" t="s">
        <v>11</v>
      </c>
      <c r="S242" s="26" t="s">
        <v>1465</v>
      </c>
      <c r="T242" s="26" t="s">
        <v>1466</v>
      </c>
      <c r="U242" s="26">
        <v>0</v>
      </c>
    </row>
    <row r="243" spans="1:21">
      <c r="A243" s="48">
        <v>255</v>
      </c>
      <c r="B243" s="97"/>
      <c r="C243" s="78"/>
      <c r="D243" s="78"/>
      <c r="G243" s="26" t="s">
        <v>14</v>
      </c>
      <c r="H243" s="26" t="s">
        <v>1386</v>
      </c>
      <c r="I243" s="26">
        <v>32</v>
      </c>
      <c r="J243" s="26">
        <v>160</v>
      </c>
      <c r="K243" s="26" t="s">
        <v>1387</v>
      </c>
      <c r="L243" s="26" t="s">
        <v>25</v>
      </c>
      <c r="M243" s="26" t="s">
        <v>458</v>
      </c>
      <c r="N243" s="26" t="s">
        <v>19</v>
      </c>
      <c r="O243" s="26" t="s">
        <v>10</v>
      </c>
      <c r="P243" s="26" t="s">
        <v>9</v>
      </c>
      <c r="Q243" s="26" t="s">
        <v>29</v>
      </c>
      <c r="R243" s="26" t="s">
        <v>10</v>
      </c>
      <c r="S243" s="26" t="s">
        <v>1388</v>
      </c>
      <c r="T243" s="26" t="s">
        <v>1389</v>
      </c>
      <c r="U243" s="26"/>
    </row>
    <row r="244" spans="1:21">
      <c r="A244" s="48">
        <v>180</v>
      </c>
      <c r="B244" s="90"/>
      <c r="C244" s="81"/>
      <c r="D244" s="81"/>
      <c r="E244" s="80"/>
      <c r="F244" s="80"/>
      <c r="G244" s="26" t="s">
        <v>14</v>
      </c>
      <c r="H244" s="26" t="s">
        <v>231</v>
      </c>
      <c r="I244" s="26">
        <v>32</v>
      </c>
      <c r="J244" s="26">
        <v>160</v>
      </c>
      <c r="K244" s="26" t="s">
        <v>232</v>
      </c>
      <c r="L244" s="26" t="s">
        <v>25</v>
      </c>
      <c r="M244" s="26" t="s">
        <v>93</v>
      </c>
      <c r="N244" s="26" t="s">
        <v>28</v>
      </c>
      <c r="O244" s="26" t="s">
        <v>10</v>
      </c>
      <c r="P244" s="26" t="s">
        <v>9</v>
      </c>
      <c r="Q244" s="26">
        <v>0</v>
      </c>
      <c r="R244" s="26" t="s">
        <v>10</v>
      </c>
      <c r="S244" s="26" t="s">
        <v>233</v>
      </c>
      <c r="T244" s="26" t="s">
        <v>234</v>
      </c>
      <c r="U244" s="26">
        <v>0</v>
      </c>
    </row>
    <row r="245" spans="1:21">
      <c r="A245" s="48">
        <v>164</v>
      </c>
      <c r="B245" s="90"/>
      <c r="C245" s="81"/>
      <c r="D245" s="81"/>
      <c r="E245" s="80"/>
      <c r="F245" s="80"/>
      <c r="G245" s="26" t="s">
        <v>14</v>
      </c>
      <c r="H245" s="36" t="s">
        <v>1010</v>
      </c>
      <c r="I245" s="26">
        <v>32</v>
      </c>
      <c r="J245" s="26">
        <v>159</v>
      </c>
      <c r="K245" s="26" t="s">
        <v>1011</v>
      </c>
      <c r="L245" s="26" t="s">
        <v>82</v>
      </c>
      <c r="M245" s="26" t="s">
        <v>15</v>
      </c>
      <c r="N245" s="26" t="s">
        <v>85</v>
      </c>
      <c r="O245" s="26" t="s">
        <v>10</v>
      </c>
      <c r="P245" s="26" t="s">
        <v>9</v>
      </c>
      <c r="Q245" s="26" t="s">
        <v>10</v>
      </c>
      <c r="R245" s="26" t="s">
        <v>497</v>
      </c>
      <c r="S245" s="26" t="s">
        <v>1012</v>
      </c>
      <c r="T245" s="26" t="s">
        <v>1013</v>
      </c>
      <c r="U245" s="26">
        <v>0</v>
      </c>
    </row>
    <row r="246" spans="1:21">
      <c r="A246" s="48">
        <v>195</v>
      </c>
      <c r="B246" s="96"/>
      <c r="C246" s="85"/>
      <c r="D246" s="85"/>
      <c r="E246" s="80"/>
      <c r="F246" s="80"/>
      <c r="G246" s="26" t="s">
        <v>14</v>
      </c>
      <c r="H246" s="26" t="s">
        <v>206</v>
      </c>
      <c r="I246" s="26">
        <v>32</v>
      </c>
      <c r="J246" s="26">
        <v>158</v>
      </c>
      <c r="K246" s="26" t="s">
        <v>207</v>
      </c>
      <c r="L246" s="26" t="s">
        <v>36</v>
      </c>
      <c r="M246" s="26" t="s">
        <v>55</v>
      </c>
      <c r="N246" s="26" t="s">
        <v>37</v>
      </c>
      <c r="O246" s="26" t="s">
        <v>208</v>
      </c>
      <c r="P246" s="26" t="s">
        <v>75</v>
      </c>
      <c r="Q246" s="26" t="s">
        <v>29</v>
      </c>
      <c r="R246" s="26" t="s">
        <v>79</v>
      </c>
      <c r="S246" s="26" t="s">
        <v>209</v>
      </c>
      <c r="T246" s="26" t="s">
        <v>210</v>
      </c>
      <c r="U246" s="26">
        <v>0</v>
      </c>
    </row>
    <row r="247" spans="1:21">
      <c r="A247" s="48">
        <v>226</v>
      </c>
      <c r="B247" s="108"/>
      <c r="C247" s="88"/>
      <c r="D247" s="88"/>
      <c r="E247" s="80"/>
      <c r="F247" s="80"/>
      <c r="G247" s="26" t="s">
        <v>14</v>
      </c>
      <c r="H247" s="26" t="s">
        <v>1219</v>
      </c>
      <c r="I247" s="26">
        <v>32</v>
      </c>
      <c r="J247" s="26">
        <v>158</v>
      </c>
      <c r="K247" s="26" t="s">
        <v>1220</v>
      </c>
      <c r="L247" s="26" t="s">
        <v>82</v>
      </c>
      <c r="M247" s="26" t="s">
        <v>458</v>
      </c>
      <c r="N247" s="26" t="s">
        <v>80</v>
      </c>
      <c r="O247" s="26" t="s">
        <v>10</v>
      </c>
      <c r="P247" s="26" t="s">
        <v>9</v>
      </c>
      <c r="Q247" s="26" t="s">
        <v>29</v>
      </c>
      <c r="R247" s="26" t="s">
        <v>11</v>
      </c>
      <c r="S247" s="26" t="s">
        <v>1221</v>
      </c>
      <c r="T247" s="26" t="s">
        <v>1222</v>
      </c>
      <c r="U247" s="26">
        <v>0</v>
      </c>
    </row>
    <row r="248" spans="1:21">
      <c r="A248" s="48">
        <v>58</v>
      </c>
      <c r="B248" s="90"/>
      <c r="C248" s="81"/>
      <c r="D248" s="81"/>
      <c r="E248" s="80"/>
      <c r="F248" s="80"/>
      <c r="G248" s="26" t="s">
        <v>14</v>
      </c>
      <c r="H248" s="26" t="s">
        <v>1031</v>
      </c>
      <c r="I248" s="26">
        <v>32</v>
      </c>
      <c r="J248" s="26">
        <v>158</v>
      </c>
      <c r="K248" s="26" t="s">
        <v>1032</v>
      </c>
      <c r="L248" s="26" t="s">
        <v>25</v>
      </c>
      <c r="M248" s="26" t="s">
        <v>15</v>
      </c>
      <c r="N248" s="26" t="s">
        <v>18</v>
      </c>
      <c r="O248" s="26" t="s">
        <v>10</v>
      </c>
      <c r="P248" s="26" t="s">
        <v>9</v>
      </c>
      <c r="Q248" s="26" t="s">
        <v>10</v>
      </c>
      <c r="R248" s="26" t="s">
        <v>69</v>
      </c>
      <c r="S248" s="26" t="s">
        <v>1033</v>
      </c>
      <c r="T248" s="26" t="s">
        <v>1034</v>
      </c>
      <c r="U248" s="26">
        <v>0</v>
      </c>
    </row>
    <row r="249" spans="1:21">
      <c r="A249" s="107">
        <v>66</v>
      </c>
      <c r="B249" s="90"/>
      <c r="C249" s="81"/>
      <c r="D249" s="81"/>
      <c r="E249" s="80"/>
      <c r="F249" s="80"/>
      <c r="G249" s="26" t="s">
        <v>14</v>
      </c>
      <c r="H249" s="26" t="s">
        <v>265</v>
      </c>
      <c r="I249" s="26">
        <v>32</v>
      </c>
      <c r="J249" s="26">
        <v>155</v>
      </c>
      <c r="K249" s="26" t="s">
        <v>266</v>
      </c>
      <c r="L249" s="26" t="s">
        <v>36</v>
      </c>
      <c r="M249" s="26" t="s">
        <v>10</v>
      </c>
      <c r="N249" s="26" t="s">
        <v>267</v>
      </c>
      <c r="O249" s="26" t="s">
        <v>10</v>
      </c>
      <c r="P249" s="26" t="s">
        <v>9</v>
      </c>
      <c r="Q249" s="26" t="s">
        <v>10</v>
      </c>
      <c r="R249" s="26" t="s">
        <v>10</v>
      </c>
      <c r="S249" s="26" t="s">
        <v>268</v>
      </c>
      <c r="T249" s="26" t="s">
        <v>269</v>
      </c>
      <c r="U249" s="26">
        <v>0</v>
      </c>
    </row>
    <row r="250" spans="1:21">
      <c r="A250" s="48">
        <v>78</v>
      </c>
      <c r="B250" s="90"/>
      <c r="C250" s="81"/>
      <c r="D250" s="81"/>
      <c r="E250" s="80"/>
      <c r="F250" s="80"/>
      <c r="G250" s="36" t="s">
        <v>14</v>
      </c>
      <c r="H250" s="26" t="s">
        <v>348</v>
      </c>
      <c r="I250" s="26">
        <v>32</v>
      </c>
      <c r="J250" s="26">
        <v>153</v>
      </c>
      <c r="K250" s="26" t="s">
        <v>349</v>
      </c>
      <c r="L250" s="26" t="s">
        <v>62</v>
      </c>
      <c r="M250" s="26" t="s">
        <v>55</v>
      </c>
      <c r="N250" s="26" t="s">
        <v>59</v>
      </c>
      <c r="O250" s="26" t="s">
        <v>10</v>
      </c>
      <c r="P250" s="26" t="s">
        <v>9</v>
      </c>
      <c r="Q250" s="26" t="s">
        <v>10</v>
      </c>
      <c r="R250" s="26" t="s">
        <v>10</v>
      </c>
      <c r="S250" s="26" t="s">
        <v>350</v>
      </c>
      <c r="T250" s="26" t="s">
        <v>351</v>
      </c>
      <c r="U250" s="26">
        <v>0</v>
      </c>
    </row>
    <row r="251" spans="1:21">
      <c r="A251" s="48">
        <v>30</v>
      </c>
      <c r="B251" s="90"/>
      <c r="C251" s="81"/>
      <c r="D251" s="81"/>
      <c r="E251" s="80"/>
      <c r="F251" s="80"/>
      <c r="G251" s="26" t="s">
        <v>14</v>
      </c>
      <c r="H251" s="26" t="s">
        <v>1079</v>
      </c>
      <c r="I251" s="26">
        <v>31</v>
      </c>
      <c r="J251" s="26">
        <v>175</v>
      </c>
      <c r="K251" s="26" t="s">
        <v>1080</v>
      </c>
      <c r="L251" s="26" t="s">
        <v>459</v>
      </c>
      <c r="M251" s="26" t="s">
        <v>65</v>
      </c>
      <c r="N251" s="26" t="s">
        <v>732</v>
      </c>
      <c r="O251" s="26" t="s">
        <v>1081</v>
      </c>
      <c r="P251" s="26">
        <v>0</v>
      </c>
      <c r="Q251" s="26">
        <v>0</v>
      </c>
      <c r="R251" s="26" t="s">
        <v>1084</v>
      </c>
      <c r="S251" s="26" t="s">
        <v>1082</v>
      </c>
      <c r="T251" s="26" t="s">
        <v>1083</v>
      </c>
      <c r="U251" s="26" t="s">
        <v>1085</v>
      </c>
    </row>
    <row r="252" spans="1:21">
      <c r="A252" s="48">
        <v>198</v>
      </c>
      <c r="B252" s="96"/>
      <c r="C252" s="85"/>
      <c r="D252" s="85"/>
      <c r="E252" s="80"/>
      <c r="F252" s="80"/>
      <c r="G252" s="36" t="s">
        <v>14</v>
      </c>
      <c r="H252" s="26" t="s">
        <v>1055</v>
      </c>
      <c r="I252" s="26">
        <v>31</v>
      </c>
      <c r="J252" s="26">
        <v>173</v>
      </c>
      <c r="K252" s="26" t="s">
        <v>1057</v>
      </c>
      <c r="L252" s="26" t="s">
        <v>36</v>
      </c>
      <c r="M252" s="26" t="s">
        <v>93</v>
      </c>
      <c r="N252" s="26" t="s">
        <v>12</v>
      </c>
      <c r="O252" s="26" t="s">
        <v>10</v>
      </c>
      <c r="P252" s="26">
        <v>0</v>
      </c>
      <c r="Q252" s="26">
        <v>0</v>
      </c>
      <c r="R252" s="26">
        <v>0</v>
      </c>
      <c r="S252" s="26" t="s">
        <v>1058</v>
      </c>
      <c r="T252" s="26" t="s">
        <v>1059</v>
      </c>
      <c r="U252" s="26" t="s">
        <v>1060</v>
      </c>
    </row>
    <row r="253" spans="1:21">
      <c r="A253" s="48">
        <v>2</v>
      </c>
      <c r="B253" s="90"/>
      <c r="C253" s="81"/>
      <c r="D253" s="81"/>
      <c r="E253" s="80"/>
      <c r="F253" s="80"/>
      <c r="G253" s="26" t="s">
        <v>14</v>
      </c>
      <c r="H253" s="26" t="s">
        <v>555</v>
      </c>
      <c r="I253" s="26">
        <v>31</v>
      </c>
      <c r="J253" s="26">
        <v>169</v>
      </c>
      <c r="K253" s="26" t="s">
        <v>556</v>
      </c>
      <c r="L253" s="26" t="s">
        <v>462</v>
      </c>
      <c r="M253" s="26" t="s">
        <v>65</v>
      </c>
      <c r="N253" s="26" t="s">
        <v>557</v>
      </c>
      <c r="O253" s="26" t="s">
        <v>10</v>
      </c>
      <c r="P253" s="26" t="s">
        <v>9</v>
      </c>
      <c r="Q253" s="26" t="s">
        <v>29</v>
      </c>
      <c r="R253" s="26" t="s">
        <v>10</v>
      </c>
      <c r="S253" s="26" t="s">
        <v>558</v>
      </c>
      <c r="T253" s="26" t="s">
        <v>559</v>
      </c>
      <c r="U253" s="26">
        <v>0</v>
      </c>
    </row>
    <row r="254" spans="1:21">
      <c r="A254" s="48">
        <v>48</v>
      </c>
      <c r="B254" s="90"/>
      <c r="C254" s="81"/>
      <c r="D254" s="81"/>
      <c r="E254" s="80"/>
      <c r="F254" s="80"/>
      <c r="G254" s="26" t="s">
        <v>14</v>
      </c>
      <c r="H254" s="26" t="s">
        <v>998</v>
      </c>
      <c r="I254" s="26">
        <v>31</v>
      </c>
      <c r="J254" s="26">
        <v>167</v>
      </c>
      <c r="K254" s="26" t="s">
        <v>273</v>
      </c>
      <c r="L254" s="26" t="s">
        <v>25</v>
      </c>
      <c r="M254" s="26" t="s">
        <v>93</v>
      </c>
      <c r="N254" s="26" t="s">
        <v>35</v>
      </c>
      <c r="O254" s="26" t="s">
        <v>10</v>
      </c>
      <c r="P254" s="26" t="s">
        <v>20</v>
      </c>
      <c r="Q254" s="26" t="s">
        <v>10</v>
      </c>
      <c r="R254" s="26" t="s">
        <v>11</v>
      </c>
      <c r="S254" s="26" t="s">
        <v>999</v>
      </c>
      <c r="T254" s="26" t="s">
        <v>1000</v>
      </c>
      <c r="U254" s="26">
        <v>0</v>
      </c>
    </row>
    <row r="255" spans="1:21">
      <c r="A255" s="48">
        <v>163</v>
      </c>
      <c r="B255" s="90"/>
      <c r="C255" s="81"/>
      <c r="D255" s="81"/>
      <c r="E255" s="80"/>
      <c r="F255" s="80"/>
      <c r="G255" s="36" t="s">
        <v>14</v>
      </c>
      <c r="H255" s="26" t="s">
        <v>675</v>
      </c>
      <c r="I255" s="26">
        <v>31</v>
      </c>
      <c r="J255" s="26">
        <v>165</v>
      </c>
      <c r="K255" s="26" t="s">
        <v>677</v>
      </c>
      <c r="L255" s="26" t="s">
        <v>764</v>
      </c>
      <c r="M255" s="26" t="s">
        <v>93</v>
      </c>
      <c r="N255" s="26" t="s">
        <v>263</v>
      </c>
      <c r="O255" s="26" t="s">
        <v>678</v>
      </c>
      <c r="P255" s="26" t="s">
        <v>31</v>
      </c>
      <c r="Q255" s="26" t="s">
        <v>29</v>
      </c>
      <c r="R255" s="26" t="s">
        <v>10</v>
      </c>
      <c r="S255" s="26" t="s">
        <v>679</v>
      </c>
      <c r="T255" s="26" t="s">
        <v>680</v>
      </c>
      <c r="U255" s="26">
        <v>0</v>
      </c>
    </row>
    <row r="256" spans="1:21">
      <c r="A256" s="48">
        <v>45</v>
      </c>
      <c r="B256" s="90"/>
      <c r="C256" s="80"/>
      <c r="D256" s="80"/>
      <c r="E256" s="80"/>
      <c r="F256" s="80"/>
      <c r="G256" s="26" t="s">
        <v>14</v>
      </c>
      <c r="H256" s="36" t="s">
        <v>487</v>
      </c>
      <c r="I256" s="26">
        <v>31</v>
      </c>
      <c r="J256" s="26">
        <v>165</v>
      </c>
      <c r="K256" s="26" t="s">
        <v>488</v>
      </c>
      <c r="L256" s="26" t="s">
        <v>82</v>
      </c>
      <c r="M256" s="26" t="s">
        <v>458</v>
      </c>
      <c r="N256" s="26" t="s">
        <v>19</v>
      </c>
      <c r="O256" s="26" t="s">
        <v>10</v>
      </c>
      <c r="P256" s="26" t="s">
        <v>31</v>
      </c>
      <c r="Q256" s="26" t="s">
        <v>10</v>
      </c>
      <c r="R256" s="26" t="s">
        <v>10</v>
      </c>
      <c r="S256" s="26" t="s">
        <v>489</v>
      </c>
      <c r="T256" s="26" t="s">
        <v>490</v>
      </c>
      <c r="U256" s="26">
        <v>0</v>
      </c>
    </row>
    <row r="257" spans="1:21">
      <c r="A257" s="48">
        <v>204</v>
      </c>
      <c r="B257" s="96"/>
      <c r="C257" s="85"/>
      <c r="D257" s="85"/>
      <c r="E257" s="80"/>
      <c r="F257" s="80"/>
      <c r="G257" s="26" t="s">
        <v>14</v>
      </c>
      <c r="H257" s="36" t="s">
        <v>831</v>
      </c>
      <c r="I257" s="26">
        <v>31</v>
      </c>
      <c r="J257" s="26">
        <v>165</v>
      </c>
      <c r="K257" s="26" t="s">
        <v>832</v>
      </c>
      <c r="L257" s="26" t="s">
        <v>462</v>
      </c>
      <c r="M257" s="26" t="s">
        <v>15</v>
      </c>
      <c r="N257" s="26" t="s">
        <v>480</v>
      </c>
      <c r="O257" s="26" t="s">
        <v>833</v>
      </c>
      <c r="P257" s="26" t="s">
        <v>9</v>
      </c>
      <c r="Q257" s="26" t="s">
        <v>10</v>
      </c>
      <c r="R257" s="26" t="s">
        <v>10</v>
      </c>
      <c r="S257" s="26" t="s">
        <v>834</v>
      </c>
      <c r="T257" s="26" t="s">
        <v>835</v>
      </c>
      <c r="U257" s="26" t="s">
        <v>836</v>
      </c>
    </row>
    <row r="258" spans="1:21">
      <c r="A258" s="48">
        <v>39</v>
      </c>
      <c r="B258" s="90"/>
      <c r="C258" s="81"/>
      <c r="D258" s="81"/>
      <c r="E258" s="80"/>
      <c r="F258" s="80"/>
      <c r="G258" s="26" t="s">
        <v>14</v>
      </c>
      <c r="H258" s="26" t="s">
        <v>800</v>
      </c>
      <c r="I258" s="26">
        <v>31</v>
      </c>
      <c r="J258" s="26">
        <v>164</v>
      </c>
      <c r="K258" s="26" t="s">
        <v>801</v>
      </c>
      <c r="L258" s="26" t="s">
        <v>36</v>
      </c>
      <c r="M258" s="26" t="s">
        <v>93</v>
      </c>
      <c r="N258" s="26" t="s">
        <v>802</v>
      </c>
      <c r="O258" s="26" t="s">
        <v>10</v>
      </c>
      <c r="P258" s="26" t="s">
        <v>75</v>
      </c>
      <c r="Q258" s="26" t="s">
        <v>29</v>
      </c>
      <c r="R258" s="26" t="s">
        <v>11</v>
      </c>
      <c r="S258" s="26" t="s">
        <v>803</v>
      </c>
      <c r="T258" s="26" t="s">
        <v>804</v>
      </c>
      <c r="U258" s="26">
        <v>0</v>
      </c>
    </row>
    <row r="259" spans="1:21">
      <c r="A259" s="48">
        <v>74</v>
      </c>
      <c r="B259" s="81"/>
      <c r="C259" s="81"/>
      <c r="D259" s="81"/>
      <c r="E259" s="80"/>
      <c r="F259" s="80"/>
      <c r="G259" s="47" t="s">
        <v>14</v>
      </c>
      <c r="H259" s="5" t="s">
        <v>560</v>
      </c>
      <c r="I259" s="50">
        <v>31</v>
      </c>
      <c r="J259" s="37">
        <v>163</v>
      </c>
      <c r="K259" s="4" t="s">
        <v>181</v>
      </c>
      <c r="L259" s="4" t="s">
        <v>82</v>
      </c>
      <c r="M259" s="4" t="s">
        <v>458</v>
      </c>
      <c r="N259" s="4" t="s">
        <v>81</v>
      </c>
      <c r="O259" s="4" t="s">
        <v>10</v>
      </c>
      <c r="P259" s="4" t="s">
        <v>9</v>
      </c>
      <c r="Q259" s="4" t="s">
        <v>10</v>
      </c>
      <c r="R259" s="4" t="s">
        <v>10</v>
      </c>
      <c r="S259" s="4" t="s">
        <v>562</v>
      </c>
      <c r="T259" s="4" t="s">
        <v>563</v>
      </c>
      <c r="U259" s="4">
        <v>0</v>
      </c>
    </row>
    <row r="260" spans="1:21">
      <c r="A260" s="48">
        <v>290</v>
      </c>
      <c r="B260" s="84"/>
      <c r="C260" s="84"/>
      <c r="D260" s="84"/>
      <c r="G260" s="26" t="s">
        <v>14</v>
      </c>
      <c r="H260" s="26" t="s">
        <v>1558</v>
      </c>
      <c r="I260" s="26">
        <v>31</v>
      </c>
      <c r="J260" s="26">
        <v>162</v>
      </c>
      <c r="K260" s="26" t="s">
        <v>1560</v>
      </c>
      <c r="L260" s="26" t="s">
        <v>82</v>
      </c>
      <c r="M260" s="26" t="s">
        <v>15</v>
      </c>
      <c r="N260" s="26" t="s">
        <v>12</v>
      </c>
      <c r="O260" s="26" t="s">
        <v>10</v>
      </c>
      <c r="P260" s="26" t="s">
        <v>9</v>
      </c>
      <c r="Q260" s="26" t="s">
        <v>29</v>
      </c>
      <c r="R260" s="26" t="s">
        <v>60</v>
      </c>
      <c r="S260" s="26" t="s">
        <v>1561</v>
      </c>
      <c r="T260" s="26" t="s">
        <v>1562</v>
      </c>
      <c r="U260" s="26">
        <v>0</v>
      </c>
    </row>
    <row r="261" spans="1:21">
      <c r="A261" s="48">
        <v>189</v>
      </c>
      <c r="B261" s="81"/>
      <c r="C261" s="81"/>
      <c r="D261" s="81"/>
      <c r="E261" s="80"/>
      <c r="F261" s="80"/>
      <c r="G261" s="26" t="s">
        <v>14</v>
      </c>
      <c r="H261" s="36" t="s">
        <v>876</v>
      </c>
      <c r="I261" s="26">
        <v>31</v>
      </c>
      <c r="J261" s="26">
        <v>161</v>
      </c>
      <c r="K261" s="26" t="s">
        <v>877</v>
      </c>
      <c r="L261" s="26" t="s">
        <v>36</v>
      </c>
      <c r="M261" s="26" t="s">
        <v>15</v>
      </c>
      <c r="N261" s="26" t="s">
        <v>878</v>
      </c>
      <c r="O261" s="26" t="s">
        <v>10</v>
      </c>
      <c r="P261" s="26" t="s">
        <v>879</v>
      </c>
      <c r="Q261" s="26" t="s">
        <v>10</v>
      </c>
      <c r="R261" s="26" t="s">
        <v>11</v>
      </c>
      <c r="S261" s="26" t="s">
        <v>880</v>
      </c>
      <c r="T261" s="26" t="s">
        <v>881</v>
      </c>
      <c r="U261" s="26">
        <v>0</v>
      </c>
    </row>
    <row r="262" spans="1:21">
      <c r="A262" s="48">
        <v>86</v>
      </c>
      <c r="B262" s="81"/>
      <c r="C262" s="81"/>
      <c r="D262" s="81"/>
      <c r="E262" s="80"/>
      <c r="F262" s="80"/>
      <c r="G262" s="36" t="s">
        <v>14</v>
      </c>
      <c r="H262" s="36" t="s">
        <v>503</v>
      </c>
      <c r="I262" s="26">
        <v>31</v>
      </c>
      <c r="J262" s="26">
        <v>161</v>
      </c>
      <c r="K262" s="26" t="s">
        <v>273</v>
      </c>
      <c r="L262" s="26" t="s">
        <v>25</v>
      </c>
      <c r="M262" s="26" t="s">
        <v>15</v>
      </c>
      <c r="N262" s="26" t="s">
        <v>70</v>
      </c>
      <c r="O262" s="26" t="s">
        <v>504</v>
      </c>
      <c r="P262" s="26" t="s">
        <v>31</v>
      </c>
      <c r="Q262" s="26" t="s">
        <v>29</v>
      </c>
      <c r="R262" s="26" t="s">
        <v>10</v>
      </c>
      <c r="S262" s="26" t="s">
        <v>505</v>
      </c>
      <c r="T262" s="26" t="s">
        <v>506</v>
      </c>
      <c r="U262" s="26" t="s">
        <v>507</v>
      </c>
    </row>
    <row r="263" spans="1:21">
      <c r="A263" s="48">
        <v>298</v>
      </c>
      <c r="B263" s="84"/>
      <c r="C263" s="84"/>
      <c r="D263" s="84"/>
      <c r="G263" s="26" t="s">
        <v>14</v>
      </c>
      <c r="H263" s="26" t="s">
        <v>1632</v>
      </c>
      <c r="I263" s="26">
        <v>31</v>
      </c>
      <c r="J263" s="26">
        <v>160</v>
      </c>
      <c r="K263" s="26" t="s">
        <v>1633</v>
      </c>
      <c r="L263" s="26" t="s">
        <v>36</v>
      </c>
      <c r="M263" s="26" t="s">
        <v>93</v>
      </c>
      <c r="N263" s="26" t="s">
        <v>1125</v>
      </c>
      <c r="O263" s="26" t="s">
        <v>10</v>
      </c>
      <c r="P263" s="26" t="s">
        <v>9</v>
      </c>
      <c r="Q263" s="26" t="s">
        <v>10</v>
      </c>
      <c r="R263" s="26" t="s">
        <v>10</v>
      </c>
      <c r="S263" s="26" t="s">
        <v>1675</v>
      </c>
      <c r="T263" s="26" t="s">
        <v>1676</v>
      </c>
      <c r="U263" s="26">
        <v>0</v>
      </c>
    </row>
    <row r="264" spans="1:21">
      <c r="A264" s="48">
        <v>46</v>
      </c>
      <c r="B264" s="81"/>
      <c r="C264" s="81"/>
      <c r="D264" s="81"/>
      <c r="E264" s="80"/>
      <c r="F264" s="80"/>
      <c r="G264" s="36" t="s">
        <v>14</v>
      </c>
      <c r="H264" s="36" t="s">
        <v>722</v>
      </c>
      <c r="I264" s="26">
        <v>31</v>
      </c>
      <c r="J264" s="26">
        <v>160</v>
      </c>
      <c r="K264" s="26" t="s">
        <v>723</v>
      </c>
      <c r="L264" s="26" t="s">
        <v>25</v>
      </c>
      <c r="M264" s="26" t="s">
        <v>769</v>
      </c>
      <c r="N264" s="26" t="s">
        <v>35</v>
      </c>
      <c r="O264" s="26" t="s">
        <v>10</v>
      </c>
      <c r="P264" s="26" t="s">
        <v>9</v>
      </c>
      <c r="Q264" s="26" t="s">
        <v>29</v>
      </c>
      <c r="R264" s="26" t="s">
        <v>69</v>
      </c>
      <c r="S264" s="26" t="s">
        <v>724</v>
      </c>
      <c r="T264" s="26" t="s">
        <v>725</v>
      </c>
      <c r="U264" s="26">
        <v>0</v>
      </c>
    </row>
    <row r="265" spans="1:21">
      <c r="A265" s="48">
        <v>5</v>
      </c>
      <c r="B265" s="81"/>
      <c r="C265" s="81"/>
      <c r="D265" s="81"/>
      <c r="E265" s="80"/>
      <c r="F265" s="80"/>
      <c r="G265" s="5" t="s">
        <v>14</v>
      </c>
      <c r="H265" s="5" t="s">
        <v>357</v>
      </c>
      <c r="I265" s="50">
        <v>31</v>
      </c>
      <c r="J265" s="37">
        <v>158</v>
      </c>
      <c r="K265" s="4" t="s">
        <v>358</v>
      </c>
      <c r="L265" s="4" t="s">
        <v>36</v>
      </c>
      <c r="M265" s="4" t="s">
        <v>15</v>
      </c>
      <c r="N265" s="4" t="s">
        <v>12</v>
      </c>
      <c r="O265" s="4" t="s">
        <v>359</v>
      </c>
      <c r="P265" s="4" t="s">
        <v>9</v>
      </c>
      <c r="Q265" s="4" t="s">
        <v>10</v>
      </c>
      <c r="R265" s="4" t="s">
        <v>10</v>
      </c>
      <c r="S265" s="4" t="s">
        <v>360</v>
      </c>
      <c r="T265" s="4" t="s">
        <v>361</v>
      </c>
      <c r="U265" s="4">
        <v>0</v>
      </c>
    </row>
    <row r="266" spans="1:21">
      <c r="A266" s="48">
        <v>115</v>
      </c>
      <c r="B266" s="81"/>
      <c r="C266" s="81"/>
      <c r="D266" s="81"/>
      <c r="E266" s="80"/>
      <c r="F266" s="80"/>
      <c r="G266" s="36" t="s">
        <v>14</v>
      </c>
      <c r="H266" s="36" t="s">
        <v>785</v>
      </c>
      <c r="I266" s="26">
        <v>31</v>
      </c>
      <c r="J266" s="26">
        <v>158</v>
      </c>
      <c r="K266" s="26" t="s">
        <v>786</v>
      </c>
      <c r="L266" s="26" t="s">
        <v>25</v>
      </c>
      <c r="M266" s="26" t="s">
        <v>15</v>
      </c>
      <c r="N266" s="26" t="s">
        <v>30</v>
      </c>
      <c r="O266" s="26" t="s">
        <v>10</v>
      </c>
      <c r="P266" s="26" t="s">
        <v>49</v>
      </c>
      <c r="Q266" s="26" t="s">
        <v>57</v>
      </c>
      <c r="R266" s="26" t="s">
        <v>10</v>
      </c>
      <c r="S266" s="26" t="s">
        <v>787</v>
      </c>
      <c r="T266" s="26" t="s">
        <v>788</v>
      </c>
      <c r="U266" s="26">
        <v>0</v>
      </c>
    </row>
    <row r="267" spans="1:21">
      <c r="A267" s="48">
        <v>238</v>
      </c>
      <c r="B267" s="87"/>
      <c r="C267" s="87"/>
      <c r="D267" s="87"/>
      <c r="F267" s="87"/>
      <c r="G267" s="26" t="s">
        <v>14</v>
      </c>
      <c r="H267" s="26" t="s">
        <v>1294</v>
      </c>
      <c r="I267" s="26">
        <v>31</v>
      </c>
      <c r="J267" s="26">
        <v>156</v>
      </c>
      <c r="K267" s="26" t="s">
        <v>1295</v>
      </c>
      <c r="L267" s="26" t="s">
        <v>36</v>
      </c>
      <c r="M267" s="26" t="s">
        <v>458</v>
      </c>
      <c r="N267" s="26" t="s">
        <v>71</v>
      </c>
      <c r="O267" s="26" t="s">
        <v>10</v>
      </c>
      <c r="P267" s="26" t="s">
        <v>75</v>
      </c>
      <c r="Q267" s="26" t="s">
        <v>57</v>
      </c>
      <c r="R267" s="26" t="s">
        <v>10</v>
      </c>
      <c r="S267" s="26" t="s">
        <v>1296</v>
      </c>
      <c r="T267" s="26" t="s">
        <v>1297</v>
      </c>
      <c r="U267" s="26">
        <v>0</v>
      </c>
    </row>
    <row r="268" spans="1:21">
      <c r="A268" s="107">
        <v>178</v>
      </c>
      <c r="B268" s="81"/>
      <c r="C268" s="81"/>
      <c r="D268" s="81"/>
      <c r="E268" s="80"/>
      <c r="F268" s="80"/>
      <c r="G268" s="26" t="s">
        <v>14</v>
      </c>
      <c r="H268" s="36" t="s">
        <v>809</v>
      </c>
      <c r="I268" s="26">
        <v>31</v>
      </c>
      <c r="J268" s="26">
        <v>155</v>
      </c>
      <c r="K268" s="26" t="s">
        <v>811</v>
      </c>
      <c r="L268" s="26" t="s">
        <v>25</v>
      </c>
      <c r="M268" s="26" t="s">
        <v>15</v>
      </c>
      <c r="N268" s="26" t="s">
        <v>18</v>
      </c>
      <c r="O268" s="26" t="s">
        <v>10</v>
      </c>
      <c r="P268" s="26" t="s">
        <v>9</v>
      </c>
      <c r="Q268" s="26" t="s">
        <v>29</v>
      </c>
      <c r="R268" s="26" t="s">
        <v>10</v>
      </c>
      <c r="S268" s="26" t="s">
        <v>812</v>
      </c>
      <c r="T268" s="26" t="s">
        <v>813</v>
      </c>
      <c r="U268" s="26" t="s">
        <v>814</v>
      </c>
    </row>
    <row r="269" spans="1:21">
      <c r="A269" s="48">
        <v>347</v>
      </c>
      <c r="G269" s="26" t="s">
        <v>14</v>
      </c>
      <c r="H269" s="26" t="s">
        <v>1943</v>
      </c>
      <c r="I269" s="26">
        <v>31</v>
      </c>
      <c r="J269" s="26">
        <v>153</v>
      </c>
      <c r="K269" s="26" t="s">
        <v>1944</v>
      </c>
      <c r="L269" s="26" t="s">
        <v>462</v>
      </c>
      <c r="M269" s="26" t="s">
        <v>55</v>
      </c>
      <c r="N269" s="26" t="s">
        <v>28</v>
      </c>
      <c r="O269" s="26" t="s">
        <v>10</v>
      </c>
      <c r="P269" s="26" t="s">
        <v>9</v>
      </c>
      <c r="Q269" s="26" t="s">
        <v>10</v>
      </c>
      <c r="R269" s="26" t="s">
        <v>1946</v>
      </c>
      <c r="S269" s="26" t="s">
        <v>1945</v>
      </c>
      <c r="T269" s="26">
        <v>0</v>
      </c>
      <c r="U269" s="26">
        <v>0</v>
      </c>
    </row>
    <row r="270" spans="1:21">
      <c r="A270" s="48">
        <v>215</v>
      </c>
      <c r="B270" s="85"/>
      <c r="C270" s="85"/>
      <c r="D270" s="85"/>
      <c r="E270" s="80"/>
      <c r="F270" s="80"/>
      <c r="G270" s="26" t="s">
        <v>14</v>
      </c>
      <c r="H270" s="36" t="s">
        <v>1165</v>
      </c>
      <c r="I270" s="26">
        <v>30</v>
      </c>
      <c r="J270" s="26">
        <v>170</v>
      </c>
      <c r="K270" s="26" t="s">
        <v>273</v>
      </c>
      <c r="L270" s="26" t="s">
        <v>25</v>
      </c>
      <c r="M270" s="26" t="s">
        <v>93</v>
      </c>
      <c r="N270" s="26" t="s">
        <v>30</v>
      </c>
      <c r="O270" s="26" t="s">
        <v>10</v>
      </c>
      <c r="P270" s="26" t="s">
        <v>31</v>
      </c>
      <c r="Q270" s="26" t="s">
        <v>29</v>
      </c>
      <c r="R270" s="26" t="s">
        <v>10</v>
      </c>
      <c r="S270" s="26" t="s">
        <v>1167</v>
      </c>
      <c r="T270" s="26" t="s">
        <v>1168</v>
      </c>
      <c r="U270" s="26">
        <v>0</v>
      </c>
    </row>
    <row r="271" spans="1:21">
      <c r="A271" s="48">
        <v>156</v>
      </c>
      <c r="B271" s="81"/>
      <c r="C271" s="81"/>
      <c r="D271" s="81"/>
      <c r="E271" s="80"/>
      <c r="F271" s="80"/>
      <c r="G271" s="36" t="s">
        <v>14</v>
      </c>
      <c r="H271" s="36" t="s">
        <v>106</v>
      </c>
      <c r="I271" s="26">
        <v>30</v>
      </c>
      <c r="J271" s="26">
        <v>170</v>
      </c>
      <c r="K271" s="26" t="s">
        <v>108</v>
      </c>
      <c r="L271" s="26" t="s">
        <v>25</v>
      </c>
      <c r="M271" s="26" t="s">
        <v>65</v>
      </c>
      <c r="N271" s="26" t="s">
        <v>72</v>
      </c>
      <c r="O271" s="26" t="s">
        <v>109</v>
      </c>
      <c r="P271" s="26" t="s">
        <v>9</v>
      </c>
      <c r="Q271" s="26" t="s">
        <v>10</v>
      </c>
      <c r="R271" s="26" t="s">
        <v>11</v>
      </c>
      <c r="S271" s="26" t="s">
        <v>110</v>
      </c>
      <c r="T271" s="26" t="s">
        <v>111</v>
      </c>
      <c r="U271" s="26">
        <v>0</v>
      </c>
    </row>
    <row r="272" spans="1:21">
      <c r="A272" s="48">
        <v>75</v>
      </c>
      <c r="B272" s="81"/>
      <c r="C272" s="81"/>
      <c r="D272" s="81"/>
      <c r="E272" s="80"/>
      <c r="F272" s="80"/>
      <c r="G272" s="5" t="s">
        <v>14</v>
      </c>
      <c r="H272" s="47" t="s">
        <v>969</v>
      </c>
      <c r="I272" s="50">
        <v>30</v>
      </c>
      <c r="J272" s="37">
        <v>166</v>
      </c>
      <c r="K272" s="4" t="s">
        <v>970</v>
      </c>
      <c r="L272" s="4" t="s">
        <v>36</v>
      </c>
      <c r="M272" s="4" t="s">
        <v>93</v>
      </c>
      <c r="N272" s="4" t="s">
        <v>907</v>
      </c>
      <c r="O272" s="4" t="s">
        <v>971</v>
      </c>
      <c r="P272" s="4" t="s">
        <v>9</v>
      </c>
      <c r="Q272" s="4" t="s">
        <v>29</v>
      </c>
      <c r="R272" s="4" t="s">
        <v>10</v>
      </c>
      <c r="S272" s="4" t="s">
        <v>972</v>
      </c>
      <c r="T272" s="4" t="s">
        <v>973</v>
      </c>
      <c r="U272" s="4">
        <v>0</v>
      </c>
    </row>
    <row r="273" spans="1:22">
      <c r="A273" s="48">
        <v>70</v>
      </c>
      <c r="B273" s="81"/>
      <c r="C273" s="81"/>
      <c r="D273" s="81"/>
      <c r="E273" s="80"/>
      <c r="F273" s="80"/>
      <c r="G273" s="26" t="s">
        <v>14</v>
      </c>
      <c r="H273" s="26" t="s">
        <v>99</v>
      </c>
      <c r="I273" s="26">
        <v>30</v>
      </c>
      <c r="J273" s="26">
        <v>165</v>
      </c>
      <c r="K273" s="26" t="s">
        <v>101</v>
      </c>
      <c r="L273" s="26" t="s">
        <v>25</v>
      </c>
      <c r="M273" s="26" t="s">
        <v>15</v>
      </c>
      <c r="N273" s="26" t="s">
        <v>35</v>
      </c>
      <c r="O273" s="26" t="s">
        <v>102</v>
      </c>
      <c r="P273" s="26" t="s">
        <v>9</v>
      </c>
      <c r="Q273" s="26" t="s">
        <v>10</v>
      </c>
      <c r="R273" s="26" t="s">
        <v>10</v>
      </c>
      <c r="S273" s="26" t="s">
        <v>103</v>
      </c>
      <c r="T273" s="26" t="s">
        <v>104</v>
      </c>
      <c r="U273" s="26">
        <v>0</v>
      </c>
    </row>
    <row r="274" spans="1:22">
      <c r="A274" s="48">
        <v>51</v>
      </c>
      <c r="B274" s="81"/>
      <c r="C274" s="80"/>
      <c r="D274" s="80"/>
      <c r="E274" s="80"/>
      <c r="F274" s="80"/>
      <c r="G274" s="26" t="s">
        <v>14</v>
      </c>
      <c r="H274" s="26" t="s">
        <v>1070</v>
      </c>
      <c r="I274" s="26">
        <v>30</v>
      </c>
      <c r="J274" s="26">
        <v>165</v>
      </c>
      <c r="K274" s="26" t="s">
        <v>868</v>
      </c>
      <c r="L274" s="26" t="s">
        <v>82</v>
      </c>
      <c r="M274" s="26" t="s">
        <v>55</v>
      </c>
      <c r="N274" s="26" t="s">
        <v>28</v>
      </c>
      <c r="O274" s="26" t="s">
        <v>10</v>
      </c>
      <c r="P274" s="26" t="s">
        <v>9</v>
      </c>
      <c r="Q274" s="26" t="s">
        <v>29</v>
      </c>
      <c r="R274" s="26" t="s">
        <v>133</v>
      </c>
      <c r="S274" s="26" t="s">
        <v>1072</v>
      </c>
      <c r="T274" s="26" t="s">
        <v>1073</v>
      </c>
      <c r="U274" s="26">
        <v>0</v>
      </c>
    </row>
    <row r="275" spans="1:22">
      <c r="A275" s="48">
        <v>176</v>
      </c>
      <c r="B275" s="81"/>
      <c r="C275" s="81"/>
      <c r="D275" s="81"/>
      <c r="E275" s="80"/>
      <c r="F275" s="80"/>
      <c r="G275" s="36" t="s">
        <v>14</v>
      </c>
      <c r="H275" s="36" t="s">
        <v>585</v>
      </c>
      <c r="I275" s="26">
        <v>30</v>
      </c>
      <c r="J275" s="26">
        <v>165</v>
      </c>
      <c r="K275" s="26" t="s">
        <v>586</v>
      </c>
      <c r="L275" s="26" t="s">
        <v>25</v>
      </c>
      <c r="M275" s="26" t="s">
        <v>65</v>
      </c>
      <c r="N275" s="26" t="s">
        <v>51</v>
      </c>
      <c r="O275" s="26" t="s">
        <v>10</v>
      </c>
      <c r="P275" s="26">
        <v>0</v>
      </c>
      <c r="Q275" s="26" t="s">
        <v>10</v>
      </c>
      <c r="R275" s="26" t="s">
        <v>11</v>
      </c>
      <c r="S275" s="26" t="s">
        <v>587</v>
      </c>
      <c r="T275" s="26" t="s">
        <v>588</v>
      </c>
      <c r="U275" s="26">
        <v>0</v>
      </c>
    </row>
    <row r="276" spans="1:22">
      <c r="A276" s="48">
        <v>184</v>
      </c>
      <c r="B276" s="81"/>
      <c r="C276" s="81"/>
      <c r="D276" s="81"/>
      <c r="E276" s="80"/>
      <c r="F276" s="80"/>
      <c r="G276" s="36" t="s">
        <v>14</v>
      </c>
      <c r="H276" s="36" t="s">
        <v>823</v>
      </c>
      <c r="I276" s="26">
        <v>30</v>
      </c>
      <c r="J276" s="26">
        <v>163</v>
      </c>
      <c r="K276" s="26" t="s">
        <v>824</v>
      </c>
      <c r="L276" s="26" t="s">
        <v>25</v>
      </c>
      <c r="M276" s="26" t="s">
        <v>55</v>
      </c>
      <c r="N276" s="26" t="s">
        <v>12</v>
      </c>
      <c r="O276" s="26" t="s">
        <v>10</v>
      </c>
      <c r="P276" s="26" t="s">
        <v>9</v>
      </c>
      <c r="Q276" s="26" t="s">
        <v>29</v>
      </c>
      <c r="R276" s="26" t="s">
        <v>32</v>
      </c>
      <c r="S276" s="26" t="s">
        <v>825</v>
      </c>
      <c r="T276" s="26" t="s">
        <v>826</v>
      </c>
      <c r="U276" s="26">
        <v>0</v>
      </c>
    </row>
    <row r="277" spans="1:22">
      <c r="A277" s="48">
        <v>359</v>
      </c>
      <c r="B277" s="81"/>
      <c r="C277" s="80"/>
      <c r="D277" s="80"/>
      <c r="G277" s="4" t="s">
        <v>14</v>
      </c>
      <c r="H277" s="4" t="s">
        <v>2067</v>
      </c>
      <c r="I277" s="4">
        <v>30</v>
      </c>
      <c r="J277" s="4">
        <v>161</v>
      </c>
      <c r="K277" s="4" t="s">
        <v>2068</v>
      </c>
      <c r="L277" s="4" t="s">
        <v>25</v>
      </c>
      <c r="M277" s="4" t="s">
        <v>15</v>
      </c>
      <c r="N277" s="4" t="s">
        <v>18</v>
      </c>
      <c r="O277" s="4" t="s">
        <v>10</v>
      </c>
      <c r="P277" s="4" t="s">
        <v>9</v>
      </c>
      <c r="Q277" s="4" t="s">
        <v>10</v>
      </c>
      <c r="R277" s="4" t="s">
        <v>10</v>
      </c>
      <c r="S277" s="4" t="s">
        <v>2069</v>
      </c>
      <c r="T277" s="4" t="s">
        <v>2070</v>
      </c>
      <c r="U277" s="4" t="s">
        <v>2071</v>
      </c>
    </row>
    <row r="278" spans="1:22">
      <c r="A278" s="48">
        <v>133</v>
      </c>
      <c r="B278" s="81"/>
      <c r="C278" s="81"/>
      <c r="D278" s="81"/>
      <c r="E278" s="80"/>
      <c r="F278" s="80"/>
      <c r="G278" s="36" t="s">
        <v>14</v>
      </c>
      <c r="H278" s="36" t="s">
        <v>310</v>
      </c>
      <c r="I278" s="26">
        <v>30</v>
      </c>
      <c r="J278" s="26">
        <v>160</v>
      </c>
      <c r="K278" s="26" t="s">
        <v>311</v>
      </c>
      <c r="L278" s="26" t="s">
        <v>25</v>
      </c>
      <c r="M278" s="26" t="s">
        <v>93</v>
      </c>
      <c r="N278" s="26" t="s">
        <v>28</v>
      </c>
      <c r="O278" s="26" t="s">
        <v>10</v>
      </c>
      <c r="P278" s="26" t="s">
        <v>9</v>
      </c>
      <c r="Q278" s="26" t="s">
        <v>29</v>
      </c>
      <c r="R278" s="26" t="s">
        <v>10</v>
      </c>
      <c r="S278" s="26" t="s">
        <v>312</v>
      </c>
      <c r="T278" s="26" t="s">
        <v>313</v>
      </c>
      <c r="U278" s="26">
        <v>0</v>
      </c>
    </row>
    <row r="279" spans="1:22">
      <c r="A279" s="107">
        <v>365</v>
      </c>
      <c r="B279" s="81"/>
      <c r="C279" s="81"/>
      <c r="D279" s="81"/>
      <c r="E279" s="80"/>
      <c r="F279" s="81"/>
      <c r="G279" s="26" t="s">
        <v>14</v>
      </c>
      <c r="H279" s="26" t="s">
        <v>2713</v>
      </c>
      <c r="I279" s="26">
        <v>30</v>
      </c>
      <c r="J279" s="26">
        <v>160</v>
      </c>
      <c r="K279" s="26" t="s">
        <v>2652</v>
      </c>
      <c r="L279" s="26" t="s">
        <v>25</v>
      </c>
      <c r="M279" s="26" t="s">
        <v>55</v>
      </c>
      <c r="N279" s="4" t="s">
        <v>2714</v>
      </c>
      <c r="O279" s="4" t="s">
        <v>10</v>
      </c>
      <c r="P279" s="4" t="s">
        <v>9</v>
      </c>
      <c r="Q279" s="4" t="s">
        <v>10</v>
      </c>
      <c r="R279" s="4" t="s">
        <v>79</v>
      </c>
      <c r="S279" s="4" t="s">
        <v>2715</v>
      </c>
      <c r="T279" s="4" t="s">
        <v>2716</v>
      </c>
      <c r="U279" s="4">
        <v>0</v>
      </c>
    </row>
    <row r="280" spans="1:22">
      <c r="A280" s="48">
        <v>142</v>
      </c>
      <c r="B280" s="81"/>
      <c r="C280" s="81"/>
      <c r="D280" s="81"/>
      <c r="E280" s="80"/>
      <c r="F280" s="80"/>
      <c r="G280" s="36" t="s">
        <v>14</v>
      </c>
      <c r="H280" s="36" t="s">
        <v>288</v>
      </c>
      <c r="I280" s="26">
        <v>30</v>
      </c>
      <c r="J280" s="26">
        <v>158</v>
      </c>
      <c r="K280" s="26" t="s">
        <v>289</v>
      </c>
      <c r="L280" s="26" t="s">
        <v>82</v>
      </c>
      <c r="M280" s="26" t="s">
        <v>93</v>
      </c>
      <c r="N280" s="26" t="s">
        <v>290</v>
      </c>
      <c r="O280" s="26" t="s">
        <v>10</v>
      </c>
      <c r="P280" s="26" t="s">
        <v>9</v>
      </c>
      <c r="Q280" s="26" t="s">
        <v>29</v>
      </c>
      <c r="R280" s="26" t="s">
        <v>32</v>
      </c>
      <c r="S280" s="26" t="s">
        <v>291</v>
      </c>
      <c r="T280" s="26" t="s">
        <v>292</v>
      </c>
      <c r="U280" s="26">
        <v>0</v>
      </c>
    </row>
    <row r="281" spans="1:22">
      <c r="A281" s="48">
        <v>33</v>
      </c>
      <c r="B281" s="81"/>
      <c r="C281" s="80"/>
      <c r="D281" s="80"/>
      <c r="E281" s="80"/>
      <c r="F281" s="80"/>
      <c r="G281" s="26" t="s">
        <v>14</v>
      </c>
      <c r="H281" s="36" t="s">
        <v>631</v>
      </c>
      <c r="I281" s="26">
        <v>30</v>
      </c>
      <c r="J281" s="26">
        <v>158</v>
      </c>
      <c r="K281" s="26" t="s">
        <v>632</v>
      </c>
      <c r="L281" s="26" t="s">
        <v>36</v>
      </c>
      <c r="M281" s="26" t="s">
        <v>93</v>
      </c>
      <c r="N281" s="26" t="s">
        <v>633</v>
      </c>
      <c r="O281" s="26" t="s">
        <v>634</v>
      </c>
      <c r="P281" s="26" t="s">
        <v>31</v>
      </c>
      <c r="Q281" s="26" t="s">
        <v>10</v>
      </c>
      <c r="R281" s="26" t="s">
        <v>10</v>
      </c>
      <c r="S281" s="26" t="s">
        <v>635</v>
      </c>
      <c r="T281" s="26" t="s">
        <v>636</v>
      </c>
      <c r="U281" s="26">
        <v>0</v>
      </c>
    </row>
    <row r="282" spans="1:22">
      <c r="A282" s="48">
        <v>260</v>
      </c>
      <c r="B282" s="86"/>
      <c r="C282" s="86"/>
      <c r="D282" s="86"/>
      <c r="F282" s="87"/>
      <c r="G282" s="26" t="s">
        <v>14</v>
      </c>
      <c r="H282" s="26" t="s">
        <v>1406</v>
      </c>
      <c r="I282" s="26">
        <v>30</v>
      </c>
      <c r="J282" s="26">
        <v>156</v>
      </c>
      <c r="K282" s="26" t="s">
        <v>1408</v>
      </c>
      <c r="L282" s="26" t="s">
        <v>459</v>
      </c>
      <c r="M282" s="26" t="s">
        <v>458</v>
      </c>
      <c r="N282" s="26" t="s">
        <v>1409</v>
      </c>
      <c r="O282" s="26" t="s">
        <v>10</v>
      </c>
      <c r="P282" s="26" t="s">
        <v>9</v>
      </c>
      <c r="Q282" s="26" t="s">
        <v>10</v>
      </c>
      <c r="R282" s="26" t="s">
        <v>10</v>
      </c>
      <c r="S282" s="26" t="s">
        <v>1410</v>
      </c>
      <c r="T282" s="26" t="s">
        <v>1411</v>
      </c>
      <c r="U282" s="26" t="s">
        <v>1412</v>
      </c>
    </row>
    <row r="283" spans="1:22">
      <c r="A283" s="107">
        <v>26</v>
      </c>
      <c r="B283" s="81"/>
      <c r="C283" s="81"/>
      <c r="D283" s="81"/>
      <c r="E283" s="80"/>
      <c r="F283" s="80"/>
      <c r="G283" s="26" t="s">
        <v>14</v>
      </c>
      <c r="H283" s="26" t="s">
        <v>246</v>
      </c>
      <c r="I283" s="26">
        <v>30</v>
      </c>
      <c r="J283" s="26">
        <v>155</v>
      </c>
      <c r="K283" s="26" t="s">
        <v>247</v>
      </c>
      <c r="L283" s="26" t="s">
        <v>25</v>
      </c>
      <c r="M283" s="26" t="s">
        <v>55</v>
      </c>
      <c r="N283" s="26" t="s">
        <v>66</v>
      </c>
      <c r="O283" s="26" t="s">
        <v>10</v>
      </c>
      <c r="P283" s="26" t="s">
        <v>9</v>
      </c>
      <c r="Q283" s="26" t="s">
        <v>29</v>
      </c>
      <c r="R283" s="26" t="s">
        <v>11</v>
      </c>
      <c r="S283" s="26" t="s">
        <v>248</v>
      </c>
      <c r="T283" s="26" t="s">
        <v>249</v>
      </c>
      <c r="U283" s="26">
        <v>0</v>
      </c>
    </row>
    <row r="284" spans="1:22">
      <c r="A284" s="48">
        <v>151</v>
      </c>
      <c r="B284" s="91"/>
      <c r="C284" s="81"/>
      <c r="D284" s="81"/>
      <c r="E284" s="80"/>
      <c r="F284" s="80"/>
      <c r="G284" s="36" t="s">
        <v>14</v>
      </c>
      <c r="H284" s="26" t="s">
        <v>185</v>
      </c>
      <c r="I284" s="26">
        <v>30</v>
      </c>
      <c r="J284" s="26">
        <v>155</v>
      </c>
      <c r="K284" s="26" t="s">
        <v>187</v>
      </c>
      <c r="L284" s="26" t="s">
        <v>36</v>
      </c>
      <c r="M284" s="26" t="s">
        <v>55</v>
      </c>
      <c r="N284" s="26" t="s">
        <v>35</v>
      </c>
      <c r="O284" s="26" t="s">
        <v>10</v>
      </c>
      <c r="P284" s="26" t="s">
        <v>9</v>
      </c>
      <c r="Q284" s="26" t="s">
        <v>10</v>
      </c>
      <c r="R284" s="26" t="s">
        <v>190</v>
      </c>
      <c r="S284" s="26" t="s">
        <v>188</v>
      </c>
      <c r="T284" s="26" t="s">
        <v>189</v>
      </c>
      <c r="U284" s="26">
        <v>0</v>
      </c>
      <c r="V284" s="26"/>
    </row>
    <row r="285" spans="1:22">
      <c r="A285" s="48">
        <v>223</v>
      </c>
      <c r="B285" s="112"/>
      <c r="C285" s="88"/>
      <c r="D285" s="88"/>
      <c r="E285" s="80"/>
      <c r="F285" s="81"/>
      <c r="G285" s="26" t="s">
        <v>14</v>
      </c>
      <c r="H285" s="26" t="s">
        <v>1206</v>
      </c>
      <c r="I285" s="26">
        <v>29</v>
      </c>
      <c r="J285" s="26">
        <v>174</v>
      </c>
      <c r="K285" s="26" t="s">
        <v>1207</v>
      </c>
      <c r="L285" s="26" t="s">
        <v>25</v>
      </c>
      <c r="M285" s="26" t="s">
        <v>65</v>
      </c>
      <c r="N285" s="26" t="s">
        <v>66</v>
      </c>
      <c r="O285" s="26" t="s">
        <v>1208</v>
      </c>
      <c r="P285" s="26" t="s">
        <v>9</v>
      </c>
      <c r="Q285" s="26" t="s">
        <v>29</v>
      </c>
      <c r="R285" s="26" t="s">
        <v>11</v>
      </c>
      <c r="S285" s="26" t="s">
        <v>1209</v>
      </c>
      <c r="T285" s="26" t="s">
        <v>1210</v>
      </c>
      <c r="U285" s="26">
        <v>0</v>
      </c>
      <c r="V285" s="26"/>
    </row>
    <row r="286" spans="1:22">
      <c r="A286" s="48">
        <v>99</v>
      </c>
      <c r="B286" s="91"/>
      <c r="C286" s="81"/>
      <c r="D286" s="81"/>
      <c r="E286" s="80"/>
      <c r="F286" s="80"/>
      <c r="G286" s="36" t="s">
        <v>14</v>
      </c>
      <c r="H286" s="26" t="s">
        <v>117</v>
      </c>
      <c r="I286" s="26">
        <v>29</v>
      </c>
      <c r="J286" s="26">
        <v>172</v>
      </c>
      <c r="K286" s="26" t="s">
        <v>119</v>
      </c>
      <c r="L286" s="26" t="s">
        <v>36</v>
      </c>
      <c r="M286" s="26" t="s">
        <v>93</v>
      </c>
      <c r="N286" s="26" t="s">
        <v>24</v>
      </c>
      <c r="O286" s="26" t="s">
        <v>120</v>
      </c>
      <c r="P286" s="26" t="s">
        <v>9</v>
      </c>
      <c r="Q286" s="26" t="s">
        <v>10</v>
      </c>
      <c r="R286" s="26" t="s">
        <v>79</v>
      </c>
      <c r="S286" s="26" t="s">
        <v>121</v>
      </c>
      <c r="T286" s="26" t="s">
        <v>122</v>
      </c>
      <c r="U286" s="26">
        <v>0</v>
      </c>
      <c r="V286" s="26"/>
    </row>
    <row r="287" spans="1:22" ht="17.25" thickBot="1">
      <c r="A287" s="48">
        <v>349</v>
      </c>
      <c r="B287" s="4"/>
      <c r="C287" s="1"/>
      <c r="D287" s="1"/>
      <c r="F287" s="87"/>
      <c r="G287" s="26" t="s">
        <v>14</v>
      </c>
      <c r="H287" s="26" t="s">
        <v>74</v>
      </c>
      <c r="I287" s="26">
        <v>29</v>
      </c>
      <c r="J287" s="26">
        <v>169</v>
      </c>
      <c r="K287" s="26" t="s">
        <v>1973</v>
      </c>
      <c r="L287" s="26" t="s">
        <v>25</v>
      </c>
      <c r="M287" s="26" t="s">
        <v>93</v>
      </c>
      <c r="N287" s="26" t="s">
        <v>12</v>
      </c>
      <c r="O287" s="26" t="s">
        <v>10</v>
      </c>
      <c r="P287" s="26" t="s">
        <v>9</v>
      </c>
      <c r="Q287" s="26" t="s">
        <v>29</v>
      </c>
      <c r="R287" s="26" t="s">
        <v>10</v>
      </c>
      <c r="S287" s="26" t="s">
        <v>1974</v>
      </c>
      <c r="T287" s="26" t="s">
        <v>1975</v>
      </c>
      <c r="U287" s="26">
        <v>0</v>
      </c>
      <c r="V287" s="26"/>
    </row>
    <row r="288" spans="1:22" ht="16.5" customHeight="1" thickBot="1">
      <c r="A288" s="48">
        <v>21</v>
      </c>
      <c r="B288" s="81"/>
      <c r="C288" s="80"/>
      <c r="D288" s="80"/>
      <c r="E288" s="80"/>
      <c r="F288" s="80"/>
      <c r="G288" s="26" t="s">
        <v>14</v>
      </c>
      <c r="H288" s="26" t="s">
        <v>491</v>
      </c>
      <c r="I288" s="26">
        <v>29</v>
      </c>
      <c r="J288" s="26">
        <v>164</v>
      </c>
      <c r="K288" s="26" t="s">
        <v>492</v>
      </c>
      <c r="L288" s="26" t="s">
        <v>82</v>
      </c>
      <c r="M288" s="26" t="s">
        <v>93</v>
      </c>
      <c r="N288" s="26" t="s">
        <v>493</v>
      </c>
      <c r="O288" s="26" t="s">
        <v>494</v>
      </c>
      <c r="P288" s="26" t="s">
        <v>9</v>
      </c>
      <c r="Q288" s="26" t="s">
        <v>57</v>
      </c>
      <c r="R288" s="26" t="s">
        <v>497</v>
      </c>
      <c r="S288" s="26" t="s">
        <v>495</v>
      </c>
      <c r="T288" s="26" t="s">
        <v>496</v>
      </c>
      <c r="U288" s="26">
        <v>0</v>
      </c>
      <c r="V288" s="71"/>
    </row>
    <row r="289" spans="1:22" ht="16.5" customHeight="1" thickBot="1">
      <c r="A289" s="48">
        <v>210</v>
      </c>
      <c r="B289" s="85"/>
      <c r="C289" s="85"/>
      <c r="D289" s="85"/>
      <c r="E289" s="80"/>
      <c r="F289" s="80"/>
      <c r="G289" s="26" t="s">
        <v>14</v>
      </c>
      <c r="H289" s="26" t="s">
        <v>1124</v>
      </c>
      <c r="I289" s="26">
        <v>29</v>
      </c>
      <c r="J289" s="26">
        <v>164</v>
      </c>
      <c r="K289" s="26" t="s">
        <v>1149</v>
      </c>
      <c r="L289" s="26" t="s">
        <v>82</v>
      </c>
      <c r="M289" s="26" t="s">
        <v>15</v>
      </c>
      <c r="N289" s="26" t="s">
        <v>1125</v>
      </c>
      <c r="O289" s="26" t="s">
        <v>1126</v>
      </c>
      <c r="P289" s="26" t="s">
        <v>20</v>
      </c>
      <c r="Q289" s="26" t="s">
        <v>10</v>
      </c>
      <c r="R289" s="26" t="s">
        <v>69</v>
      </c>
      <c r="S289" s="26" t="s">
        <v>1150</v>
      </c>
      <c r="T289" s="26" t="s">
        <v>1151</v>
      </c>
      <c r="U289" s="26" t="s">
        <v>1127</v>
      </c>
      <c r="V289" s="73"/>
    </row>
    <row r="290" spans="1:22" ht="16.5" customHeight="1" thickBot="1">
      <c r="A290" s="48">
        <v>93</v>
      </c>
      <c r="B290" s="81"/>
      <c r="C290" s="80"/>
      <c r="D290" s="80"/>
      <c r="E290" s="80"/>
      <c r="F290" s="80"/>
      <c r="G290" s="26" t="s">
        <v>14</v>
      </c>
      <c r="H290" s="26" t="s">
        <v>984</v>
      </c>
      <c r="I290" s="26">
        <v>29</v>
      </c>
      <c r="J290" s="26">
        <v>162</v>
      </c>
      <c r="K290" s="26" t="s">
        <v>985</v>
      </c>
      <c r="L290" s="26" t="s">
        <v>25</v>
      </c>
      <c r="M290" s="26" t="s">
        <v>93</v>
      </c>
      <c r="N290" s="26" t="s">
        <v>35</v>
      </c>
      <c r="O290" s="26" t="s">
        <v>10</v>
      </c>
      <c r="P290" s="26" t="s">
        <v>61</v>
      </c>
      <c r="Q290" s="26" t="s">
        <v>10</v>
      </c>
      <c r="R290" s="26" t="s">
        <v>10</v>
      </c>
      <c r="S290" s="26" t="s">
        <v>986</v>
      </c>
      <c r="T290" s="26" t="s">
        <v>987</v>
      </c>
      <c r="U290" s="26" t="s">
        <v>988</v>
      </c>
      <c r="V290" s="75"/>
    </row>
    <row r="291" spans="1:22" ht="16.5" customHeight="1" thickBot="1">
      <c r="A291" s="48">
        <v>127</v>
      </c>
      <c r="B291" s="81"/>
      <c r="C291" s="81"/>
      <c r="D291" s="81"/>
      <c r="E291" s="80"/>
      <c r="F291" s="80"/>
      <c r="G291" s="26" t="s">
        <v>14</v>
      </c>
      <c r="H291" s="207" t="s">
        <v>754</v>
      </c>
      <c r="I291" s="26">
        <v>29</v>
      </c>
      <c r="J291" s="26">
        <v>162</v>
      </c>
      <c r="K291" s="26" t="s">
        <v>756</v>
      </c>
      <c r="L291" s="26" t="s">
        <v>25</v>
      </c>
      <c r="M291" s="26" t="s">
        <v>93</v>
      </c>
      <c r="N291" s="26" t="s">
        <v>35</v>
      </c>
      <c r="O291" s="26" t="s">
        <v>10</v>
      </c>
      <c r="P291" s="26" t="s">
        <v>9</v>
      </c>
      <c r="Q291" s="26" t="s">
        <v>10</v>
      </c>
      <c r="R291" s="26" t="s">
        <v>10</v>
      </c>
      <c r="S291" s="26" t="s">
        <v>757</v>
      </c>
      <c r="T291" s="26" t="s">
        <v>758</v>
      </c>
      <c r="U291" s="26">
        <v>0</v>
      </c>
      <c r="V291" s="73"/>
    </row>
    <row r="292" spans="1:22" ht="16.5" customHeight="1" thickBot="1">
      <c r="A292" s="48">
        <v>16</v>
      </c>
      <c r="B292" s="81"/>
      <c r="C292" s="80"/>
      <c r="D292" s="80"/>
      <c r="E292" s="80"/>
      <c r="F292" s="80"/>
      <c r="G292" s="26" t="s">
        <v>14</v>
      </c>
      <c r="H292" s="26" t="s">
        <v>67</v>
      </c>
      <c r="I292" s="26">
        <v>29</v>
      </c>
      <c r="J292" s="26">
        <v>160</v>
      </c>
      <c r="K292" s="26" t="s">
        <v>273</v>
      </c>
      <c r="L292" s="26" t="s">
        <v>62</v>
      </c>
      <c r="M292" s="26" t="s">
        <v>55</v>
      </c>
      <c r="N292" s="26" t="s">
        <v>13</v>
      </c>
      <c r="O292" s="26" t="s">
        <v>10</v>
      </c>
      <c r="P292" s="26" t="s">
        <v>9</v>
      </c>
      <c r="Q292" s="26" t="s">
        <v>29</v>
      </c>
      <c r="R292" s="26" t="s">
        <v>10</v>
      </c>
      <c r="S292" s="26" t="s">
        <v>274</v>
      </c>
      <c r="T292" s="26" t="s">
        <v>275</v>
      </c>
      <c r="U292" s="26">
        <v>0</v>
      </c>
      <c r="V292" s="75"/>
    </row>
    <row r="293" spans="1:22" ht="16.5" customHeight="1" thickBot="1">
      <c r="A293" s="48">
        <v>147</v>
      </c>
      <c r="B293" s="81"/>
      <c r="C293" s="81"/>
      <c r="D293" s="81"/>
      <c r="E293" s="80"/>
      <c r="F293" s="81"/>
      <c r="G293" s="26" t="s">
        <v>14</v>
      </c>
      <c r="H293" s="36" t="s">
        <v>863</v>
      </c>
      <c r="I293" s="26">
        <v>29</v>
      </c>
      <c r="J293" s="26">
        <v>159.9</v>
      </c>
      <c r="K293" s="26" t="s">
        <v>864</v>
      </c>
      <c r="L293" s="26" t="s">
        <v>25</v>
      </c>
      <c r="M293" s="26">
        <v>0</v>
      </c>
      <c r="N293" s="26" t="s">
        <v>19</v>
      </c>
      <c r="O293" s="26" t="s">
        <v>865</v>
      </c>
      <c r="P293" s="26" t="s">
        <v>9</v>
      </c>
      <c r="Q293" s="26" t="s">
        <v>29</v>
      </c>
      <c r="R293" s="26">
        <v>0</v>
      </c>
      <c r="S293" s="26" t="s">
        <v>866</v>
      </c>
      <c r="T293" s="26">
        <v>0</v>
      </c>
      <c r="U293" s="26">
        <v>0</v>
      </c>
      <c r="V293" s="73"/>
    </row>
    <row r="294" spans="1:22" ht="16.5" customHeight="1" thickBot="1">
      <c r="A294" s="48">
        <v>357</v>
      </c>
      <c r="F294" s="89"/>
      <c r="G294" s="26" t="s">
        <v>14</v>
      </c>
      <c r="H294" s="26" t="s">
        <v>2049</v>
      </c>
      <c r="I294" s="26">
        <v>29</v>
      </c>
      <c r="J294" s="26">
        <v>158</v>
      </c>
      <c r="K294" s="26" t="s">
        <v>2050</v>
      </c>
      <c r="L294" s="26" t="s">
        <v>2051</v>
      </c>
      <c r="M294" s="26" t="s">
        <v>15</v>
      </c>
      <c r="N294" s="26" t="s">
        <v>13</v>
      </c>
      <c r="O294" s="26" t="s">
        <v>10</v>
      </c>
      <c r="P294" s="26" t="s">
        <v>10</v>
      </c>
      <c r="Q294" s="26" t="s">
        <v>9</v>
      </c>
      <c r="R294" s="26">
        <v>0</v>
      </c>
      <c r="S294" s="26" t="s">
        <v>10</v>
      </c>
      <c r="T294" s="26" t="s">
        <v>2052</v>
      </c>
      <c r="U294" s="26">
        <v>0</v>
      </c>
      <c r="V294" s="75"/>
    </row>
    <row r="295" spans="1:22" ht="16.5" customHeight="1" thickBot="1">
      <c r="A295" s="48">
        <v>191</v>
      </c>
      <c r="B295" s="81"/>
      <c r="C295" s="81"/>
      <c r="D295" s="81"/>
      <c r="E295" s="80"/>
      <c r="F295" s="81"/>
      <c r="G295" s="36" t="s">
        <v>14</v>
      </c>
      <c r="H295" s="26" t="s">
        <v>343</v>
      </c>
      <c r="I295" s="26">
        <v>28</v>
      </c>
      <c r="J295" s="26">
        <v>167</v>
      </c>
      <c r="K295" s="26" t="s">
        <v>344</v>
      </c>
      <c r="L295" s="26" t="s">
        <v>460</v>
      </c>
      <c r="M295" s="26" t="s">
        <v>15</v>
      </c>
      <c r="N295" s="26" t="s">
        <v>12</v>
      </c>
      <c r="O295" s="26" t="s">
        <v>345</v>
      </c>
      <c r="P295" s="26" t="s">
        <v>9</v>
      </c>
      <c r="Q295" s="26" t="s">
        <v>10</v>
      </c>
      <c r="R295" s="26" t="s">
        <v>73</v>
      </c>
      <c r="S295" s="26" t="s">
        <v>346</v>
      </c>
      <c r="T295" s="26" t="s">
        <v>347</v>
      </c>
      <c r="U295" s="26">
        <v>0</v>
      </c>
      <c r="V295" s="73"/>
    </row>
    <row r="296" spans="1:22" ht="16.5" customHeight="1" thickBot="1">
      <c r="A296" s="48">
        <v>348</v>
      </c>
      <c r="B296" s="84"/>
      <c r="F296" s="87"/>
      <c r="G296" s="26" t="s">
        <v>14</v>
      </c>
      <c r="H296" s="26" t="s">
        <v>1947</v>
      </c>
      <c r="I296" s="26">
        <v>28</v>
      </c>
      <c r="J296" s="26">
        <v>163</v>
      </c>
      <c r="K296" s="26" t="s">
        <v>273</v>
      </c>
      <c r="L296" s="26" t="s">
        <v>459</v>
      </c>
      <c r="M296" s="26" t="s">
        <v>93</v>
      </c>
      <c r="N296" s="26" t="s">
        <v>35</v>
      </c>
      <c r="O296" s="26" t="s">
        <v>1948</v>
      </c>
      <c r="P296" s="26" t="s">
        <v>9</v>
      </c>
      <c r="Q296" s="26" t="s">
        <v>29</v>
      </c>
      <c r="R296" s="26" t="s">
        <v>69</v>
      </c>
      <c r="S296" s="26" t="s">
        <v>1949</v>
      </c>
      <c r="T296" s="26" t="s">
        <v>1950</v>
      </c>
      <c r="U296" s="26" t="s">
        <v>1951</v>
      </c>
      <c r="V296" s="74" t="s">
        <v>1491</v>
      </c>
    </row>
    <row r="297" spans="1:22" ht="16.5" customHeight="1" thickBot="1">
      <c r="A297" s="48">
        <v>256</v>
      </c>
      <c r="B297" s="78"/>
      <c r="C297" s="78"/>
      <c r="D297" s="78"/>
      <c r="F297" s="87"/>
      <c r="G297" s="26" t="s">
        <v>14</v>
      </c>
      <c r="H297" s="26" t="s">
        <v>1390</v>
      </c>
      <c r="I297" s="26">
        <v>28</v>
      </c>
      <c r="J297" s="26">
        <v>162</v>
      </c>
      <c r="K297" s="26" t="s">
        <v>1391</v>
      </c>
      <c r="L297" s="26" t="s">
        <v>25</v>
      </c>
      <c r="M297" s="26" t="s">
        <v>93</v>
      </c>
      <c r="N297" s="26" t="s">
        <v>66</v>
      </c>
      <c r="O297" s="26" t="s">
        <v>219</v>
      </c>
      <c r="P297" s="26" t="s">
        <v>9</v>
      </c>
      <c r="Q297" s="26" t="s">
        <v>10</v>
      </c>
      <c r="R297" s="26" t="s">
        <v>10</v>
      </c>
      <c r="S297" s="26" t="s">
        <v>1392</v>
      </c>
      <c r="T297" s="26" t="s">
        <v>1393</v>
      </c>
      <c r="U297" s="26"/>
      <c r="V297" s="73"/>
    </row>
    <row r="298" spans="1:22" ht="16.5" customHeight="1" thickBot="1">
      <c r="A298" s="48">
        <v>72</v>
      </c>
      <c r="B298" s="81"/>
      <c r="C298" s="81"/>
      <c r="D298" s="81"/>
      <c r="E298" s="80"/>
      <c r="F298" s="81"/>
      <c r="G298" s="26" t="s">
        <v>14</v>
      </c>
      <c r="H298" s="26" t="s">
        <v>642</v>
      </c>
      <c r="I298" s="26">
        <v>28</v>
      </c>
      <c r="J298" s="26">
        <v>162</v>
      </c>
      <c r="K298" s="26" t="s">
        <v>643</v>
      </c>
      <c r="L298" s="26" t="s">
        <v>25</v>
      </c>
      <c r="M298" s="26" t="s">
        <v>15</v>
      </c>
      <c r="N298" s="26" t="s">
        <v>59</v>
      </c>
      <c r="O298" s="26" t="s">
        <v>10</v>
      </c>
      <c r="P298" s="26" t="s">
        <v>20</v>
      </c>
      <c r="Q298" s="26" t="s">
        <v>29</v>
      </c>
      <c r="R298" s="26" t="s">
        <v>646</v>
      </c>
      <c r="S298" s="26" t="s">
        <v>644</v>
      </c>
      <c r="T298" s="26" t="s">
        <v>645</v>
      </c>
      <c r="U298" s="26" t="s">
        <v>647</v>
      </c>
      <c r="V298" s="75"/>
    </row>
    <row r="299" spans="1:22" ht="16.5" customHeight="1" thickBot="1">
      <c r="A299" s="48">
        <v>201</v>
      </c>
      <c r="B299" s="85"/>
      <c r="C299" s="85"/>
      <c r="D299" s="85"/>
      <c r="E299" s="80"/>
      <c r="F299" s="81"/>
      <c r="G299" s="26" t="s">
        <v>14</v>
      </c>
      <c r="H299" s="36" t="s">
        <v>730</v>
      </c>
      <c r="I299" s="26">
        <v>28</v>
      </c>
      <c r="J299" s="26">
        <v>162</v>
      </c>
      <c r="K299" s="26" t="s">
        <v>731</v>
      </c>
      <c r="L299" s="26" t="s">
        <v>25</v>
      </c>
      <c r="M299" s="26" t="s">
        <v>15</v>
      </c>
      <c r="N299" s="26" t="s">
        <v>732</v>
      </c>
      <c r="O299" s="26" t="s">
        <v>10</v>
      </c>
      <c r="P299" s="26" t="s">
        <v>9</v>
      </c>
      <c r="Q299" s="26" t="s">
        <v>10</v>
      </c>
      <c r="R299" s="26" t="s">
        <v>10</v>
      </c>
      <c r="S299" s="26" t="s">
        <v>733</v>
      </c>
      <c r="T299" s="26" t="s">
        <v>734</v>
      </c>
      <c r="U299" s="26">
        <v>0</v>
      </c>
      <c r="V299" s="72" t="s">
        <v>1505</v>
      </c>
    </row>
    <row r="300" spans="1:22" ht="16.5" customHeight="1" thickBot="1">
      <c r="A300" s="48">
        <v>170</v>
      </c>
      <c r="B300" s="81"/>
      <c r="C300" s="81"/>
      <c r="D300" s="81"/>
      <c r="E300" s="80"/>
      <c r="F300" s="81"/>
      <c r="G300" s="36" t="s">
        <v>14</v>
      </c>
      <c r="H300" s="26" t="s">
        <v>899</v>
      </c>
      <c r="I300" s="26">
        <v>28</v>
      </c>
      <c r="J300" s="26">
        <v>160</v>
      </c>
      <c r="K300" s="26" t="s">
        <v>901</v>
      </c>
      <c r="L300" s="26" t="s">
        <v>25</v>
      </c>
      <c r="M300" s="26" t="s">
        <v>65</v>
      </c>
      <c r="N300" s="26" t="s">
        <v>30</v>
      </c>
      <c r="O300" s="26" t="s">
        <v>659</v>
      </c>
      <c r="P300" s="26" t="s">
        <v>9</v>
      </c>
      <c r="Q300" s="26" t="s">
        <v>29</v>
      </c>
      <c r="R300" s="26" t="s">
        <v>10</v>
      </c>
      <c r="S300" s="26" t="s">
        <v>902</v>
      </c>
      <c r="T300" s="26" t="s">
        <v>903</v>
      </c>
      <c r="U300" s="26">
        <v>0</v>
      </c>
      <c r="V300" s="73"/>
    </row>
    <row r="301" spans="1:22" ht="16.5" customHeight="1" thickBot="1">
      <c r="A301" s="48">
        <v>90</v>
      </c>
      <c r="B301" s="80"/>
      <c r="C301" s="80"/>
      <c r="D301" s="80"/>
      <c r="E301" s="80"/>
      <c r="F301" s="81"/>
      <c r="G301" s="36" t="s">
        <v>14</v>
      </c>
      <c r="H301" s="36" t="s">
        <v>241</v>
      </c>
      <c r="I301" s="26">
        <v>28</v>
      </c>
      <c r="J301" s="26">
        <v>158</v>
      </c>
      <c r="K301" s="26" t="s">
        <v>242</v>
      </c>
      <c r="L301" s="26" t="s">
        <v>460</v>
      </c>
      <c r="M301" s="26" t="s">
        <v>93</v>
      </c>
      <c r="N301" s="26" t="s">
        <v>243</v>
      </c>
      <c r="O301" s="26" t="s">
        <v>193</v>
      </c>
      <c r="P301" s="26" t="s">
        <v>31</v>
      </c>
      <c r="Q301" s="26" t="s">
        <v>29</v>
      </c>
      <c r="R301" s="26" t="s">
        <v>245</v>
      </c>
      <c r="S301" s="26" t="s">
        <v>86</v>
      </c>
      <c r="T301" s="26" t="s">
        <v>244</v>
      </c>
      <c r="U301" s="26">
        <v>0</v>
      </c>
      <c r="V301" s="73"/>
    </row>
    <row r="302" spans="1:22" ht="16.5" customHeight="1" thickBot="1">
      <c r="A302" s="48">
        <v>274</v>
      </c>
      <c r="F302" s="87"/>
      <c r="G302" s="26" t="s">
        <v>14</v>
      </c>
      <c r="H302" s="207" t="s">
        <v>1496</v>
      </c>
      <c r="I302" s="26">
        <v>28</v>
      </c>
      <c r="J302" s="26">
        <v>156</v>
      </c>
      <c r="K302" s="26" t="s">
        <v>1497</v>
      </c>
      <c r="L302" s="26" t="s">
        <v>25</v>
      </c>
      <c r="M302" s="26" t="s">
        <v>55</v>
      </c>
      <c r="N302" s="26" t="s">
        <v>28</v>
      </c>
      <c r="O302" s="26" t="s">
        <v>971</v>
      </c>
      <c r="P302" s="26" t="s">
        <v>31</v>
      </c>
      <c r="Q302" s="26" t="s">
        <v>10</v>
      </c>
      <c r="R302" s="26" t="s">
        <v>10</v>
      </c>
      <c r="S302" s="26" t="s">
        <v>1498</v>
      </c>
      <c r="T302" s="26" t="s">
        <v>1499</v>
      </c>
      <c r="U302" s="26">
        <v>0</v>
      </c>
      <c r="V302" s="74" t="s">
        <v>1527</v>
      </c>
    </row>
    <row r="303" spans="1:22" ht="16.5" customHeight="1" thickBot="1">
      <c r="A303" s="48">
        <v>273</v>
      </c>
      <c r="F303" s="87"/>
      <c r="G303" s="26" t="s">
        <v>14</v>
      </c>
      <c r="H303" s="36" t="s">
        <v>1492</v>
      </c>
      <c r="I303" s="26">
        <v>27</v>
      </c>
      <c r="J303" s="26">
        <v>166</v>
      </c>
      <c r="K303" s="26" t="s">
        <v>1493</v>
      </c>
      <c r="L303" s="26" t="s">
        <v>459</v>
      </c>
      <c r="M303" s="26" t="s">
        <v>93</v>
      </c>
      <c r="N303" s="26" t="s">
        <v>633</v>
      </c>
      <c r="O303" s="26" t="s">
        <v>10</v>
      </c>
      <c r="P303" s="26" t="s">
        <v>9</v>
      </c>
      <c r="Q303" s="26" t="s">
        <v>10</v>
      </c>
      <c r="R303" s="26" t="s">
        <v>10</v>
      </c>
      <c r="S303" s="26" t="s">
        <v>1494</v>
      </c>
      <c r="T303" s="26" t="s">
        <v>1495</v>
      </c>
      <c r="U303" s="26">
        <v>0</v>
      </c>
      <c r="V303" s="75"/>
    </row>
    <row r="304" spans="1:22" ht="16.5" customHeight="1" thickBot="1">
      <c r="A304" s="48">
        <v>192</v>
      </c>
      <c r="B304" s="81"/>
      <c r="C304" s="81"/>
      <c r="D304" s="81"/>
      <c r="E304" s="80"/>
      <c r="F304" s="81"/>
      <c r="G304" s="26" t="s">
        <v>14</v>
      </c>
      <c r="H304" s="26" t="s">
        <v>180</v>
      </c>
      <c r="I304" s="36">
        <v>27</v>
      </c>
      <c r="J304" s="26">
        <v>165</v>
      </c>
      <c r="K304" s="26" t="s">
        <v>181</v>
      </c>
      <c r="L304" s="26" t="s">
        <v>25</v>
      </c>
      <c r="M304" s="26" t="s">
        <v>93</v>
      </c>
      <c r="N304" s="26" t="s">
        <v>76</v>
      </c>
      <c r="O304" s="26" t="s">
        <v>182</v>
      </c>
      <c r="P304" s="26" t="s">
        <v>9</v>
      </c>
      <c r="Q304" s="26" t="s">
        <v>10</v>
      </c>
      <c r="R304" s="26" t="s">
        <v>10</v>
      </c>
      <c r="S304" s="26" t="s">
        <v>183</v>
      </c>
      <c r="T304" s="26" t="s">
        <v>184</v>
      </c>
      <c r="U304" s="26">
        <v>0</v>
      </c>
      <c r="V304" s="75"/>
    </row>
    <row r="305" spans="1:22" ht="16.5" customHeight="1" thickBot="1">
      <c r="A305" s="48">
        <v>253</v>
      </c>
      <c r="B305" s="86"/>
      <c r="C305" s="86"/>
      <c r="D305" s="86"/>
      <c r="F305" s="87"/>
      <c r="G305" s="26" t="s">
        <v>14</v>
      </c>
      <c r="H305" s="36" t="s">
        <v>1378</v>
      </c>
      <c r="I305" s="26">
        <v>27</v>
      </c>
      <c r="J305" s="26">
        <v>163</v>
      </c>
      <c r="K305" s="26" t="s">
        <v>1379</v>
      </c>
      <c r="L305" s="26" t="s">
        <v>459</v>
      </c>
      <c r="M305" s="26" t="s">
        <v>55</v>
      </c>
      <c r="N305" s="26" t="s">
        <v>290</v>
      </c>
      <c r="O305" s="26" t="s">
        <v>10</v>
      </c>
      <c r="P305" s="26" t="s">
        <v>9</v>
      </c>
      <c r="Q305" s="26" t="s">
        <v>29</v>
      </c>
      <c r="R305" s="26" t="s">
        <v>1084</v>
      </c>
      <c r="S305" s="26" t="s">
        <v>1380</v>
      </c>
      <c r="T305" s="26" t="s">
        <v>1381</v>
      </c>
      <c r="U305" s="26"/>
      <c r="V305" s="73"/>
    </row>
    <row r="306" spans="1:22" ht="16.5" customHeight="1" thickBot="1">
      <c r="A306" s="107">
        <v>366</v>
      </c>
      <c r="B306" s="81"/>
      <c r="C306" s="81"/>
      <c r="D306" s="81"/>
      <c r="E306" s="80"/>
      <c r="F306" s="81"/>
      <c r="G306" s="26" t="s">
        <v>14</v>
      </c>
      <c r="H306" s="26" t="s">
        <v>2717</v>
      </c>
      <c r="I306" s="26">
        <v>27</v>
      </c>
      <c r="J306" s="26">
        <v>162</v>
      </c>
      <c r="K306" s="26" t="s">
        <v>2658</v>
      </c>
      <c r="L306" s="26" t="s">
        <v>459</v>
      </c>
      <c r="M306" s="26" t="s">
        <v>93</v>
      </c>
      <c r="N306" s="4" t="s">
        <v>19</v>
      </c>
      <c r="O306" s="4" t="s">
        <v>10</v>
      </c>
      <c r="P306" s="4" t="s">
        <v>9</v>
      </c>
      <c r="Q306" s="4" t="s">
        <v>10</v>
      </c>
      <c r="R306" s="4" t="s">
        <v>10</v>
      </c>
      <c r="S306" s="4" t="s">
        <v>2718</v>
      </c>
      <c r="T306" s="4" t="s">
        <v>2719</v>
      </c>
      <c r="U306" s="4">
        <v>0</v>
      </c>
      <c r="V306" s="75"/>
    </row>
    <row r="307" spans="1:22" ht="16.5" customHeight="1" thickBot="1">
      <c r="A307" s="48">
        <v>38</v>
      </c>
      <c r="B307" s="81"/>
      <c r="C307" s="80"/>
      <c r="D307" s="80"/>
      <c r="E307" s="80"/>
      <c r="F307" s="81"/>
      <c r="G307" s="26" t="s">
        <v>14</v>
      </c>
      <c r="H307" s="26" t="s">
        <v>153</v>
      </c>
      <c r="I307" s="26">
        <v>27</v>
      </c>
      <c r="J307" s="26">
        <v>160</v>
      </c>
      <c r="K307" s="26" t="s">
        <v>154</v>
      </c>
      <c r="L307" s="26" t="s">
        <v>25</v>
      </c>
      <c r="M307" s="26" t="s">
        <v>458</v>
      </c>
      <c r="N307" s="26" t="s">
        <v>12</v>
      </c>
      <c r="O307" s="26" t="s">
        <v>155</v>
      </c>
      <c r="P307" s="26" t="s">
        <v>9</v>
      </c>
      <c r="Q307" s="26" t="s">
        <v>29</v>
      </c>
      <c r="R307" s="26" t="s">
        <v>10</v>
      </c>
      <c r="S307" s="26" t="s">
        <v>156</v>
      </c>
      <c r="T307" s="26" t="s">
        <v>157</v>
      </c>
      <c r="U307" s="26">
        <v>0</v>
      </c>
      <c r="V307" s="73"/>
    </row>
    <row r="308" spans="1:22" ht="16.5" customHeight="1" thickBot="1">
      <c r="A308" s="107">
        <v>145</v>
      </c>
      <c r="B308" s="81"/>
      <c r="C308" s="81"/>
      <c r="D308" s="81"/>
      <c r="E308" s="80"/>
      <c r="F308" s="81"/>
      <c r="G308" s="26" t="s">
        <v>14</v>
      </c>
      <c r="H308" s="26" t="s">
        <v>993</v>
      </c>
      <c r="I308" s="26">
        <v>27</v>
      </c>
      <c r="J308" s="26">
        <v>153</v>
      </c>
      <c r="K308" s="26" t="s">
        <v>273</v>
      </c>
      <c r="L308" s="26" t="s">
        <v>25</v>
      </c>
      <c r="M308" s="26" t="s">
        <v>15</v>
      </c>
      <c r="N308" s="26" t="s">
        <v>35</v>
      </c>
      <c r="O308" s="26" t="s">
        <v>10</v>
      </c>
      <c r="P308" s="26" t="s">
        <v>9</v>
      </c>
      <c r="Q308" s="26" t="s">
        <v>29</v>
      </c>
      <c r="R308" s="26" t="s">
        <v>10</v>
      </c>
      <c r="S308" s="26" t="s">
        <v>995</v>
      </c>
      <c r="T308" s="26" t="s">
        <v>996</v>
      </c>
      <c r="U308" s="26">
        <v>0</v>
      </c>
      <c r="V308" s="75"/>
    </row>
    <row r="309" spans="1:22" ht="16.5" customHeight="1" thickBot="1">
      <c r="A309" s="107">
        <v>233</v>
      </c>
      <c r="B309" s="88"/>
      <c r="C309" s="88"/>
      <c r="D309" s="88"/>
      <c r="F309" s="87"/>
      <c r="G309" s="26" t="s">
        <v>14</v>
      </c>
      <c r="H309" s="207" t="s">
        <v>1250</v>
      </c>
      <c r="I309" s="26">
        <v>26</v>
      </c>
      <c r="J309" s="26">
        <v>168</v>
      </c>
      <c r="K309" s="26" t="s">
        <v>1251</v>
      </c>
      <c r="L309" s="26" t="s">
        <v>62</v>
      </c>
      <c r="M309" s="26" t="s">
        <v>93</v>
      </c>
      <c r="N309" s="26" t="s">
        <v>24</v>
      </c>
      <c r="O309" s="26" t="s">
        <v>10</v>
      </c>
      <c r="P309" s="26" t="s">
        <v>9</v>
      </c>
      <c r="Q309" s="26" t="s">
        <v>10</v>
      </c>
      <c r="R309" s="26" t="s">
        <v>11</v>
      </c>
      <c r="S309" s="26" t="s">
        <v>1252</v>
      </c>
      <c r="T309" s="26" t="s">
        <v>1253</v>
      </c>
      <c r="U309" s="26">
        <v>0</v>
      </c>
      <c r="V309" s="73"/>
    </row>
    <row r="310" spans="1:22" ht="16.5" customHeight="1" thickBot="1">
      <c r="A310" s="107">
        <v>20</v>
      </c>
      <c r="B310" s="81"/>
      <c r="C310" s="81"/>
      <c r="D310" s="81"/>
      <c r="E310" s="80"/>
      <c r="F310" s="81"/>
      <c r="G310" s="36" t="s">
        <v>14</v>
      </c>
      <c r="H310" s="26" t="s">
        <v>959</v>
      </c>
      <c r="I310" s="26">
        <v>26</v>
      </c>
      <c r="J310" s="26">
        <v>161</v>
      </c>
      <c r="K310" s="26" t="s">
        <v>960</v>
      </c>
      <c r="L310" s="26" t="s">
        <v>33</v>
      </c>
      <c r="M310" s="26" t="s">
        <v>15</v>
      </c>
      <c r="N310" s="26" t="s">
        <v>480</v>
      </c>
      <c r="O310" s="26" t="s">
        <v>961</v>
      </c>
      <c r="P310" s="26" t="s">
        <v>31</v>
      </c>
      <c r="Q310" s="26" t="s">
        <v>57</v>
      </c>
      <c r="R310" s="26" t="s">
        <v>10</v>
      </c>
      <c r="S310" s="26" t="s">
        <v>962</v>
      </c>
      <c r="T310" s="26" t="s">
        <v>963</v>
      </c>
      <c r="U310" s="26">
        <v>0</v>
      </c>
      <c r="V310" s="75"/>
    </row>
    <row r="311" spans="1:22" ht="16.5" customHeight="1" thickBot="1">
      <c r="A311" s="107">
        <v>257</v>
      </c>
      <c r="B311" s="78"/>
      <c r="C311" s="78"/>
      <c r="D311" s="78"/>
      <c r="F311" s="87"/>
      <c r="G311" s="26" t="s">
        <v>14</v>
      </c>
      <c r="H311" s="26" t="s">
        <v>1394</v>
      </c>
      <c r="I311" s="26">
        <v>26</v>
      </c>
      <c r="J311" s="26">
        <v>160</v>
      </c>
      <c r="K311" s="26" t="s">
        <v>1395</v>
      </c>
      <c r="L311" s="26" t="s">
        <v>25</v>
      </c>
      <c r="M311" s="26" t="s">
        <v>93</v>
      </c>
      <c r="N311" s="26" t="s">
        <v>855</v>
      </c>
      <c r="O311" s="26" t="s">
        <v>10</v>
      </c>
      <c r="P311" s="26" t="s">
        <v>9</v>
      </c>
      <c r="Q311" s="26" t="s">
        <v>10</v>
      </c>
      <c r="R311" s="26" t="s">
        <v>79</v>
      </c>
      <c r="S311" s="26" t="s">
        <v>1396</v>
      </c>
      <c r="T311" s="26"/>
      <c r="U311" s="26"/>
      <c r="V311" s="73"/>
    </row>
    <row r="312" spans="1:22" ht="16.5" customHeight="1" thickBot="1">
      <c r="A312" s="107">
        <v>107</v>
      </c>
      <c r="B312" s="81"/>
      <c r="C312" s="80"/>
      <c r="D312" s="80"/>
      <c r="E312" s="80"/>
      <c r="F312" s="81"/>
      <c r="G312" s="36" t="s">
        <v>14</v>
      </c>
      <c r="H312" s="26" t="s">
        <v>314</v>
      </c>
      <c r="I312" s="26">
        <v>26</v>
      </c>
      <c r="J312" s="26">
        <v>160</v>
      </c>
      <c r="K312" s="26" t="s">
        <v>315</v>
      </c>
      <c r="L312" s="26" t="s">
        <v>62</v>
      </c>
      <c r="M312" s="26" t="s">
        <v>458</v>
      </c>
      <c r="N312" s="26" t="s">
        <v>316</v>
      </c>
      <c r="O312" s="26" t="s">
        <v>35</v>
      </c>
      <c r="P312" s="26" t="s">
        <v>56</v>
      </c>
      <c r="Q312" s="26" t="s">
        <v>10</v>
      </c>
      <c r="R312" s="26" t="s">
        <v>319</v>
      </c>
      <c r="S312" s="26" t="s">
        <v>317</v>
      </c>
      <c r="T312" s="26" t="s">
        <v>318</v>
      </c>
      <c r="U312" s="26">
        <v>0</v>
      </c>
      <c r="V312" s="75"/>
    </row>
    <row r="313" spans="1:22" ht="16.5" customHeight="1" thickBot="1">
      <c r="A313" s="107">
        <v>77</v>
      </c>
      <c r="B313" s="81"/>
      <c r="C313" s="81"/>
      <c r="D313" s="81"/>
      <c r="E313" s="80"/>
      <c r="F313" s="81"/>
      <c r="G313" s="26" t="s">
        <v>14</v>
      </c>
      <c r="H313" s="26" t="s">
        <v>621</v>
      </c>
      <c r="I313" s="26">
        <v>26</v>
      </c>
      <c r="J313" s="26">
        <v>155</v>
      </c>
      <c r="K313" s="26" t="s">
        <v>622</v>
      </c>
      <c r="L313" s="26" t="s">
        <v>460</v>
      </c>
      <c r="M313" s="26" t="s">
        <v>15</v>
      </c>
      <c r="N313" s="4" t="s">
        <v>68</v>
      </c>
      <c r="O313" s="4" t="s">
        <v>623</v>
      </c>
      <c r="P313" s="4" t="s">
        <v>9</v>
      </c>
      <c r="Q313" s="4" t="s">
        <v>10</v>
      </c>
      <c r="R313" s="4" t="s">
        <v>10</v>
      </c>
      <c r="S313" s="4" t="s">
        <v>624</v>
      </c>
      <c r="T313" s="4" t="s">
        <v>625</v>
      </c>
      <c r="U313" s="4">
        <v>0</v>
      </c>
      <c r="V313" s="76"/>
    </row>
    <row r="314" spans="1:22" ht="16.5" customHeight="1">
      <c r="A314" s="107">
        <v>165</v>
      </c>
      <c r="B314" s="81"/>
      <c r="C314" s="81"/>
      <c r="D314" s="81"/>
      <c r="E314" s="80"/>
      <c r="F314" s="81"/>
      <c r="G314" s="36" t="s">
        <v>14</v>
      </c>
      <c r="H314" s="26" t="s">
        <v>201</v>
      </c>
      <c r="I314" s="26">
        <v>25</v>
      </c>
      <c r="J314" s="26">
        <v>168</v>
      </c>
      <c r="K314" s="26" t="s">
        <v>202</v>
      </c>
      <c r="L314" s="26" t="s">
        <v>62</v>
      </c>
      <c r="M314" s="26" t="s">
        <v>93</v>
      </c>
      <c r="N314" s="26" t="s">
        <v>203</v>
      </c>
      <c r="O314" s="26" t="s">
        <v>204</v>
      </c>
      <c r="P314" s="26" t="s">
        <v>9</v>
      </c>
      <c r="Q314" s="26" t="s">
        <v>29</v>
      </c>
      <c r="R314" s="26" t="s">
        <v>11</v>
      </c>
      <c r="S314" s="26" t="s">
        <v>205</v>
      </c>
      <c r="T314" s="26">
        <v>0</v>
      </c>
      <c r="U314" s="26">
        <v>0</v>
      </c>
    </row>
    <row r="315" spans="1:22">
      <c r="A315" s="107">
        <v>354</v>
      </c>
      <c r="B315" s="81"/>
      <c r="C315" s="81"/>
      <c r="D315" s="81"/>
      <c r="E315" s="80"/>
      <c r="F315" s="81"/>
      <c r="G315" s="26" t="s">
        <v>14</v>
      </c>
      <c r="H315" s="26" t="s">
        <v>2024</v>
      </c>
      <c r="I315" s="26">
        <v>21</v>
      </c>
      <c r="J315" s="26">
        <v>162</v>
      </c>
      <c r="K315" s="26" t="s">
        <v>2025</v>
      </c>
      <c r="L315" s="26" t="s">
        <v>2026</v>
      </c>
      <c r="M315" s="26" t="s">
        <v>2027</v>
      </c>
      <c r="N315" s="4" t="s">
        <v>13</v>
      </c>
      <c r="O315" s="4" t="s">
        <v>10</v>
      </c>
      <c r="P315" s="4" t="s">
        <v>9</v>
      </c>
      <c r="Q315" s="4" t="s">
        <v>29</v>
      </c>
      <c r="R315" s="4" t="s">
        <v>10</v>
      </c>
      <c r="S315" s="4" t="s">
        <v>2028</v>
      </c>
      <c r="T315" s="4">
        <v>0</v>
      </c>
      <c r="U315" s="4">
        <v>0</v>
      </c>
    </row>
    <row r="316" spans="1:22">
      <c r="A316" s="48">
        <v>10</v>
      </c>
      <c r="B316" s="80"/>
      <c r="C316" s="80"/>
      <c r="D316" s="80"/>
      <c r="E316" s="80"/>
      <c r="F316" s="81"/>
      <c r="G316" s="26" t="s">
        <v>8</v>
      </c>
      <c r="H316" s="26" t="s">
        <v>540</v>
      </c>
      <c r="I316" s="26">
        <v>49</v>
      </c>
      <c r="J316" s="26">
        <v>175</v>
      </c>
      <c r="K316" s="26" t="s">
        <v>541</v>
      </c>
      <c r="L316" s="26" t="s">
        <v>39</v>
      </c>
      <c r="M316" s="26" t="s">
        <v>22</v>
      </c>
      <c r="N316" s="26" t="s">
        <v>105</v>
      </c>
      <c r="O316" s="26" t="s">
        <v>10</v>
      </c>
      <c r="P316" s="26" t="s">
        <v>9</v>
      </c>
      <c r="Q316" s="26" t="s">
        <v>10</v>
      </c>
      <c r="R316" s="26" t="s">
        <v>10</v>
      </c>
      <c r="S316" s="26" t="s">
        <v>542</v>
      </c>
      <c r="T316" s="26" t="s">
        <v>543</v>
      </c>
      <c r="U316" s="26" t="s">
        <v>132</v>
      </c>
    </row>
    <row r="317" spans="1:22">
      <c r="A317" s="48">
        <v>96</v>
      </c>
      <c r="B317" s="80"/>
      <c r="C317" s="80"/>
      <c r="D317" s="80"/>
      <c r="E317" s="80"/>
      <c r="F317" s="81"/>
      <c r="G317" s="26" t="s">
        <v>8</v>
      </c>
      <c r="H317" s="26" t="s">
        <v>717</v>
      </c>
      <c r="I317" s="26">
        <v>45</v>
      </c>
      <c r="J317" s="26">
        <v>173</v>
      </c>
      <c r="K317" s="26" t="s">
        <v>718</v>
      </c>
      <c r="L317" s="26" t="s">
        <v>10</v>
      </c>
      <c r="M317" s="26" t="s">
        <v>10</v>
      </c>
      <c r="N317" s="26" t="s">
        <v>13</v>
      </c>
      <c r="O317" s="26" t="s">
        <v>10</v>
      </c>
      <c r="P317" s="26" t="s">
        <v>31</v>
      </c>
      <c r="Q317" s="26" t="s">
        <v>29</v>
      </c>
      <c r="R317" s="26" t="s">
        <v>10</v>
      </c>
      <c r="S317" s="26" t="s">
        <v>719</v>
      </c>
      <c r="T317" s="26" t="s">
        <v>720</v>
      </c>
      <c r="U317" s="26" t="s">
        <v>721</v>
      </c>
    </row>
    <row r="318" spans="1:22">
      <c r="A318" s="48">
        <v>14</v>
      </c>
      <c r="B318" s="80"/>
      <c r="C318" s="80"/>
      <c r="D318" s="80"/>
      <c r="E318" s="80"/>
      <c r="F318" s="80"/>
      <c r="G318" s="26" t="s">
        <v>8</v>
      </c>
      <c r="H318" s="26" t="s">
        <v>942</v>
      </c>
      <c r="I318" s="26">
        <v>43</v>
      </c>
      <c r="J318" s="26">
        <v>175</v>
      </c>
      <c r="K318" s="26" t="s">
        <v>944</v>
      </c>
      <c r="L318" s="26" t="s">
        <v>466</v>
      </c>
      <c r="M318" s="26" t="s">
        <v>21</v>
      </c>
      <c r="N318" s="26" t="s">
        <v>19</v>
      </c>
      <c r="O318" s="26" t="s">
        <v>945</v>
      </c>
      <c r="P318" s="26" t="s">
        <v>9</v>
      </c>
      <c r="Q318" s="26" t="s">
        <v>10</v>
      </c>
      <c r="R318" s="26" t="s">
        <v>646</v>
      </c>
      <c r="S318" s="26" t="s">
        <v>946</v>
      </c>
      <c r="T318" s="26" t="s">
        <v>947</v>
      </c>
      <c r="U318" s="26" t="s">
        <v>948</v>
      </c>
    </row>
    <row r="319" spans="1:22">
      <c r="A319" s="48">
        <v>114</v>
      </c>
      <c r="B319" s="81"/>
      <c r="C319" s="81"/>
      <c r="D319" s="81"/>
      <c r="E319" s="80"/>
      <c r="F319" s="80"/>
      <c r="G319" s="26" t="s">
        <v>8</v>
      </c>
      <c r="H319" s="26" t="s">
        <v>284</v>
      </c>
      <c r="I319" s="26">
        <v>43</v>
      </c>
      <c r="J319" s="26">
        <v>174</v>
      </c>
      <c r="K319" s="26" t="s">
        <v>285</v>
      </c>
      <c r="L319" s="26" t="s">
        <v>465</v>
      </c>
      <c r="M319" s="26" t="s">
        <v>34</v>
      </c>
      <c r="N319" s="26" t="s">
        <v>13</v>
      </c>
      <c r="O319" s="26" t="s">
        <v>10</v>
      </c>
      <c r="P319" s="26" t="s">
        <v>9</v>
      </c>
      <c r="Q319" s="26" t="s">
        <v>10</v>
      </c>
      <c r="R319" s="26" t="s">
        <v>10</v>
      </c>
      <c r="S319" s="26" t="s">
        <v>286</v>
      </c>
      <c r="T319" s="26" t="s">
        <v>287</v>
      </c>
      <c r="U319" s="26">
        <v>0</v>
      </c>
    </row>
    <row r="320" spans="1:22">
      <c r="A320" s="48">
        <v>157</v>
      </c>
      <c r="B320" s="81"/>
      <c r="C320" s="81"/>
      <c r="D320" s="81"/>
      <c r="E320" s="80"/>
      <c r="F320" s="80"/>
      <c r="G320" s="26" t="s">
        <v>8</v>
      </c>
      <c r="H320" s="26" t="s">
        <v>222</v>
      </c>
      <c r="I320" s="26">
        <v>42</v>
      </c>
      <c r="J320" s="26">
        <v>174</v>
      </c>
      <c r="K320" s="26" t="s">
        <v>223</v>
      </c>
      <c r="L320" s="26" t="s">
        <v>36</v>
      </c>
      <c r="M320" s="26" t="s">
        <v>772</v>
      </c>
      <c r="N320" s="26" t="s">
        <v>72</v>
      </c>
      <c r="O320" s="26" t="s">
        <v>10</v>
      </c>
      <c r="P320" s="26" t="s">
        <v>224</v>
      </c>
      <c r="Q320" s="26" t="s">
        <v>10</v>
      </c>
      <c r="R320" s="26" t="s">
        <v>10</v>
      </c>
      <c r="S320" s="26" t="s">
        <v>225</v>
      </c>
      <c r="T320" s="26" t="s">
        <v>226</v>
      </c>
      <c r="U320" s="26" t="s">
        <v>471</v>
      </c>
    </row>
    <row r="321" spans="1:21">
      <c r="A321" s="48">
        <v>102</v>
      </c>
      <c r="B321" s="81"/>
      <c r="C321" s="81"/>
      <c r="D321" s="81"/>
      <c r="E321" s="80"/>
      <c r="F321" s="80"/>
      <c r="G321" s="26" t="s">
        <v>8</v>
      </c>
      <c r="H321" s="26" t="s">
        <v>1051</v>
      </c>
      <c r="I321" s="26">
        <v>41</v>
      </c>
      <c r="J321" s="26">
        <v>176</v>
      </c>
      <c r="K321" s="26" t="s">
        <v>1052</v>
      </c>
      <c r="L321" s="26" t="s">
        <v>462</v>
      </c>
      <c r="M321" s="26" t="s">
        <v>64</v>
      </c>
      <c r="N321" s="26" t="s">
        <v>30</v>
      </c>
      <c r="O321" s="26" t="s">
        <v>10</v>
      </c>
      <c r="P321" s="26" t="s">
        <v>20</v>
      </c>
      <c r="Q321" s="26" t="s">
        <v>10</v>
      </c>
      <c r="R321" s="26" t="s">
        <v>10</v>
      </c>
      <c r="S321" s="26" t="s">
        <v>1053</v>
      </c>
      <c r="T321" s="26" t="s">
        <v>1054</v>
      </c>
      <c r="U321" s="26">
        <v>0</v>
      </c>
    </row>
    <row r="322" spans="1:21">
      <c r="A322" s="48">
        <v>23</v>
      </c>
      <c r="B322" s="80"/>
      <c r="C322" s="80"/>
      <c r="D322" s="80"/>
      <c r="E322" s="80"/>
      <c r="F322" s="80"/>
      <c r="G322" s="26" t="s">
        <v>8</v>
      </c>
      <c r="H322" s="26" t="s">
        <v>1007</v>
      </c>
      <c r="I322" s="26">
        <v>40</v>
      </c>
      <c r="J322" s="26">
        <v>176</v>
      </c>
      <c r="K322" s="26" t="s">
        <v>1008</v>
      </c>
      <c r="L322" s="26" t="s">
        <v>461</v>
      </c>
      <c r="M322" s="26" t="s">
        <v>34</v>
      </c>
      <c r="N322" s="26" t="s">
        <v>23</v>
      </c>
      <c r="O322" s="26" t="s">
        <v>10</v>
      </c>
      <c r="P322" s="26" t="s">
        <v>9</v>
      </c>
      <c r="Q322" s="26" t="s">
        <v>10</v>
      </c>
      <c r="R322" s="26" t="s">
        <v>10</v>
      </c>
      <c r="S322" s="26" t="s">
        <v>1009</v>
      </c>
      <c r="T322" s="26">
        <v>0</v>
      </c>
      <c r="U322" s="26">
        <v>0</v>
      </c>
    </row>
    <row r="323" spans="1:21">
      <c r="A323" s="48">
        <v>352</v>
      </c>
      <c r="G323" s="26" t="s">
        <v>8</v>
      </c>
      <c r="H323" s="26" t="s">
        <v>2017</v>
      </c>
      <c r="I323" s="26">
        <v>40</v>
      </c>
      <c r="J323" s="26">
        <v>175</v>
      </c>
      <c r="K323" s="26" t="s">
        <v>2018</v>
      </c>
      <c r="L323" s="26" t="s">
        <v>462</v>
      </c>
      <c r="M323" s="26" t="s">
        <v>34</v>
      </c>
      <c r="N323" s="26" t="s">
        <v>23</v>
      </c>
      <c r="O323" s="26" t="s">
        <v>10</v>
      </c>
      <c r="P323" s="26" t="s">
        <v>9</v>
      </c>
      <c r="Q323" s="26" t="s">
        <v>10</v>
      </c>
      <c r="R323" s="26" t="s">
        <v>10</v>
      </c>
      <c r="S323" s="26" t="s">
        <v>2019</v>
      </c>
      <c r="T323" s="26">
        <v>0</v>
      </c>
      <c r="U323" s="26">
        <v>0</v>
      </c>
    </row>
    <row r="324" spans="1:21">
      <c r="A324" s="48">
        <v>358</v>
      </c>
      <c r="F324" s="89"/>
      <c r="G324" s="26" t="s">
        <v>8</v>
      </c>
      <c r="H324" s="26" t="s">
        <v>2057</v>
      </c>
      <c r="I324" s="26">
        <v>40</v>
      </c>
      <c r="J324" s="26">
        <v>175</v>
      </c>
      <c r="K324" s="26" t="s">
        <v>2058</v>
      </c>
      <c r="L324" s="26" t="s">
        <v>2059</v>
      </c>
      <c r="M324" s="26" t="s">
        <v>2060</v>
      </c>
      <c r="N324" s="26" t="s">
        <v>18</v>
      </c>
      <c r="O324" s="26" t="s">
        <v>10</v>
      </c>
      <c r="P324" s="26" t="s">
        <v>75</v>
      </c>
      <c r="Q324" s="26" t="s">
        <v>63</v>
      </c>
      <c r="R324" s="26" t="s">
        <v>10</v>
      </c>
      <c r="S324" s="26" t="s">
        <v>2061</v>
      </c>
      <c r="T324" s="26" t="s">
        <v>2062</v>
      </c>
      <c r="U324" s="26">
        <v>0</v>
      </c>
    </row>
    <row r="325" spans="1:21">
      <c r="A325" s="48">
        <v>207</v>
      </c>
      <c r="B325" s="85"/>
      <c r="C325" s="85"/>
      <c r="D325" s="85"/>
      <c r="E325" s="80"/>
      <c r="F325" s="80"/>
      <c r="G325" s="26" t="s">
        <v>8</v>
      </c>
      <c r="H325" s="26" t="s">
        <v>146</v>
      </c>
      <c r="I325" s="26">
        <v>40</v>
      </c>
      <c r="J325" s="26">
        <v>167</v>
      </c>
      <c r="K325" s="26" t="s">
        <v>147</v>
      </c>
      <c r="L325" s="26" t="s">
        <v>470</v>
      </c>
      <c r="M325" s="26" t="s">
        <v>64</v>
      </c>
      <c r="N325" s="26" t="s">
        <v>148</v>
      </c>
      <c r="O325" s="26" t="s">
        <v>10</v>
      </c>
      <c r="P325" s="26" t="s">
        <v>31</v>
      </c>
      <c r="Q325" s="26" t="s">
        <v>10</v>
      </c>
      <c r="R325" s="26" t="s">
        <v>10</v>
      </c>
      <c r="S325" s="26" t="s">
        <v>149</v>
      </c>
      <c r="T325" s="26">
        <v>0</v>
      </c>
      <c r="U325" s="26">
        <v>0</v>
      </c>
    </row>
    <row r="326" spans="1:21">
      <c r="A326" s="48">
        <v>79</v>
      </c>
      <c r="B326" s="80"/>
      <c r="C326" s="80"/>
      <c r="D326" s="80"/>
      <c r="E326" s="80"/>
      <c r="F326" s="80"/>
      <c r="G326" s="26" t="s">
        <v>8</v>
      </c>
      <c r="H326" s="26" t="s">
        <v>170</v>
      </c>
      <c r="I326" s="26">
        <v>39</v>
      </c>
      <c r="J326" s="26">
        <v>177</v>
      </c>
      <c r="K326" s="26" t="s">
        <v>171</v>
      </c>
      <c r="L326" s="26" t="s">
        <v>36</v>
      </c>
      <c r="M326" s="26" t="s">
        <v>774</v>
      </c>
      <c r="N326" s="26" t="s">
        <v>66</v>
      </c>
      <c r="O326" s="26" t="s">
        <v>10</v>
      </c>
      <c r="P326" s="26" t="s">
        <v>9</v>
      </c>
      <c r="Q326" s="26" t="s">
        <v>10</v>
      </c>
      <c r="R326" s="26" t="s">
        <v>10</v>
      </c>
      <c r="S326" s="26" t="s">
        <v>172</v>
      </c>
      <c r="T326" s="26" t="s">
        <v>173</v>
      </c>
      <c r="U326" s="26" t="s">
        <v>174</v>
      </c>
    </row>
    <row r="327" spans="1:21">
      <c r="A327" s="48">
        <v>235</v>
      </c>
      <c r="B327" s="87"/>
      <c r="C327" s="87"/>
      <c r="D327" s="87"/>
      <c r="G327" s="26" t="s">
        <v>8</v>
      </c>
      <c r="H327" s="26" t="s">
        <v>1283</v>
      </c>
      <c r="I327" s="26">
        <v>39</v>
      </c>
      <c r="J327" s="26">
        <v>177</v>
      </c>
      <c r="K327" s="26" t="s">
        <v>1284</v>
      </c>
      <c r="L327" s="26" t="s">
        <v>466</v>
      </c>
      <c r="M327" s="26" t="s">
        <v>773</v>
      </c>
      <c r="N327" s="26" t="s">
        <v>81</v>
      </c>
      <c r="O327" s="26" t="s">
        <v>10</v>
      </c>
      <c r="P327" s="26" t="s">
        <v>31</v>
      </c>
      <c r="Q327" s="26" t="s">
        <v>10</v>
      </c>
      <c r="R327" s="26" t="s">
        <v>10</v>
      </c>
      <c r="S327" s="26" t="s">
        <v>1285</v>
      </c>
      <c r="T327" s="26" t="s">
        <v>1286</v>
      </c>
      <c r="U327" s="26" t="s">
        <v>1287</v>
      </c>
    </row>
    <row r="328" spans="1:21">
      <c r="A328" s="48">
        <v>343</v>
      </c>
      <c r="G328" s="26" t="s">
        <v>8</v>
      </c>
      <c r="H328" s="26" t="s">
        <v>1923</v>
      </c>
      <c r="I328" s="26">
        <v>39</v>
      </c>
      <c r="J328" s="26">
        <v>176</v>
      </c>
      <c r="K328" s="26" t="s">
        <v>1925</v>
      </c>
      <c r="L328" s="26" t="s">
        <v>36</v>
      </c>
      <c r="M328" s="26" t="s">
        <v>34</v>
      </c>
      <c r="N328" s="26" t="s">
        <v>12</v>
      </c>
      <c r="O328" s="26" t="s">
        <v>10</v>
      </c>
      <c r="P328" s="26" t="s">
        <v>9</v>
      </c>
      <c r="Q328" s="26" t="s">
        <v>10</v>
      </c>
      <c r="R328" s="26" t="s">
        <v>10</v>
      </c>
      <c r="S328" s="26" t="s">
        <v>1926</v>
      </c>
      <c r="T328" s="26" t="s">
        <v>1927</v>
      </c>
      <c r="U328" s="26">
        <v>0</v>
      </c>
    </row>
    <row r="329" spans="1:21">
      <c r="A329" s="48">
        <v>265</v>
      </c>
      <c r="G329" s="26" t="s">
        <v>8</v>
      </c>
      <c r="H329" s="26" t="s">
        <v>473</v>
      </c>
      <c r="I329" s="26">
        <v>39</v>
      </c>
      <c r="J329" s="26">
        <v>172</v>
      </c>
      <c r="K329" s="26" t="s">
        <v>1460</v>
      </c>
      <c r="L329" s="26" t="s">
        <v>764</v>
      </c>
      <c r="M329" s="26" t="s">
        <v>772</v>
      </c>
      <c r="N329" s="26" t="s">
        <v>35</v>
      </c>
      <c r="O329" s="26" t="s">
        <v>10</v>
      </c>
      <c r="P329" s="26" t="s">
        <v>9</v>
      </c>
      <c r="Q329" s="26" t="s">
        <v>10</v>
      </c>
      <c r="R329" s="26" t="s">
        <v>646</v>
      </c>
      <c r="S329" s="26" t="s">
        <v>1461</v>
      </c>
      <c r="T329" s="26" t="s">
        <v>1462</v>
      </c>
      <c r="U329" s="26">
        <v>0</v>
      </c>
    </row>
    <row r="330" spans="1:21">
      <c r="A330" s="48">
        <v>138</v>
      </c>
      <c r="B330" s="81"/>
      <c r="C330" s="81"/>
      <c r="D330" s="81"/>
      <c r="E330" s="80"/>
      <c r="F330" s="80"/>
      <c r="G330" s="26" t="s">
        <v>8</v>
      </c>
      <c r="H330" s="26" t="s">
        <v>776</v>
      </c>
      <c r="I330" s="26">
        <v>39</v>
      </c>
      <c r="J330" s="26">
        <v>172</v>
      </c>
      <c r="K330" s="26" t="s">
        <v>777</v>
      </c>
      <c r="L330" s="26" t="s">
        <v>462</v>
      </c>
      <c r="M330" s="26" t="s">
        <v>22</v>
      </c>
      <c r="N330" s="26" t="s">
        <v>12</v>
      </c>
      <c r="O330" s="26" t="s">
        <v>10</v>
      </c>
      <c r="P330" s="26" t="s">
        <v>20</v>
      </c>
      <c r="Q330" s="26" t="s">
        <v>57</v>
      </c>
      <c r="R330" s="26" t="s">
        <v>60</v>
      </c>
      <c r="S330" s="26" t="s">
        <v>778</v>
      </c>
      <c r="T330" s="26" t="s">
        <v>779</v>
      </c>
      <c r="U330" s="26" t="s">
        <v>780</v>
      </c>
    </row>
    <row r="331" spans="1:21">
      <c r="A331" s="48">
        <v>149</v>
      </c>
      <c r="B331" s="81"/>
      <c r="C331" s="81"/>
      <c r="D331" s="81"/>
      <c r="E331" s="80"/>
      <c r="F331" s="80"/>
      <c r="G331" s="26" t="s">
        <v>8</v>
      </c>
      <c r="H331" s="26" t="s">
        <v>473</v>
      </c>
      <c r="I331" s="26">
        <v>39</v>
      </c>
      <c r="J331" s="26">
        <v>172</v>
      </c>
      <c r="K331" s="26" t="s">
        <v>475</v>
      </c>
      <c r="L331" s="26" t="s">
        <v>25</v>
      </c>
      <c r="M331" s="26" t="s">
        <v>34</v>
      </c>
      <c r="N331" s="26" t="s">
        <v>380</v>
      </c>
      <c r="O331" s="26" t="s">
        <v>10</v>
      </c>
      <c r="P331" s="26" t="s">
        <v>9</v>
      </c>
      <c r="Q331" s="26" t="s">
        <v>10</v>
      </c>
      <c r="R331" s="26" t="s">
        <v>10</v>
      </c>
      <c r="S331" s="26" t="s">
        <v>476</v>
      </c>
      <c r="T331" s="26" t="s">
        <v>477</v>
      </c>
      <c r="U331" s="26">
        <v>0</v>
      </c>
    </row>
    <row r="332" spans="1:21">
      <c r="A332" s="48">
        <v>194</v>
      </c>
      <c r="B332" s="85"/>
      <c r="C332" s="85"/>
      <c r="D332" s="85"/>
      <c r="E332" s="80"/>
      <c r="F332" s="81"/>
      <c r="G332" s="26" t="s">
        <v>8</v>
      </c>
      <c r="H332" s="26" t="s">
        <v>393</v>
      </c>
      <c r="I332" s="26">
        <v>39</v>
      </c>
      <c r="J332" s="26">
        <v>171</v>
      </c>
      <c r="K332" s="26" t="s">
        <v>394</v>
      </c>
      <c r="L332" s="26" t="s">
        <v>462</v>
      </c>
      <c r="M332" s="26" t="s">
        <v>22</v>
      </c>
      <c r="N332" s="26" t="s">
        <v>81</v>
      </c>
      <c r="O332" s="26" t="s">
        <v>10</v>
      </c>
      <c r="P332" s="26" t="s">
        <v>9</v>
      </c>
      <c r="Q332" s="26" t="s">
        <v>10</v>
      </c>
      <c r="R332" s="26" t="s">
        <v>10</v>
      </c>
      <c r="S332" s="26" t="s">
        <v>395</v>
      </c>
      <c r="T332" s="26" t="s">
        <v>396</v>
      </c>
      <c r="U332" s="26">
        <v>0</v>
      </c>
    </row>
    <row r="333" spans="1:21">
      <c r="A333" s="48">
        <v>289</v>
      </c>
      <c r="G333" s="26" t="s">
        <v>8</v>
      </c>
      <c r="H333" s="26" t="s">
        <v>1555</v>
      </c>
      <c r="I333" s="26">
        <v>39</v>
      </c>
      <c r="J333" s="26">
        <v>165</v>
      </c>
      <c r="K333" s="26" t="s">
        <v>529</v>
      </c>
      <c r="L333" s="26" t="s">
        <v>462</v>
      </c>
      <c r="M333" s="26" t="s">
        <v>10</v>
      </c>
      <c r="N333" s="26" t="s">
        <v>13</v>
      </c>
      <c r="O333" s="26" t="s">
        <v>10</v>
      </c>
      <c r="P333" s="26" t="s">
        <v>9</v>
      </c>
      <c r="Q333" s="26" t="s">
        <v>10</v>
      </c>
      <c r="R333" s="26" t="s">
        <v>10</v>
      </c>
      <c r="S333" s="26" t="s">
        <v>1556</v>
      </c>
      <c r="T333" s="26" t="s">
        <v>1557</v>
      </c>
      <c r="U333" s="26">
        <v>0</v>
      </c>
    </row>
    <row r="334" spans="1:21">
      <c r="A334" s="48">
        <v>117</v>
      </c>
      <c r="B334" s="80"/>
      <c r="C334" s="80"/>
      <c r="D334" s="80"/>
      <c r="E334" s="80"/>
      <c r="F334" s="80"/>
      <c r="G334" s="26" t="s">
        <v>8</v>
      </c>
      <c r="H334" s="26" t="s">
        <v>352</v>
      </c>
      <c r="I334" s="26">
        <v>38</v>
      </c>
      <c r="J334" s="26">
        <v>188</v>
      </c>
      <c r="K334" s="26" t="s">
        <v>353</v>
      </c>
      <c r="L334" s="26" t="s">
        <v>25</v>
      </c>
      <c r="M334" s="26" t="s">
        <v>34</v>
      </c>
      <c r="N334" s="26" t="s">
        <v>59</v>
      </c>
      <c r="O334" s="26" t="s">
        <v>10</v>
      </c>
      <c r="P334" s="26" t="s">
        <v>9</v>
      </c>
      <c r="Q334" s="26" t="s">
        <v>29</v>
      </c>
      <c r="R334" s="26" t="s">
        <v>10</v>
      </c>
      <c r="S334" s="26" t="s">
        <v>354</v>
      </c>
      <c r="T334" s="26" t="s">
        <v>355</v>
      </c>
      <c r="U334" s="26" t="s">
        <v>356</v>
      </c>
    </row>
    <row r="335" spans="1:21">
      <c r="A335" s="48">
        <v>134</v>
      </c>
      <c r="B335" s="81"/>
      <c r="C335" s="81"/>
      <c r="D335" s="81"/>
      <c r="E335" s="80"/>
      <c r="F335" s="80"/>
      <c r="G335" s="26" t="s">
        <v>8</v>
      </c>
      <c r="H335" s="26" t="s">
        <v>847</v>
      </c>
      <c r="I335" s="26">
        <v>38</v>
      </c>
      <c r="J335" s="26">
        <v>178.8</v>
      </c>
      <c r="K335" s="26" t="s">
        <v>849</v>
      </c>
      <c r="L335" s="26" t="s">
        <v>25</v>
      </c>
      <c r="M335" s="26" t="s">
        <v>34</v>
      </c>
      <c r="N335" s="26" t="s">
        <v>35</v>
      </c>
      <c r="O335" s="26" t="s">
        <v>10</v>
      </c>
      <c r="P335" s="26" t="s">
        <v>9</v>
      </c>
      <c r="Q335" s="26" t="s">
        <v>29</v>
      </c>
      <c r="R335" s="26" t="s">
        <v>10</v>
      </c>
      <c r="S335" s="26" t="s">
        <v>850</v>
      </c>
      <c r="T335" s="26" t="s">
        <v>851</v>
      </c>
      <c r="U335" s="26" t="s">
        <v>852</v>
      </c>
    </row>
    <row r="336" spans="1:21">
      <c r="A336" s="48">
        <v>106</v>
      </c>
      <c r="B336" s="80"/>
      <c r="C336" s="80"/>
      <c r="D336" s="80"/>
      <c r="E336" s="80"/>
      <c r="F336" s="80"/>
      <c r="G336" s="26" t="s">
        <v>8</v>
      </c>
      <c r="H336" s="26" t="s">
        <v>949</v>
      </c>
      <c r="I336" s="26">
        <v>38</v>
      </c>
      <c r="J336" s="26">
        <v>176</v>
      </c>
      <c r="K336" s="26" t="s">
        <v>951</v>
      </c>
      <c r="L336" s="26" t="s">
        <v>25</v>
      </c>
      <c r="M336" s="26" t="s">
        <v>34</v>
      </c>
      <c r="N336" s="26" t="s">
        <v>480</v>
      </c>
      <c r="O336" s="26" t="s">
        <v>10</v>
      </c>
      <c r="P336" s="26" t="s">
        <v>9</v>
      </c>
      <c r="Q336" s="26" t="s">
        <v>10</v>
      </c>
      <c r="R336" s="26" t="s">
        <v>10</v>
      </c>
      <c r="S336" s="26" t="s">
        <v>249</v>
      </c>
      <c r="T336" s="26" t="s">
        <v>952</v>
      </c>
      <c r="U336" s="26">
        <v>0</v>
      </c>
    </row>
    <row r="337" spans="1:21">
      <c r="A337" s="48">
        <v>83</v>
      </c>
      <c r="B337" s="81"/>
      <c r="C337" s="81"/>
      <c r="D337" s="81"/>
      <c r="E337" s="80"/>
      <c r="F337" s="80"/>
      <c r="G337" s="26" t="s">
        <v>8</v>
      </c>
      <c r="H337" s="26" t="s">
        <v>515</v>
      </c>
      <c r="I337" s="26">
        <v>38</v>
      </c>
      <c r="J337" s="26">
        <v>172</v>
      </c>
      <c r="K337" s="26" t="s">
        <v>516</v>
      </c>
      <c r="L337" s="26" t="s">
        <v>767</v>
      </c>
      <c r="M337" s="26" t="s">
        <v>772</v>
      </c>
      <c r="N337" s="26" t="s">
        <v>68</v>
      </c>
      <c r="O337" s="26" t="s">
        <v>10</v>
      </c>
      <c r="P337" s="26" t="s">
        <v>9</v>
      </c>
      <c r="Q337" s="26" t="s">
        <v>29</v>
      </c>
      <c r="R337" s="26" t="s">
        <v>10</v>
      </c>
      <c r="S337" s="26" t="s">
        <v>517</v>
      </c>
      <c r="T337" s="26" t="s">
        <v>518</v>
      </c>
      <c r="U337" s="26">
        <v>0</v>
      </c>
    </row>
    <row r="338" spans="1:21">
      <c r="A338" s="48">
        <v>187</v>
      </c>
      <c r="B338" s="81"/>
      <c r="C338" s="81"/>
      <c r="D338" s="81"/>
      <c r="E338" s="80"/>
      <c r="F338" s="80"/>
      <c r="G338" s="26" t="s">
        <v>8</v>
      </c>
      <c r="H338" s="26" t="s">
        <v>827</v>
      </c>
      <c r="I338" s="26">
        <v>38</v>
      </c>
      <c r="J338" s="26">
        <v>171</v>
      </c>
      <c r="K338" s="26" t="s">
        <v>828</v>
      </c>
      <c r="L338" s="26" t="s">
        <v>25</v>
      </c>
      <c r="M338" s="26" t="s">
        <v>10</v>
      </c>
      <c r="N338" s="26" t="s">
        <v>85</v>
      </c>
      <c r="O338" s="26" t="s">
        <v>10</v>
      </c>
      <c r="P338" s="26" t="s">
        <v>9</v>
      </c>
      <c r="Q338" s="26" t="s">
        <v>10</v>
      </c>
      <c r="R338" s="26" t="s">
        <v>10</v>
      </c>
      <c r="S338" s="26" t="s">
        <v>829</v>
      </c>
      <c r="T338" s="26">
        <v>0</v>
      </c>
      <c r="U338" s="26" t="s">
        <v>830</v>
      </c>
    </row>
    <row r="339" spans="1:21">
      <c r="A339" s="107">
        <v>32</v>
      </c>
      <c r="B339" s="80"/>
      <c r="C339" s="80"/>
      <c r="D339" s="80"/>
      <c r="E339" s="80"/>
      <c r="F339" s="80"/>
      <c r="G339" s="26" t="s">
        <v>8</v>
      </c>
      <c r="H339" s="26" t="s">
        <v>936</v>
      </c>
      <c r="I339" s="26">
        <v>38</v>
      </c>
      <c r="J339" s="26">
        <v>168</v>
      </c>
      <c r="K339" s="26" t="s">
        <v>938</v>
      </c>
      <c r="L339" s="26" t="s">
        <v>462</v>
      </c>
      <c r="M339" s="26" t="s">
        <v>22</v>
      </c>
      <c r="N339" s="26" t="s">
        <v>24</v>
      </c>
      <c r="O339" s="26" t="s">
        <v>939</v>
      </c>
      <c r="P339" s="26" t="s">
        <v>224</v>
      </c>
      <c r="Q339" s="26" t="s">
        <v>29</v>
      </c>
      <c r="R339" s="26" t="s">
        <v>941</v>
      </c>
      <c r="S339" s="26" t="s">
        <v>940</v>
      </c>
      <c r="T339" s="26">
        <v>0</v>
      </c>
      <c r="U339" s="26">
        <v>0</v>
      </c>
    </row>
    <row r="340" spans="1:21">
      <c r="A340" s="48">
        <v>261</v>
      </c>
      <c r="B340" s="89"/>
      <c r="C340" s="89"/>
      <c r="D340" s="89"/>
      <c r="G340" s="26" t="s">
        <v>8</v>
      </c>
      <c r="H340" s="26" t="s">
        <v>1441</v>
      </c>
      <c r="I340" s="26">
        <v>37</v>
      </c>
      <c r="J340" s="26">
        <v>183</v>
      </c>
      <c r="K340" s="26" t="s">
        <v>1032</v>
      </c>
      <c r="L340" s="26" t="s">
        <v>462</v>
      </c>
      <c r="M340" s="26" t="s">
        <v>773</v>
      </c>
      <c r="N340" s="26" t="s">
        <v>66</v>
      </c>
      <c r="O340" s="26" t="s">
        <v>10</v>
      </c>
      <c r="P340" s="26" t="s">
        <v>9</v>
      </c>
      <c r="Q340" s="26" t="s">
        <v>29</v>
      </c>
      <c r="R340" s="26" t="s">
        <v>10</v>
      </c>
      <c r="S340" s="26" t="s">
        <v>1442</v>
      </c>
      <c r="T340" s="26" t="s">
        <v>1443</v>
      </c>
      <c r="U340" s="26">
        <v>0</v>
      </c>
    </row>
    <row r="341" spans="1:21">
      <c r="A341" s="48">
        <v>22</v>
      </c>
      <c r="B341" s="81"/>
      <c r="C341" s="81"/>
      <c r="D341" s="81"/>
      <c r="E341" s="80"/>
      <c r="F341" s="80"/>
      <c r="G341" s="26" t="s">
        <v>8</v>
      </c>
      <c r="H341" s="26" t="s">
        <v>1105</v>
      </c>
      <c r="I341" s="26">
        <v>37</v>
      </c>
      <c r="J341" s="26">
        <v>174</v>
      </c>
      <c r="K341" s="26" t="s">
        <v>1106</v>
      </c>
      <c r="L341" s="26" t="s">
        <v>462</v>
      </c>
      <c r="M341" s="26" t="s">
        <v>34</v>
      </c>
      <c r="N341" s="26" t="s">
        <v>19</v>
      </c>
      <c r="O341" s="26" t="s">
        <v>10</v>
      </c>
      <c r="P341" s="26" t="s">
        <v>20</v>
      </c>
      <c r="Q341" s="26" t="s">
        <v>10</v>
      </c>
      <c r="R341" s="26" t="s">
        <v>10</v>
      </c>
      <c r="S341" s="26" t="s">
        <v>1107</v>
      </c>
      <c r="T341" s="26" t="s">
        <v>1108</v>
      </c>
      <c r="U341" s="26">
        <v>0</v>
      </c>
    </row>
    <row r="342" spans="1:21">
      <c r="A342" s="48">
        <v>284</v>
      </c>
      <c r="B342" s="84"/>
      <c r="C342" s="84"/>
      <c r="D342" s="84"/>
      <c r="G342" s="26" t="s">
        <v>8</v>
      </c>
      <c r="H342" s="26" t="s">
        <v>1540</v>
      </c>
      <c r="I342" s="26">
        <v>36</v>
      </c>
      <c r="J342" s="26">
        <v>185</v>
      </c>
      <c r="K342" s="26" t="s">
        <v>1541</v>
      </c>
      <c r="L342" s="26" t="s">
        <v>460</v>
      </c>
      <c r="M342" s="26" t="s">
        <v>1621</v>
      </c>
      <c r="N342" s="26" t="s">
        <v>28</v>
      </c>
      <c r="O342" s="26" t="s">
        <v>10</v>
      </c>
      <c r="P342" s="26" t="s">
        <v>9</v>
      </c>
      <c r="Q342" s="26" t="s">
        <v>10</v>
      </c>
      <c r="R342" s="26" t="s">
        <v>10</v>
      </c>
      <c r="S342" s="26" t="s">
        <v>1542</v>
      </c>
      <c r="T342" s="26" t="s">
        <v>1543</v>
      </c>
      <c r="U342" s="26">
        <v>0</v>
      </c>
    </row>
    <row r="343" spans="1:21">
      <c r="A343" s="48">
        <v>282</v>
      </c>
      <c r="B343" s="84"/>
      <c r="C343" s="84"/>
      <c r="D343" s="84"/>
      <c r="G343" s="26" t="s">
        <v>8</v>
      </c>
      <c r="H343" s="26" t="s">
        <v>1532</v>
      </c>
      <c r="I343" s="26">
        <v>36</v>
      </c>
      <c r="J343" s="26">
        <v>177</v>
      </c>
      <c r="K343" s="26" t="s">
        <v>1533</v>
      </c>
      <c r="L343" s="26" t="s">
        <v>25</v>
      </c>
      <c r="M343" s="26" t="s">
        <v>21</v>
      </c>
      <c r="N343" s="26" t="s">
        <v>35</v>
      </c>
      <c r="O343" s="26" t="s">
        <v>10</v>
      </c>
      <c r="P343" s="26" t="s">
        <v>9</v>
      </c>
      <c r="Q343" s="26" t="s">
        <v>29</v>
      </c>
      <c r="R343" s="26" t="s">
        <v>1536</v>
      </c>
      <c r="S343" s="26" t="s">
        <v>1534</v>
      </c>
      <c r="T343" s="26" t="s">
        <v>1535</v>
      </c>
      <c r="U343" s="26">
        <v>0</v>
      </c>
    </row>
    <row r="344" spans="1:21">
      <c r="A344" s="48">
        <v>346</v>
      </c>
      <c r="B344" s="84"/>
      <c r="C344" s="84"/>
      <c r="D344" s="84"/>
      <c r="G344" s="26" t="s">
        <v>8</v>
      </c>
      <c r="H344" s="26" t="s">
        <v>1939</v>
      </c>
      <c r="I344" s="26">
        <v>36</v>
      </c>
      <c r="J344" s="26">
        <v>174</v>
      </c>
      <c r="K344" s="26" t="s">
        <v>1940</v>
      </c>
      <c r="L344" s="26" t="s">
        <v>25</v>
      </c>
      <c r="M344" s="26" t="s">
        <v>22</v>
      </c>
      <c r="N344" s="26" t="s">
        <v>19</v>
      </c>
      <c r="O344" s="26" t="s">
        <v>10</v>
      </c>
      <c r="P344" s="26" t="s">
        <v>9</v>
      </c>
      <c r="Q344" s="26" t="s">
        <v>29</v>
      </c>
      <c r="R344" s="26" t="s">
        <v>10</v>
      </c>
      <c r="S344" s="26" t="s">
        <v>1941</v>
      </c>
      <c r="T344" s="26" t="s">
        <v>1942</v>
      </c>
      <c r="U344" s="26">
        <v>0</v>
      </c>
    </row>
    <row r="345" spans="1:21">
      <c r="A345" s="48">
        <v>336</v>
      </c>
      <c r="B345" s="84"/>
      <c r="C345" s="84"/>
      <c r="D345" s="84"/>
      <c r="G345" s="26" t="s">
        <v>8</v>
      </c>
      <c r="H345" s="26" t="s">
        <v>1877</v>
      </c>
      <c r="I345" s="26">
        <v>35</v>
      </c>
      <c r="J345" s="26">
        <v>177</v>
      </c>
      <c r="K345" s="26" t="s">
        <v>1878</v>
      </c>
      <c r="L345" s="26" t="s">
        <v>25</v>
      </c>
      <c r="M345" s="26" t="s">
        <v>21</v>
      </c>
      <c r="N345" s="26" t="s">
        <v>252</v>
      </c>
      <c r="O345" s="26" t="s">
        <v>837</v>
      </c>
      <c r="P345" s="26" t="s">
        <v>20</v>
      </c>
      <c r="Q345" s="26" t="s">
        <v>10</v>
      </c>
      <c r="R345" s="26" t="s">
        <v>10</v>
      </c>
      <c r="S345" s="26" t="s">
        <v>1879</v>
      </c>
      <c r="T345" s="26" t="s">
        <v>1880</v>
      </c>
      <c r="U345" s="26">
        <v>0</v>
      </c>
    </row>
    <row r="346" spans="1:21">
      <c r="A346" s="48">
        <v>313</v>
      </c>
      <c r="B346" s="84"/>
      <c r="C346" s="84"/>
      <c r="D346" s="84"/>
      <c r="G346" s="26" t="s">
        <v>8</v>
      </c>
      <c r="H346" s="26" t="s">
        <v>1660</v>
      </c>
      <c r="I346" s="26">
        <v>35</v>
      </c>
      <c r="J346" s="26">
        <v>176</v>
      </c>
      <c r="K346" s="26" t="s">
        <v>1661</v>
      </c>
      <c r="L346" s="26" t="s">
        <v>25</v>
      </c>
      <c r="M346" s="26" t="s">
        <v>1764</v>
      </c>
      <c r="N346" s="26" t="s">
        <v>19</v>
      </c>
      <c r="O346" s="26" t="s">
        <v>10</v>
      </c>
      <c r="P346" s="26" t="s">
        <v>20</v>
      </c>
      <c r="Q346" s="26" t="s">
        <v>10</v>
      </c>
      <c r="R346" s="26" t="s">
        <v>10</v>
      </c>
      <c r="S346" s="26" t="s">
        <v>1708</v>
      </c>
      <c r="T346" s="26" t="s">
        <v>1709</v>
      </c>
      <c r="U346" s="26">
        <v>0</v>
      </c>
    </row>
    <row r="347" spans="1:21">
      <c r="A347" s="48">
        <v>122</v>
      </c>
      <c r="B347" s="81"/>
      <c r="C347" s="81"/>
      <c r="D347" s="81"/>
      <c r="E347" s="80"/>
      <c r="F347" s="80"/>
      <c r="G347" s="26" t="s">
        <v>8</v>
      </c>
      <c r="H347" s="26" t="s">
        <v>726</v>
      </c>
      <c r="I347" s="26">
        <v>35</v>
      </c>
      <c r="J347" s="26">
        <v>174</v>
      </c>
      <c r="K347" s="26" t="s">
        <v>727</v>
      </c>
      <c r="L347" s="26" t="s">
        <v>459</v>
      </c>
      <c r="M347" s="26" t="s">
        <v>34</v>
      </c>
      <c r="N347" s="26" t="s">
        <v>24</v>
      </c>
      <c r="O347" s="26" t="s">
        <v>10</v>
      </c>
      <c r="P347" s="26" t="s">
        <v>31</v>
      </c>
      <c r="Q347" s="26" t="s">
        <v>57</v>
      </c>
      <c r="R347" s="26" t="s">
        <v>10</v>
      </c>
      <c r="S347" s="26" t="s">
        <v>728</v>
      </c>
      <c r="T347" s="26" t="s">
        <v>271</v>
      </c>
      <c r="U347" s="26" t="s">
        <v>729</v>
      </c>
    </row>
    <row r="348" spans="1:21">
      <c r="A348" s="48">
        <v>247</v>
      </c>
      <c r="B348" s="86"/>
      <c r="C348" s="86"/>
      <c r="D348" s="86"/>
      <c r="G348" s="26" t="s">
        <v>8</v>
      </c>
      <c r="H348" s="26" t="s">
        <v>1338</v>
      </c>
      <c r="I348" s="26">
        <v>34</v>
      </c>
      <c r="J348" s="26">
        <v>186</v>
      </c>
      <c r="K348" s="26" t="s">
        <v>1339</v>
      </c>
      <c r="L348" s="26" t="s">
        <v>25</v>
      </c>
      <c r="M348" s="26" t="s">
        <v>34</v>
      </c>
      <c r="N348" s="26" t="s">
        <v>12</v>
      </c>
      <c r="O348" s="26" t="s">
        <v>10</v>
      </c>
      <c r="P348" s="26" t="s">
        <v>20</v>
      </c>
      <c r="Q348" s="26" t="s">
        <v>10</v>
      </c>
      <c r="R348" s="26" t="s">
        <v>10</v>
      </c>
      <c r="S348" s="26" t="s">
        <v>1340</v>
      </c>
      <c r="T348" s="26">
        <v>0</v>
      </c>
      <c r="U348" s="26">
        <v>0</v>
      </c>
    </row>
    <row r="349" spans="1:21" ht="18" customHeight="1">
      <c r="A349" s="48">
        <v>130</v>
      </c>
      <c r="B349" s="81"/>
      <c r="C349" s="81"/>
      <c r="D349" s="81"/>
      <c r="E349" s="80"/>
      <c r="F349" s="80"/>
      <c r="G349" s="26" t="s">
        <v>8</v>
      </c>
      <c r="H349" s="26" t="s">
        <v>663</v>
      </c>
      <c r="I349" s="26">
        <v>34</v>
      </c>
      <c r="J349" s="26">
        <v>185</v>
      </c>
      <c r="K349" s="26" t="s">
        <v>664</v>
      </c>
      <c r="L349" s="26" t="s">
        <v>25</v>
      </c>
      <c r="M349" s="26" t="s">
        <v>34</v>
      </c>
      <c r="N349" s="26" t="s">
        <v>13</v>
      </c>
      <c r="O349" s="26" t="s">
        <v>10</v>
      </c>
      <c r="P349" s="26" t="s">
        <v>9</v>
      </c>
      <c r="Q349" s="26" t="s">
        <v>29</v>
      </c>
      <c r="R349" s="26" t="s">
        <v>10</v>
      </c>
      <c r="S349" s="26" t="s">
        <v>665</v>
      </c>
      <c r="T349" s="26" t="s">
        <v>666</v>
      </c>
      <c r="U349" s="26">
        <v>0</v>
      </c>
    </row>
    <row r="350" spans="1:21" ht="18" customHeight="1">
      <c r="A350" s="48">
        <v>124</v>
      </c>
      <c r="B350" s="81"/>
      <c r="C350" s="81"/>
      <c r="D350" s="81"/>
      <c r="E350" s="80"/>
      <c r="F350" s="80"/>
      <c r="G350" s="26" t="s">
        <v>8</v>
      </c>
      <c r="H350" s="26" t="s">
        <v>1022</v>
      </c>
      <c r="I350" s="26">
        <v>34</v>
      </c>
      <c r="J350" s="26">
        <v>183</v>
      </c>
      <c r="K350" s="26" t="s">
        <v>1023</v>
      </c>
      <c r="L350" s="26" t="s">
        <v>25</v>
      </c>
      <c r="M350" s="26" t="s">
        <v>773</v>
      </c>
      <c r="N350" s="26" t="s">
        <v>66</v>
      </c>
      <c r="O350" s="26" t="s">
        <v>10</v>
      </c>
      <c r="P350" s="26" t="s">
        <v>9</v>
      </c>
      <c r="Q350" s="26" t="s">
        <v>10</v>
      </c>
      <c r="R350" s="26" t="s">
        <v>10</v>
      </c>
      <c r="S350" s="26" t="s">
        <v>1024</v>
      </c>
      <c r="T350" s="26">
        <v>0</v>
      </c>
      <c r="U350" s="26">
        <v>0</v>
      </c>
    </row>
    <row r="351" spans="1:21" ht="18" customHeight="1">
      <c r="A351" s="48">
        <v>123</v>
      </c>
      <c r="B351" s="81"/>
      <c r="C351" s="81"/>
      <c r="D351" s="81"/>
      <c r="E351" s="80"/>
      <c r="F351" s="80"/>
      <c r="G351" s="26" t="s">
        <v>8</v>
      </c>
      <c r="H351" s="26" t="s">
        <v>84</v>
      </c>
      <c r="I351" s="26">
        <v>34</v>
      </c>
      <c r="J351" s="26">
        <v>179</v>
      </c>
      <c r="K351" s="26" t="s">
        <v>162</v>
      </c>
      <c r="L351" s="26" t="s">
        <v>25</v>
      </c>
      <c r="M351" s="26" t="s">
        <v>772</v>
      </c>
      <c r="N351" s="26" t="s">
        <v>66</v>
      </c>
      <c r="O351" s="26" t="s">
        <v>10</v>
      </c>
      <c r="P351" s="26" t="s">
        <v>9</v>
      </c>
      <c r="Q351" s="26" t="s">
        <v>57</v>
      </c>
      <c r="R351" s="26" t="s">
        <v>10</v>
      </c>
      <c r="S351" s="26" t="s">
        <v>163</v>
      </c>
      <c r="T351" s="26" t="s">
        <v>164</v>
      </c>
      <c r="U351" s="26">
        <v>0</v>
      </c>
    </row>
    <row r="352" spans="1:21" ht="18" customHeight="1">
      <c r="A352" s="48">
        <v>1</v>
      </c>
      <c r="B352" s="81"/>
      <c r="C352" s="81"/>
      <c r="D352" s="81"/>
      <c r="E352" s="80"/>
      <c r="F352" s="80"/>
      <c r="G352" s="26" t="s">
        <v>8</v>
      </c>
      <c r="H352" s="26" t="s">
        <v>953</v>
      </c>
      <c r="I352" s="26">
        <v>34</v>
      </c>
      <c r="J352" s="26">
        <v>178</v>
      </c>
      <c r="K352" s="26" t="s">
        <v>955</v>
      </c>
      <c r="L352" s="26" t="s">
        <v>25</v>
      </c>
      <c r="M352" s="26" t="s">
        <v>10</v>
      </c>
      <c r="N352" s="26" t="s">
        <v>37</v>
      </c>
      <c r="O352" s="26" t="s">
        <v>956</v>
      </c>
      <c r="P352" s="26" t="s">
        <v>9</v>
      </c>
      <c r="Q352" s="26" t="s">
        <v>29</v>
      </c>
      <c r="R352" s="26" t="s">
        <v>10</v>
      </c>
      <c r="S352" s="26" t="s">
        <v>957</v>
      </c>
      <c r="T352" s="26" t="s">
        <v>958</v>
      </c>
      <c r="U352" s="26">
        <v>0</v>
      </c>
    </row>
    <row r="353" spans="1:21" ht="18" customHeight="1">
      <c r="A353" s="48">
        <v>292</v>
      </c>
      <c r="G353" s="26" t="s">
        <v>8</v>
      </c>
      <c r="H353" s="26" t="s">
        <v>270</v>
      </c>
      <c r="I353" s="26">
        <v>34</v>
      </c>
      <c r="J353" s="26">
        <v>177</v>
      </c>
      <c r="K353" s="26" t="s">
        <v>147</v>
      </c>
      <c r="L353" s="26" t="s">
        <v>25</v>
      </c>
      <c r="M353" s="26" t="s">
        <v>34</v>
      </c>
      <c r="N353" s="26" t="s">
        <v>18</v>
      </c>
      <c r="O353" s="26" t="s">
        <v>1434</v>
      </c>
      <c r="P353" s="26" t="s">
        <v>9</v>
      </c>
      <c r="Q353" s="26" t="s">
        <v>10</v>
      </c>
      <c r="R353" s="26" t="s">
        <v>10</v>
      </c>
      <c r="S353" s="26" t="s">
        <v>1565</v>
      </c>
      <c r="T353" s="26" t="s">
        <v>1566</v>
      </c>
      <c r="U353" s="26">
        <v>0</v>
      </c>
    </row>
    <row r="354" spans="1:21" ht="18" customHeight="1">
      <c r="A354" s="48">
        <v>203</v>
      </c>
      <c r="B354" s="85"/>
      <c r="C354" s="85"/>
      <c r="D354" s="85"/>
      <c r="E354" s="80"/>
      <c r="F354" s="80"/>
      <c r="G354" s="26" t="s">
        <v>8</v>
      </c>
      <c r="H354" s="26" t="s">
        <v>270</v>
      </c>
      <c r="I354" s="26">
        <v>34</v>
      </c>
      <c r="J354" s="26">
        <v>177</v>
      </c>
      <c r="K354" s="26" t="s">
        <v>147</v>
      </c>
      <c r="L354" s="26" t="s">
        <v>25</v>
      </c>
      <c r="M354" s="26" t="s">
        <v>34</v>
      </c>
      <c r="N354" s="26" t="s">
        <v>18</v>
      </c>
      <c r="O354" s="26" t="s">
        <v>10</v>
      </c>
      <c r="P354" s="26" t="s">
        <v>9</v>
      </c>
      <c r="Q354" s="26" t="s">
        <v>29</v>
      </c>
      <c r="R354" s="26" t="s">
        <v>10</v>
      </c>
      <c r="S354" s="26" t="s">
        <v>271</v>
      </c>
      <c r="T354" s="26" t="s">
        <v>272</v>
      </c>
      <c r="U354" s="26">
        <v>0</v>
      </c>
    </row>
    <row r="355" spans="1:21" ht="18" customHeight="1">
      <c r="A355" s="48">
        <v>49</v>
      </c>
      <c r="B355" s="81"/>
      <c r="C355" s="81"/>
      <c r="D355" s="81"/>
      <c r="E355" s="80"/>
      <c r="F355" s="80"/>
      <c r="G355" s="26" t="s">
        <v>8</v>
      </c>
      <c r="H355" s="26" t="s">
        <v>378</v>
      </c>
      <c r="I355" s="26">
        <v>34</v>
      </c>
      <c r="J355" s="26">
        <v>174</v>
      </c>
      <c r="K355" s="26" t="s">
        <v>379</v>
      </c>
      <c r="L355" s="26" t="s">
        <v>775</v>
      </c>
      <c r="M355" s="26" t="s">
        <v>21</v>
      </c>
      <c r="N355" s="26" t="s">
        <v>380</v>
      </c>
      <c r="O355" s="26" t="s">
        <v>10</v>
      </c>
      <c r="P355" s="26" t="s">
        <v>9</v>
      </c>
      <c r="Q355" s="26" t="s">
        <v>10</v>
      </c>
      <c r="R355" s="26" t="s">
        <v>10</v>
      </c>
      <c r="S355" s="26" t="s">
        <v>381</v>
      </c>
      <c r="T355" s="26" t="s">
        <v>382</v>
      </c>
      <c r="U355" s="26">
        <v>0</v>
      </c>
    </row>
    <row r="356" spans="1:21" ht="18" customHeight="1">
      <c r="A356" s="48">
        <v>268</v>
      </c>
      <c r="B356" s="84"/>
      <c r="C356" s="84"/>
      <c r="D356" s="84"/>
      <c r="G356" s="26" t="s">
        <v>8</v>
      </c>
      <c r="H356" s="26" t="s">
        <v>1471</v>
      </c>
      <c r="I356" s="26">
        <v>34</v>
      </c>
      <c r="J356" s="26">
        <v>173</v>
      </c>
      <c r="K356" s="26" t="s">
        <v>1472</v>
      </c>
      <c r="L356" s="26" t="s">
        <v>25</v>
      </c>
      <c r="M356" s="26" t="s">
        <v>772</v>
      </c>
      <c r="N356" s="26" t="s">
        <v>35</v>
      </c>
      <c r="O356" s="26" t="s">
        <v>10</v>
      </c>
      <c r="P356" s="26" t="s">
        <v>9</v>
      </c>
      <c r="Q356" s="26" t="s">
        <v>10</v>
      </c>
      <c r="R356" s="26" t="s">
        <v>10</v>
      </c>
      <c r="S356" s="26" t="s">
        <v>1473</v>
      </c>
      <c r="T356" s="26" t="s">
        <v>1474</v>
      </c>
      <c r="U356" s="26">
        <v>0</v>
      </c>
    </row>
    <row r="357" spans="1:21" ht="18" customHeight="1">
      <c r="A357" s="48">
        <v>283</v>
      </c>
      <c r="B357" s="84"/>
      <c r="C357" s="84"/>
      <c r="D357" s="84"/>
      <c r="G357" s="26" t="s">
        <v>8</v>
      </c>
      <c r="H357" s="26" t="s">
        <v>1323</v>
      </c>
      <c r="I357" s="26">
        <v>34</v>
      </c>
      <c r="J357" s="26">
        <v>173</v>
      </c>
      <c r="K357" s="26" t="s">
        <v>1537</v>
      </c>
      <c r="L357" s="26" t="s">
        <v>25</v>
      </c>
      <c r="M357" s="26" t="s">
        <v>21</v>
      </c>
      <c r="N357" s="26" t="s">
        <v>252</v>
      </c>
      <c r="O357" s="26" t="s">
        <v>10</v>
      </c>
      <c r="P357" s="26" t="s">
        <v>31</v>
      </c>
      <c r="Q357" s="26" t="s">
        <v>10</v>
      </c>
      <c r="R357" s="26" t="s">
        <v>10</v>
      </c>
      <c r="S357" s="26" t="s">
        <v>1538</v>
      </c>
      <c r="T357" s="26" t="s">
        <v>1539</v>
      </c>
      <c r="U357" s="26">
        <v>0</v>
      </c>
    </row>
    <row r="358" spans="1:21" ht="18" customHeight="1">
      <c r="A358" s="48">
        <v>139</v>
      </c>
      <c r="B358" s="81"/>
      <c r="C358" s="81"/>
      <c r="D358" s="81"/>
      <c r="E358" s="80"/>
      <c r="F358" s="80"/>
      <c r="G358" s="26" t="s">
        <v>8</v>
      </c>
      <c r="H358" s="26" t="s">
        <v>821</v>
      </c>
      <c r="I358" s="26">
        <v>34</v>
      </c>
      <c r="J358" s="26">
        <v>173</v>
      </c>
      <c r="K358" s="26" t="s">
        <v>686</v>
      </c>
      <c r="L358" s="26" t="s">
        <v>25</v>
      </c>
      <c r="M358" s="26" t="s">
        <v>22</v>
      </c>
      <c r="N358" s="26" t="s">
        <v>28</v>
      </c>
      <c r="O358" s="26" t="s">
        <v>10</v>
      </c>
      <c r="P358" s="26" t="s">
        <v>9</v>
      </c>
      <c r="Q358" s="26" t="s">
        <v>29</v>
      </c>
      <c r="R358" s="26" t="s">
        <v>10</v>
      </c>
      <c r="S358" s="26" t="s">
        <v>92</v>
      </c>
      <c r="T358" s="26" t="s">
        <v>822</v>
      </c>
      <c r="U358" s="26">
        <v>0</v>
      </c>
    </row>
    <row r="359" spans="1:21" ht="18" customHeight="1">
      <c r="A359" s="48">
        <v>314</v>
      </c>
      <c r="G359" s="26" t="s">
        <v>8</v>
      </c>
      <c r="H359" s="26" t="s">
        <v>1662</v>
      </c>
      <c r="I359" s="26">
        <v>34</v>
      </c>
      <c r="J359" s="26">
        <v>172</v>
      </c>
      <c r="K359" s="26" t="s">
        <v>1663</v>
      </c>
      <c r="L359" s="26" t="s">
        <v>462</v>
      </c>
      <c r="M359" s="26" t="s">
        <v>10</v>
      </c>
      <c r="N359" s="26" t="s">
        <v>19</v>
      </c>
      <c r="O359" s="26" t="s">
        <v>10</v>
      </c>
      <c r="P359" s="26" t="s">
        <v>9</v>
      </c>
      <c r="Q359" s="26" t="s">
        <v>10</v>
      </c>
      <c r="R359" s="26" t="s">
        <v>10</v>
      </c>
      <c r="S359" s="26" t="s">
        <v>1710</v>
      </c>
      <c r="T359" s="26" t="s">
        <v>923</v>
      </c>
      <c r="U359" s="26">
        <v>0</v>
      </c>
    </row>
    <row r="360" spans="1:21" ht="18" customHeight="1">
      <c r="A360" s="48">
        <v>345</v>
      </c>
      <c r="B360" s="84"/>
      <c r="C360" s="84"/>
      <c r="D360" s="84"/>
      <c r="F360" s="87"/>
      <c r="G360" s="26" t="s">
        <v>8</v>
      </c>
      <c r="H360" s="26" t="s">
        <v>1935</v>
      </c>
      <c r="I360" s="26">
        <v>34</v>
      </c>
      <c r="J360" s="26">
        <v>171</v>
      </c>
      <c r="K360" s="26" t="s">
        <v>1936</v>
      </c>
      <c r="L360" s="26" t="s">
        <v>25</v>
      </c>
      <c r="M360" s="26" t="s">
        <v>21</v>
      </c>
      <c r="N360" s="26" t="s">
        <v>68</v>
      </c>
      <c r="O360" s="26" t="s">
        <v>10</v>
      </c>
      <c r="P360" s="26" t="s">
        <v>9</v>
      </c>
      <c r="Q360" s="26" t="s">
        <v>10</v>
      </c>
      <c r="R360" s="26" t="s">
        <v>10</v>
      </c>
      <c r="S360" s="26" t="s">
        <v>1937</v>
      </c>
      <c r="T360" s="26" t="s">
        <v>1938</v>
      </c>
      <c r="U360" s="26">
        <v>0</v>
      </c>
    </row>
    <row r="361" spans="1:21" ht="18" customHeight="1">
      <c r="A361" s="48">
        <v>56</v>
      </c>
      <c r="B361" s="81"/>
      <c r="C361" s="81"/>
      <c r="D361" s="81"/>
      <c r="E361" s="80"/>
      <c r="F361" s="81"/>
      <c r="G361" s="26" t="s">
        <v>8</v>
      </c>
      <c r="H361" s="26" t="s">
        <v>978</v>
      </c>
      <c r="I361" s="26">
        <v>34</v>
      </c>
      <c r="J361" s="26">
        <v>170</v>
      </c>
      <c r="K361" s="26" t="s">
        <v>980</v>
      </c>
      <c r="L361" s="26" t="s">
        <v>25</v>
      </c>
      <c r="M361" s="26" t="s">
        <v>21</v>
      </c>
      <c r="N361" s="26" t="s">
        <v>37</v>
      </c>
      <c r="O361" s="26" t="s">
        <v>981</v>
      </c>
      <c r="P361" s="26" t="s">
        <v>31</v>
      </c>
      <c r="Q361" s="26" t="s">
        <v>10</v>
      </c>
      <c r="R361" s="26">
        <v>0</v>
      </c>
      <c r="S361" s="26" t="s">
        <v>982</v>
      </c>
      <c r="T361" s="26" t="s">
        <v>983</v>
      </c>
      <c r="U361" s="26">
        <v>0</v>
      </c>
    </row>
    <row r="362" spans="1:21" ht="18" customHeight="1">
      <c r="A362" s="48">
        <v>229</v>
      </c>
      <c r="B362" s="88"/>
      <c r="C362" s="88"/>
      <c r="D362" s="88"/>
      <c r="G362" s="26" t="s">
        <v>8</v>
      </c>
      <c r="H362" s="26" t="s">
        <v>1233</v>
      </c>
      <c r="I362" s="26">
        <v>34</v>
      </c>
      <c r="J362" s="26">
        <v>167</v>
      </c>
      <c r="K362" s="26" t="s">
        <v>1234</v>
      </c>
      <c r="L362" s="26" t="s">
        <v>459</v>
      </c>
      <c r="M362" s="26" t="s">
        <v>10</v>
      </c>
      <c r="N362" s="26" t="s">
        <v>66</v>
      </c>
      <c r="O362" s="26" t="s">
        <v>10</v>
      </c>
      <c r="P362" s="26" t="s">
        <v>20</v>
      </c>
      <c r="Q362" s="26" t="s">
        <v>10</v>
      </c>
      <c r="R362" s="26" t="s">
        <v>10</v>
      </c>
      <c r="S362" s="26" t="s">
        <v>1235</v>
      </c>
      <c r="T362" s="26" t="s">
        <v>1236</v>
      </c>
      <c r="U362" s="26" t="s">
        <v>1237</v>
      </c>
    </row>
    <row r="363" spans="1:21" ht="18" customHeight="1">
      <c r="A363" s="48">
        <v>140</v>
      </c>
      <c r="B363" s="81"/>
      <c r="C363" s="81"/>
      <c r="D363" s="81"/>
      <c r="E363" s="80"/>
      <c r="F363" s="80"/>
      <c r="G363" s="26" t="s">
        <v>8</v>
      </c>
      <c r="H363" s="26" t="s">
        <v>320</v>
      </c>
      <c r="I363" s="26">
        <v>33</v>
      </c>
      <c r="J363" s="26">
        <v>185</v>
      </c>
      <c r="K363" s="26" t="s">
        <v>321</v>
      </c>
      <c r="L363" s="26" t="s">
        <v>459</v>
      </c>
      <c r="M363" s="26" t="s">
        <v>773</v>
      </c>
      <c r="N363" s="26" t="s">
        <v>59</v>
      </c>
      <c r="O363" s="26" t="s">
        <v>38</v>
      </c>
      <c r="P363" s="26" t="s">
        <v>9</v>
      </c>
      <c r="Q363" s="26" t="s">
        <v>29</v>
      </c>
      <c r="R363" s="26" t="s">
        <v>324</v>
      </c>
      <c r="S363" s="26" t="s">
        <v>322</v>
      </c>
      <c r="T363" s="26" t="s">
        <v>323</v>
      </c>
      <c r="U363" s="26" t="s">
        <v>325</v>
      </c>
    </row>
    <row r="364" spans="1:21" ht="18" customHeight="1">
      <c r="A364" s="48">
        <v>76</v>
      </c>
      <c r="B364" s="81"/>
      <c r="C364" s="81"/>
      <c r="D364" s="81"/>
      <c r="E364" s="80"/>
      <c r="F364" s="80"/>
      <c r="G364" s="26" t="s">
        <v>8</v>
      </c>
      <c r="H364" s="26" t="s">
        <v>293</v>
      </c>
      <c r="I364" s="26">
        <v>33</v>
      </c>
      <c r="J364" s="26">
        <v>179</v>
      </c>
      <c r="K364" s="26" t="s">
        <v>294</v>
      </c>
      <c r="L364" s="26" t="s">
        <v>25</v>
      </c>
      <c r="M364" s="26" t="s">
        <v>10</v>
      </c>
      <c r="N364" s="26" t="s">
        <v>71</v>
      </c>
      <c r="O364" s="26" t="s">
        <v>295</v>
      </c>
      <c r="P364" s="26" t="s">
        <v>9</v>
      </c>
      <c r="Q364" s="26" t="s">
        <v>10</v>
      </c>
      <c r="R364" s="26" t="s">
        <v>10</v>
      </c>
      <c r="S364" s="26" t="s">
        <v>296</v>
      </c>
      <c r="T364" s="26" t="s">
        <v>297</v>
      </c>
      <c r="U364" s="26">
        <v>0</v>
      </c>
    </row>
    <row r="365" spans="1:21" ht="18" customHeight="1">
      <c r="A365" s="48">
        <v>294</v>
      </c>
      <c r="B365" s="84"/>
      <c r="C365" s="84"/>
      <c r="D365" s="84"/>
      <c r="G365" s="26" t="s">
        <v>8</v>
      </c>
      <c r="H365" s="26" t="s">
        <v>1623</v>
      </c>
      <c r="I365" s="26">
        <v>33</v>
      </c>
      <c r="J365" s="26">
        <v>178</v>
      </c>
      <c r="K365" s="26" t="s">
        <v>1624</v>
      </c>
      <c r="L365" s="26" t="s">
        <v>62</v>
      </c>
      <c r="M365" s="26" t="s">
        <v>22</v>
      </c>
      <c r="N365" s="26" t="s">
        <v>23</v>
      </c>
      <c r="O365" s="26" t="s">
        <v>10</v>
      </c>
      <c r="P365" s="26" t="s">
        <v>9</v>
      </c>
      <c r="Q365" s="26" t="s">
        <v>10</v>
      </c>
      <c r="R365" s="26" t="s">
        <v>11</v>
      </c>
      <c r="S365" s="26" t="s">
        <v>1667</v>
      </c>
      <c r="T365" s="26" t="s">
        <v>1668</v>
      </c>
      <c r="U365" s="26">
        <v>0</v>
      </c>
    </row>
    <row r="366" spans="1:21" ht="18" customHeight="1">
      <c r="A366" s="48">
        <v>82</v>
      </c>
      <c r="B366" s="81"/>
      <c r="C366" s="81"/>
      <c r="D366" s="81"/>
      <c r="E366" s="80"/>
      <c r="F366" s="80"/>
      <c r="G366" s="26" t="s">
        <v>8</v>
      </c>
      <c r="H366" s="26" t="s">
        <v>794</v>
      </c>
      <c r="I366" s="26">
        <v>33</v>
      </c>
      <c r="J366" s="26">
        <v>173</v>
      </c>
      <c r="K366" s="26" t="s">
        <v>795</v>
      </c>
      <c r="L366" s="26" t="s">
        <v>62</v>
      </c>
      <c r="M366" s="26" t="s">
        <v>22</v>
      </c>
      <c r="N366" s="26" t="s">
        <v>796</v>
      </c>
      <c r="O366" s="26" t="s">
        <v>10</v>
      </c>
      <c r="P366" s="26" t="s">
        <v>9</v>
      </c>
      <c r="Q366" s="26" t="s">
        <v>29</v>
      </c>
      <c r="R366" s="26" t="s">
        <v>10</v>
      </c>
      <c r="S366" s="26" t="s">
        <v>797</v>
      </c>
      <c r="T366" s="26" t="s">
        <v>798</v>
      </c>
      <c r="U366" s="26" t="s">
        <v>799</v>
      </c>
    </row>
    <row r="367" spans="1:21" ht="18" customHeight="1">
      <c r="A367" s="48">
        <v>323</v>
      </c>
      <c r="B367" s="81"/>
      <c r="C367" s="81"/>
      <c r="D367" s="81"/>
      <c r="E367" s="80"/>
      <c r="F367" s="81"/>
      <c r="G367" s="36" t="s">
        <v>8</v>
      </c>
      <c r="H367" s="26" t="s">
        <v>1789</v>
      </c>
      <c r="I367" s="26">
        <v>33</v>
      </c>
      <c r="J367" s="26">
        <v>171</v>
      </c>
      <c r="K367" s="26" t="s">
        <v>1790</v>
      </c>
      <c r="L367" s="26" t="s">
        <v>62</v>
      </c>
      <c r="M367" s="26" t="s">
        <v>22</v>
      </c>
      <c r="N367" s="26" t="s">
        <v>59</v>
      </c>
      <c r="O367" s="26" t="s">
        <v>10</v>
      </c>
      <c r="P367" s="26" t="s">
        <v>9</v>
      </c>
      <c r="Q367" s="26" t="s">
        <v>29</v>
      </c>
      <c r="R367" s="26" t="s">
        <v>10</v>
      </c>
      <c r="S367" s="26" t="s">
        <v>1791</v>
      </c>
      <c r="T367" s="26" t="s">
        <v>567</v>
      </c>
      <c r="U367" s="26">
        <v>0</v>
      </c>
    </row>
    <row r="368" spans="1:21" ht="18" customHeight="1">
      <c r="A368" s="48">
        <v>288</v>
      </c>
      <c r="G368" s="26" t="s">
        <v>8</v>
      </c>
      <c r="H368" s="26" t="s">
        <v>1551</v>
      </c>
      <c r="I368" s="26">
        <v>32</v>
      </c>
      <c r="J368" s="26">
        <v>185</v>
      </c>
      <c r="K368" s="26" t="s">
        <v>1552</v>
      </c>
      <c r="L368" s="26" t="s">
        <v>460</v>
      </c>
      <c r="M368" s="26" t="s">
        <v>772</v>
      </c>
      <c r="N368" s="26" t="s">
        <v>70</v>
      </c>
      <c r="O368" s="26" t="s">
        <v>10</v>
      </c>
      <c r="P368" s="26" t="s">
        <v>20</v>
      </c>
      <c r="Q368" s="26" t="s">
        <v>10</v>
      </c>
      <c r="R368" s="26" t="s">
        <v>10</v>
      </c>
      <c r="S368" s="26" t="s">
        <v>1553</v>
      </c>
      <c r="T368" s="26" t="s">
        <v>1554</v>
      </c>
      <c r="U368" s="26">
        <v>0</v>
      </c>
    </row>
    <row r="369" spans="1:21" ht="18" customHeight="1">
      <c r="A369" s="48">
        <v>173</v>
      </c>
      <c r="B369" s="81"/>
      <c r="C369" s="81"/>
      <c r="D369" s="81"/>
      <c r="E369" s="80"/>
      <c r="F369" s="80"/>
      <c r="G369" s="26" t="s">
        <v>8</v>
      </c>
      <c r="H369" s="26" t="s">
        <v>615</v>
      </c>
      <c r="I369" s="26">
        <v>32</v>
      </c>
      <c r="J369" s="26">
        <v>178</v>
      </c>
      <c r="K369" s="26" t="s">
        <v>617</v>
      </c>
      <c r="L369" s="26" t="s">
        <v>36</v>
      </c>
      <c r="M369" s="26" t="s">
        <v>769</v>
      </c>
      <c r="N369" s="26" t="s">
        <v>23</v>
      </c>
      <c r="O369" s="26" t="s">
        <v>618</v>
      </c>
      <c r="P369" s="26" t="s">
        <v>9</v>
      </c>
      <c r="Q369" s="26" t="s">
        <v>29</v>
      </c>
      <c r="R369" s="26" t="s">
        <v>10</v>
      </c>
      <c r="S369" s="26" t="s">
        <v>619</v>
      </c>
      <c r="T369" s="26" t="s">
        <v>620</v>
      </c>
      <c r="U369" s="26">
        <v>0</v>
      </c>
    </row>
    <row r="370" spans="1:21" ht="18" customHeight="1">
      <c r="A370" s="48">
        <v>251</v>
      </c>
      <c r="B370" s="86"/>
      <c r="C370" s="86"/>
      <c r="D370" s="86"/>
      <c r="G370" s="26" t="s">
        <v>8</v>
      </c>
      <c r="H370" s="26" t="s">
        <v>1368</v>
      </c>
      <c r="I370" s="26">
        <v>32</v>
      </c>
      <c r="J370" s="26">
        <v>175</v>
      </c>
      <c r="K370" s="26" t="s">
        <v>1370</v>
      </c>
      <c r="L370" s="26" t="s">
        <v>459</v>
      </c>
      <c r="M370" s="26" t="s">
        <v>591</v>
      </c>
      <c r="N370" s="26" t="s">
        <v>23</v>
      </c>
      <c r="O370" s="26" t="s">
        <v>10</v>
      </c>
      <c r="P370" s="26" t="s">
        <v>9</v>
      </c>
      <c r="Q370" s="26" t="s">
        <v>29</v>
      </c>
      <c r="R370" s="26"/>
      <c r="S370" s="26" t="s">
        <v>1371</v>
      </c>
      <c r="T370" s="26" t="s">
        <v>1372</v>
      </c>
      <c r="U370" s="26"/>
    </row>
    <row r="371" spans="1:21" ht="18" customHeight="1">
      <c r="A371" s="48">
        <v>95</v>
      </c>
      <c r="B371" s="81"/>
      <c r="C371" s="81"/>
      <c r="D371" s="81"/>
      <c r="E371" s="80"/>
      <c r="F371" s="80"/>
      <c r="G371" s="26" t="s">
        <v>8</v>
      </c>
      <c r="H371" s="26" t="s">
        <v>524</v>
      </c>
      <c r="I371" s="26">
        <v>32</v>
      </c>
      <c r="J371" s="26">
        <v>175</v>
      </c>
      <c r="K371" s="26" t="s">
        <v>11</v>
      </c>
      <c r="L371" s="26" t="s">
        <v>62</v>
      </c>
      <c r="M371" s="26" t="s">
        <v>34</v>
      </c>
      <c r="N371" s="26" t="s">
        <v>469</v>
      </c>
      <c r="O371" s="26" t="s">
        <v>10</v>
      </c>
      <c r="P371" s="26" t="s">
        <v>9</v>
      </c>
      <c r="Q371" s="26" t="s">
        <v>10</v>
      </c>
      <c r="R371" s="26" t="s">
        <v>10</v>
      </c>
      <c r="S371" s="26" t="s">
        <v>525</v>
      </c>
      <c r="T371" s="26" t="s">
        <v>526</v>
      </c>
      <c r="U371" s="26">
        <v>0</v>
      </c>
    </row>
    <row r="372" spans="1:21" ht="18" customHeight="1">
      <c r="A372" s="48">
        <v>325</v>
      </c>
      <c r="B372" s="81"/>
      <c r="C372" s="81"/>
      <c r="D372" s="81"/>
      <c r="E372" s="80"/>
      <c r="F372" s="81"/>
      <c r="G372" s="36" t="s">
        <v>8</v>
      </c>
      <c r="H372" s="26" t="s">
        <v>1795</v>
      </c>
      <c r="I372" s="26">
        <v>32</v>
      </c>
      <c r="J372" s="26">
        <v>173</v>
      </c>
      <c r="K372" s="26" t="s">
        <v>1796</v>
      </c>
      <c r="L372" s="26" t="s">
        <v>25</v>
      </c>
      <c r="M372" s="26" t="s">
        <v>591</v>
      </c>
      <c r="N372" s="26" t="s">
        <v>28</v>
      </c>
      <c r="O372" s="26" t="s">
        <v>10</v>
      </c>
      <c r="P372" s="26" t="s">
        <v>9</v>
      </c>
      <c r="Q372" s="26" t="s">
        <v>29</v>
      </c>
      <c r="R372" s="26" t="s">
        <v>10</v>
      </c>
      <c r="S372" s="26" t="s">
        <v>1797</v>
      </c>
      <c r="T372" s="26" t="s">
        <v>1798</v>
      </c>
      <c r="U372" s="26">
        <v>0</v>
      </c>
    </row>
    <row r="373" spans="1:21" ht="18" customHeight="1">
      <c r="A373" s="48">
        <v>171</v>
      </c>
      <c r="B373" s="81"/>
      <c r="C373" s="81"/>
      <c r="D373" s="81"/>
      <c r="E373" s="80"/>
      <c r="F373" s="81"/>
      <c r="G373" s="26" t="s">
        <v>8</v>
      </c>
      <c r="H373" s="26" t="s">
        <v>138</v>
      </c>
      <c r="I373" s="26">
        <v>32</v>
      </c>
      <c r="J373" s="26">
        <v>170</v>
      </c>
      <c r="K373" s="26" t="s">
        <v>139</v>
      </c>
      <c r="L373" s="26" t="s">
        <v>25</v>
      </c>
      <c r="M373" s="26" t="s">
        <v>22</v>
      </c>
      <c r="N373" s="26" t="s">
        <v>59</v>
      </c>
      <c r="O373" s="26" t="s">
        <v>10</v>
      </c>
      <c r="P373" s="26" t="s">
        <v>9</v>
      </c>
      <c r="Q373" s="26" t="s">
        <v>29</v>
      </c>
      <c r="R373" s="26" t="s">
        <v>69</v>
      </c>
      <c r="S373" s="26" t="s">
        <v>140</v>
      </c>
      <c r="T373" s="26" t="s">
        <v>141</v>
      </c>
      <c r="U373" s="26">
        <v>0</v>
      </c>
    </row>
    <row r="374" spans="1:21" ht="18" customHeight="1">
      <c r="A374" s="48">
        <v>361</v>
      </c>
      <c r="B374" s="81"/>
      <c r="C374" s="81"/>
      <c r="D374" s="81"/>
      <c r="E374" s="80"/>
      <c r="F374" s="81"/>
      <c r="G374" s="26" t="s">
        <v>8</v>
      </c>
      <c r="H374" s="26" t="s">
        <v>2702</v>
      </c>
      <c r="I374" s="26">
        <v>32</v>
      </c>
      <c r="J374" s="26">
        <v>169</v>
      </c>
      <c r="K374" s="26" t="s">
        <v>147</v>
      </c>
      <c r="L374" s="26" t="s">
        <v>25</v>
      </c>
      <c r="M374" s="26" t="s">
        <v>10</v>
      </c>
      <c r="N374" s="4" t="s">
        <v>35</v>
      </c>
      <c r="O374" s="4" t="s">
        <v>2703</v>
      </c>
      <c r="P374" s="4" t="s">
        <v>20</v>
      </c>
      <c r="Q374" s="4" t="s">
        <v>10</v>
      </c>
      <c r="R374" s="4" t="s">
        <v>10</v>
      </c>
      <c r="S374" s="4" t="s">
        <v>2704</v>
      </c>
      <c r="T374" s="4" t="s">
        <v>808</v>
      </c>
      <c r="U374" s="4">
        <v>0</v>
      </c>
    </row>
    <row r="375" spans="1:21" ht="18" customHeight="1">
      <c r="A375" s="48">
        <v>272</v>
      </c>
      <c r="B375" s="84"/>
      <c r="C375" s="84"/>
      <c r="D375" s="84"/>
      <c r="F375" s="84"/>
      <c r="G375" s="26" t="s">
        <v>8</v>
      </c>
      <c r="H375" s="26" t="s">
        <v>401</v>
      </c>
      <c r="I375" s="26">
        <v>32</v>
      </c>
      <c r="J375" s="26">
        <v>168</v>
      </c>
      <c r="K375" s="26" t="s">
        <v>1488</v>
      </c>
      <c r="L375" s="26" t="s">
        <v>25</v>
      </c>
      <c r="M375" s="26" t="s">
        <v>64</v>
      </c>
      <c r="N375" s="4" t="s">
        <v>252</v>
      </c>
      <c r="O375" s="4" t="s">
        <v>10</v>
      </c>
      <c r="P375" s="4" t="s">
        <v>9</v>
      </c>
      <c r="Q375" s="4" t="s">
        <v>10</v>
      </c>
      <c r="R375" s="4" t="s">
        <v>10</v>
      </c>
      <c r="S375" s="4" t="s">
        <v>1489</v>
      </c>
      <c r="T375" s="4" t="s">
        <v>1490</v>
      </c>
      <c r="U375" s="4" t="s">
        <v>1491</v>
      </c>
    </row>
    <row r="376" spans="1:21" ht="18" customHeight="1">
      <c r="A376" s="48">
        <v>248</v>
      </c>
      <c r="B376" s="86"/>
      <c r="C376" s="86"/>
      <c r="D376" s="86"/>
      <c r="F376" s="86"/>
      <c r="G376" s="26" t="s">
        <v>8</v>
      </c>
      <c r="H376" s="26" t="s">
        <v>1354</v>
      </c>
      <c r="I376" s="26">
        <v>31</v>
      </c>
      <c r="J376" s="26">
        <v>178</v>
      </c>
      <c r="K376" s="26" t="s">
        <v>1355</v>
      </c>
      <c r="L376" s="26" t="s">
        <v>460</v>
      </c>
      <c r="M376" s="26" t="s">
        <v>774</v>
      </c>
      <c r="N376" s="26" t="s">
        <v>469</v>
      </c>
      <c r="O376" s="26" t="s">
        <v>10</v>
      </c>
      <c r="P376" s="26" t="s">
        <v>9</v>
      </c>
      <c r="Q376" s="26" t="s">
        <v>10</v>
      </c>
      <c r="R376" s="26" t="s">
        <v>10</v>
      </c>
      <c r="S376" s="26" t="s">
        <v>1356</v>
      </c>
      <c r="T376" s="26" t="s">
        <v>1357</v>
      </c>
      <c r="U376" s="26"/>
    </row>
    <row r="377" spans="1:21" ht="18" customHeight="1">
      <c r="A377" s="48">
        <v>31</v>
      </c>
      <c r="B377" s="81"/>
      <c r="C377" s="81"/>
      <c r="D377" s="81"/>
      <c r="E377" s="80"/>
      <c r="F377" s="81"/>
      <c r="G377" s="26" t="s">
        <v>8</v>
      </c>
      <c r="H377" s="26" t="s">
        <v>1027</v>
      </c>
      <c r="I377" s="26">
        <v>31</v>
      </c>
      <c r="J377" s="26">
        <v>176</v>
      </c>
      <c r="K377" s="26" t="s">
        <v>1028</v>
      </c>
      <c r="L377" s="26" t="s">
        <v>459</v>
      </c>
      <c r="M377" s="26" t="s">
        <v>34</v>
      </c>
      <c r="N377" s="26" t="s">
        <v>59</v>
      </c>
      <c r="O377" s="26" t="s">
        <v>10</v>
      </c>
      <c r="P377" s="26" t="s">
        <v>31</v>
      </c>
      <c r="Q377" s="26" t="s">
        <v>10</v>
      </c>
      <c r="R377" s="26" t="s">
        <v>10</v>
      </c>
      <c r="S377" s="26" t="s">
        <v>1029</v>
      </c>
      <c r="T377" s="26" t="s">
        <v>1030</v>
      </c>
      <c r="U377" s="26">
        <v>0</v>
      </c>
    </row>
    <row r="378" spans="1:21" ht="18" customHeight="1">
      <c r="A378" s="48">
        <v>242</v>
      </c>
      <c r="B378" s="86"/>
      <c r="C378" s="86"/>
      <c r="D378" s="86"/>
      <c r="F378" s="86"/>
      <c r="G378" s="26" t="s">
        <v>8</v>
      </c>
      <c r="H378" s="26" t="s">
        <v>1315</v>
      </c>
      <c r="I378" s="26">
        <v>31</v>
      </c>
      <c r="J378" s="26">
        <v>174</v>
      </c>
      <c r="K378" s="26" t="s">
        <v>1316</v>
      </c>
      <c r="L378" s="26" t="s">
        <v>460</v>
      </c>
      <c r="M378" s="26" t="s">
        <v>34</v>
      </c>
      <c r="N378" s="26" t="s">
        <v>480</v>
      </c>
      <c r="O378" s="26" t="s">
        <v>10</v>
      </c>
      <c r="P378" s="26" t="s">
        <v>9</v>
      </c>
      <c r="Q378" s="26" t="s">
        <v>29</v>
      </c>
      <c r="R378" s="26" t="s">
        <v>10</v>
      </c>
      <c r="S378" s="26" t="s">
        <v>1317</v>
      </c>
      <c r="T378" s="26" t="s">
        <v>1318</v>
      </c>
      <c r="U378" s="26">
        <v>0</v>
      </c>
    </row>
    <row r="379" spans="1:21" ht="18" customHeight="1">
      <c r="A379" s="48">
        <v>63</v>
      </c>
      <c r="B379" s="81"/>
      <c r="C379" s="81"/>
      <c r="D379" s="81"/>
      <c r="E379" s="80"/>
      <c r="F379" s="81"/>
      <c r="G379" s="26" t="s">
        <v>8</v>
      </c>
      <c r="H379" s="26" t="s">
        <v>703</v>
      </c>
      <c r="I379" s="26">
        <v>31</v>
      </c>
      <c r="J379" s="26">
        <v>173</v>
      </c>
      <c r="K379" s="26" t="s">
        <v>704</v>
      </c>
      <c r="L379" s="26" t="s">
        <v>62</v>
      </c>
      <c r="M379" s="26" t="s">
        <v>22</v>
      </c>
      <c r="N379" s="26" t="s">
        <v>19</v>
      </c>
      <c r="O379" s="26" t="s">
        <v>10</v>
      </c>
      <c r="P379" s="26" t="s">
        <v>9</v>
      </c>
      <c r="Q379" s="26" t="s">
        <v>29</v>
      </c>
      <c r="R379" s="26" t="s">
        <v>707</v>
      </c>
      <c r="S379" s="26" t="s">
        <v>705</v>
      </c>
      <c r="T379" s="26" t="s">
        <v>706</v>
      </c>
      <c r="U379" s="26">
        <v>0</v>
      </c>
    </row>
    <row r="380" spans="1:21" ht="18" customHeight="1">
      <c r="A380" s="48">
        <v>29</v>
      </c>
      <c r="B380" s="81"/>
      <c r="C380" s="81"/>
      <c r="D380" s="81"/>
      <c r="E380" s="80"/>
      <c r="F380" s="81"/>
      <c r="G380" s="26" t="s">
        <v>8</v>
      </c>
      <c r="H380" s="26" t="s">
        <v>589</v>
      </c>
      <c r="I380" s="26">
        <v>31</v>
      </c>
      <c r="J380" s="26">
        <v>171</v>
      </c>
      <c r="K380" s="26" t="s">
        <v>590</v>
      </c>
      <c r="L380" s="26" t="s">
        <v>62</v>
      </c>
      <c r="M380" s="26" t="s">
        <v>591</v>
      </c>
      <c r="N380" s="26" t="s">
        <v>59</v>
      </c>
      <c r="O380" s="26" t="s">
        <v>592</v>
      </c>
      <c r="P380" s="26" t="s">
        <v>9</v>
      </c>
      <c r="Q380" s="26" t="s">
        <v>29</v>
      </c>
      <c r="R380" s="26" t="s">
        <v>10</v>
      </c>
      <c r="S380" s="26" t="s">
        <v>593</v>
      </c>
      <c r="T380" s="26" t="s">
        <v>594</v>
      </c>
      <c r="U380" s="26">
        <v>0</v>
      </c>
    </row>
    <row r="381" spans="1:21" ht="18" customHeight="1">
      <c r="A381" s="48">
        <v>152</v>
      </c>
      <c r="B381" s="81"/>
      <c r="C381" s="81"/>
      <c r="D381" s="81"/>
      <c r="E381" s="80"/>
      <c r="F381" s="81"/>
      <c r="G381" s="26" t="s">
        <v>8</v>
      </c>
      <c r="H381" s="26" t="s">
        <v>805</v>
      </c>
      <c r="I381" s="26">
        <v>31</v>
      </c>
      <c r="J381" s="26">
        <v>170</v>
      </c>
      <c r="K381" s="26" t="s">
        <v>806</v>
      </c>
      <c r="L381" s="26" t="s">
        <v>460</v>
      </c>
      <c r="M381" s="26" t="s">
        <v>22</v>
      </c>
      <c r="N381" s="26" t="s">
        <v>732</v>
      </c>
      <c r="O381" s="26" t="s">
        <v>10</v>
      </c>
      <c r="P381" s="26" t="s">
        <v>9</v>
      </c>
      <c r="Q381" s="26" t="s">
        <v>29</v>
      </c>
      <c r="R381" s="26" t="s">
        <v>10</v>
      </c>
      <c r="S381" s="26" t="s">
        <v>807</v>
      </c>
      <c r="T381" s="26" t="s">
        <v>808</v>
      </c>
      <c r="U381" s="26">
        <v>0</v>
      </c>
    </row>
    <row r="382" spans="1:21" ht="18" customHeight="1">
      <c r="A382" s="48">
        <v>103</v>
      </c>
      <c r="B382" s="80"/>
      <c r="C382" s="80"/>
      <c r="D382" s="80"/>
      <c r="E382" s="80"/>
      <c r="F382" s="80"/>
      <c r="G382" s="26" t="s">
        <v>8</v>
      </c>
      <c r="H382" s="26" t="s">
        <v>911</v>
      </c>
      <c r="I382" s="26">
        <v>31</v>
      </c>
      <c r="J382" s="26">
        <v>166</v>
      </c>
      <c r="K382" s="26" t="s">
        <v>913</v>
      </c>
      <c r="L382" s="26" t="s">
        <v>25</v>
      </c>
      <c r="M382" s="26" t="s">
        <v>771</v>
      </c>
      <c r="N382" s="26" t="s">
        <v>13</v>
      </c>
      <c r="O382" s="26" t="s">
        <v>10</v>
      </c>
      <c r="P382" s="26" t="s">
        <v>9</v>
      </c>
      <c r="Q382" s="26" t="s">
        <v>10</v>
      </c>
      <c r="R382" s="26" t="s">
        <v>10</v>
      </c>
      <c r="S382" s="26" t="s">
        <v>914</v>
      </c>
      <c r="T382" s="26" t="s">
        <v>915</v>
      </c>
      <c r="U382" s="26">
        <v>0</v>
      </c>
    </row>
    <row r="383" spans="1:21" ht="18" customHeight="1">
      <c r="A383" s="48">
        <v>319</v>
      </c>
      <c r="B383" s="81"/>
      <c r="C383" s="81"/>
      <c r="D383" s="81"/>
      <c r="E383" s="80"/>
      <c r="F383" s="81"/>
      <c r="G383" s="36" t="s">
        <v>8</v>
      </c>
      <c r="H383" s="26" t="s">
        <v>1774</v>
      </c>
      <c r="I383" s="26">
        <v>31</v>
      </c>
      <c r="J383" s="26">
        <v>161</v>
      </c>
      <c r="K383" s="26" t="s">
        <v>1644</v>
      </c>
      <c r="L383" s="26" t="s">
        <v>460</v>
      </c>
      <c r="M383" s="26" t="s">
        <v>64</v>
      </c>
      <c r="N383" s="26" t="s">
        <v>76</v>
      </c>
      <c r="O383" s="26" t="s">
        <v>10</v>
      </c>
      <c r="P383" s="26" t="s">
        <v>9</v>
      </c>
      <c r="Q383" s="26" t="s">
        <v>10</v>
      </c>
      <c r="R383" s="26" t="s">
        <v>10</v>
      </c>
      <c r="S383" s="26" t="s">
        <v>1775</v>
      </c>
      <c r="T383" s="26" t="s">
        <v>1776</v>
      </c>
      <c r="U383" s="26">
        <v>0</v>
      </c>
    </row>
    <row r="384" spans="1:21" ht="18" customHeight="1">
      <c r="A384" s="48">
        <v>335</v>
      </c>
      <c r="F384" s="79"/>
      <c r="G384" s="26" t="s">
        <v>8</v>
      </c>
      <c r="H384" s="26" t="s">
        <v>1871</v>
      </c>
      <c r="I384" s="26">
        <v>30</v>
      </c>
      <c r="J384" s="26">
        <v>184</v>
      </c>
      <c r="K384" s="26" t="s">
        <v>1873</v>
      </c>
      <c r="L384" s="26" t="s">
        <v>62</v>
      </c>
      <c r="M384" s="26" t="s">
        <v>1621</v>
      </c>
      <c r="N384" s="26" t="s">
        <v>18</v>
      </c>
      <c r="O384" s="26" t="s">
        <v>1874</v>
      </c>
      <c r="P384" s="26" t="s">
        <v>20</v>
      </c>
      <c r="Q384" s="26" t="s">
        <v>10</v>
      </c>
      <c r="R384" s="26" t="s">
        <v>10</v>
      </c>
      <c r="S384" s="26" t="s">
        <v>1875</v>
      </c>
      <c r="T384" s="26" t="s">
        <v>1876</v>
      </c>
      <c r="U384" s="26">
        <v>0</v>
      </c>
    </row>
    <row r="385" spans="1:21" ht="18" customHeight="1"/>
    <row r="386" spans="1:21" ht="18" customHeight="1">
      <c r="A386" s="48">
        <v>183</v>
      </c>
      <c r="B386" s="81"/>
      <c r="C386" s="81"/>
      <c r="D386" s="81"/>
      <c r="E386" s="80"/>
      <c r="F386" s="81"/>
      <c r="G386" s="26" t="s">
        <v>8</v>
      </c>
      <c r="H386" s="26" t="s">
        <v>610</v>
      </c>
      <c r="I386" s="26">
        <v>30</v>
      </c>
      <c r="J386" s="26">
        <v>178</v>
      </c>
      <c r="K386" s="26" t="s">
        <v>612</v>
      </c>
      <c r="L386" s="26" t="s">
        <v>768</v>
      </c>
      <c r="M386" s="26" t="s">
        <v>34</v>
      </c>
      <c r="N386" s="26" t="s">
        <v>23</v>
      </c>
      <c r="O386" s="26" t="s">
        <v>10</v>
      </c>
      <c r="P386" s="26" t="s">
        <v>31</v>
      </c>
      <c r="Q386" s="26" t="s">
        <v>10</v>
      </c>
      <c r="R386" s="26" t="s">
        <v>10</v>
      </c>
      <c r="S386" s="26" t="s">
        <v>613</v>
      </c>
      <c r="T386" s="26" t="s">
        <v>614</v>
      </c>
      <c r="U386" s="26" t="s">
        <v>132</v>
      </c>
    </row>
    <row r="387" spans="1:21" ht="18" customHeight="1">
      <c r="A387" s="48">
        <v>57</v>
      </c>
      <c r="B387" s="81"/>
      <c r="C387" s="81"/>
      <c r="D387" s="81"/>
      <c r="E387" s="80"/>
      <c r="F387" s="81"/>
      <c r="G387" s="26" t="s">
        <v>8</v>
      </c>
      <c r="H387" s="26" t="s">
        <v>383</v>
      </c>
      <c r="I387" s="26">
        <v>30</v>
      </c>
      <c r="J387" s="26">
        <v>173</v>
      </c>
      <c r="K387" s="26" t="s">
        <v>384</v>
      </c>
      <c r="L387" s="26" t="s">
        <v>62</v>
      </c>
      <c r="M387" s="26" t="s">
        <v>21</v>
      </c>
      <c r="N387" s="26" t="s">
        <v>37</v>
      </c>
      <c r="O387" s="26" t="s">
        <v>10</v>
      </c>
      <c r="P387" s="26" t="s">
        <v>9</v>
      </c>
      <c r="Q387" s="26" t="s">
        <v>10</v>
      </c>
      <c r="R387" s="26" t="s">
        <v>10</v>
      </c>
      <c r="S387" s="26" t="s">
        <v>385</v>
      </c>
      <c r="T387" s="26" t="s">
        <v>386</v>
      </c>
      <c r="U387" s="26">
        <v>0</v>
      </c>
    </row>
    <row r="388" spans="1:21">
      <c r="A388" s="48">
        <v>330</v>
      </c>
      <c r="B388" s="85"/>
      <c r="C388" s="85"/>
      <c r="D388" s="85"/>
      <c r="F388" s="85"/>
      <c r="G388" s="26" t="s">
        <v>7</v>
      </c>
      <c r="H388" s="26" t="s">
        <v>1851</v>
      </c>
      <c r="I388" s="26">
        <v>30</v>
      </c>
      <c r="J388" s="26">
        <v>171</v>
      </c>
      <c r="K388" s="26" t="s">
        <v>1428</v>
      </c>
      <c r="L388" s="26" t="s">
        <v>440</v>
      </c>
      <c r="M388" s="26" t="s">
        <v>448</v>
      </c>
      <c r="N388" s="26" t="s">
        <v>23</v>
      </c>
      <c r="O388" s="26" t="s">
        <v>10</v>
      </c>
      <c r="P388" s="26" t="s">
        <v>9</v>
      </c>
      <c r="Q388" s="26" t="s">
        <v>10</v>
      </c>
      <c r="R388" s="26" t="s">
        <v>646</v>
      </c>
      <c r="S388" s="26" t="s">
        <v>1846</v>
      </c>
      <c r="T388" s="26" t="s">
        <v>1847</v>
      </c>
      <c r="U388" s="26" t="s">
        <v>1848</v>
      </c>
    </row>
    <row r="389" spans="1:21">
      <c r="A389" s="48">
        <v>334</v>
      </c>
      <c r="F389" s="79"/>
      <c r="G389" s="26" t="s">
        <v>8</v>
      </c>
      <c r="H389" s="26" t="s">
        <v>1861</v>
      </c>
      <c r="I389" s="26">
        <v>30</v>
      </c>
      <c r="J389" s="26">
        <v>170</v>
      </c>
      <c r="K389" s="26" t="s">
        <v>1862</v>
      </c>
      <c r="L389" s="26" t="s">
        <v>62</v>
      </c>
      <c r="M389" s="26" t="s">
        <v>10</v>
      </c>
      <c r="N389" s="26" t="s">
        <v>37</v>
      </c>
      <c r="O389" s="26" t="s">
        <v>10</v>
      </c>
      <c r="P389" s="26" t="s">
        <v>9</v>
      </c>
      <c r="Q389" s="26" t="s">
        <v>10</v>
      </c>
      <c r="R389" s="26" t="s">
        <v>10</v>
      </c>
      <c r="S389" s="26" t="s">
        <v>1863</v>
      </c>
      <c r="T389" s="26">
        <v>0</v>
      </c>
      <c r="U389" s="26">
        <v>0</v>
      </c>
    </row>
    <row r="390" spans="1:21">
      <c r="A390" s="105">
        <v>126</v>
      </c>
      <c r="B390" s="81"/>
      <c r="C390" s="81"/>
      <c r="D390" s="81"/>
      <c r="E390" s="80"/>
      <c r="F390" s="81"/>
      <c r="G390" s="26" t="s">
        <v>8</v>
      </c>
      <c r="H390" s="26" t="s">
        <v>1014</v>
      </c>
      <c r="I390" s="26">
        <v>30</v>
      </c>
      <c r="J390" s="26">
        <v>165</v>
      </c>
      <c r="K390" s="26" t="s">
        <v>1015</v>
      </c>
      <c r="L390" s="26" t="s">
        <v>25</v>
      </c>
      <c r="M390" s="26" t="s">
        <v>10</v>
      </c>
      <c r="N390" s="26" t="s">
        <v>66</v>
      </c>
      <c r="O390" s="26" t="s">
        <v>10</v>
      </c>
      <c r="P390" s="26" t="s">
        <v>9</v>
      </c>
      <c r="Q390" s="26" t="s">
        <v>10</v>
      </c>
      <c r="R390" s="26" t="s">
        <v>10</v>
      </c>
      <c r="S390" s="26" t="s">
        <v>1016</v>
      </c>
      <c r="T390" s="26" t="s">
        <v>1016</v>
      </c>
      <c r="U390" s="26">
        <v>0</v>
      </c>
    </row>
    <row r="391" spans="1:21">
      <c r="A391" s="105">
        <v>316</v>
      </c>
      <c r="F391" s="87"/>
      <c r="G391" s="26" t="s">
        <v>8</v>
      </c>
      <c r="H391" s="26" t="s">
        <v>1665</v>
      </c>
      <c r="I391" s="26">
        <v>29</v>
      </c>
      <c r="J391" s="26">
        <v>177</v>
      </c>
      <c r="K391" s="26" t="s">
        <v>1666</v>
      </c>
      <c r="L391" s="26" t="s">
        <v>62</v>
      </c>
      <c r="M391" s="26" t="s">
        <v>591</v>
      </c>
      <c r="N391" s="26" t="s">
        <v>19</v>
      </c>
      <c r="O391" s="26" t="s">
        <v>10</v>
      </c>
      <c r="P391" s="26" t="s">
        <v>9</v>
      </c>
      <c r="Q391" s="26" t="s">
        <v>10</v>
      </c>
      <c r="R391" s="26" t="s">
        <v>10</v>
      </c>
      <c r="S391" s="26" t="s">
        <v>1714</v>
      </c>
      <c r="T391" s="26" t="s">
        <v>1715</v>
      </c>
      <c r="U391" s="26">
        <v>0</v>
      </c>
    </row>
    <row r="392" spans="1:21">
      <c r="A392" s="105">
        <v>125</v>
      </c>
      <c r="B392" s="81"/>
      <c r="C392" s="81"/>
      <c r="D392" s="81"/>
      <c r="E392" s="80"/>
      <c r="F392" s="80"/>
      <c r="G392" s="26" t="s">
        <v>8</v>
      </c>
      <c r="H392" s="26" t="s">
        <v>604</v>
      </c>
      <c r="I392" s="26">
        <v>29</v>
      </c>
      <c r="J392" s="26">
        <v>174</v>
      </c>
      <c r="K392" s="26" t="s">
        <v>606</v>
      </c>
      <c r="L392" s="26" t="s">
        <v>459</v>
      </c>
      <c r="M392" s="26" t="s">
        <v>22</v>
      </c>
      <c r="N392" s="26" t="s">
        <v>59</v>
      </c>
      <c r="O392" s="26" t="s">
        <v>607</v>
      </c>
      <c r="P392" s="26" t="s">
        <v>9</v>
      </c>
      <c r="Q392" s="26" t="s">
        <v>10</v>
      </c>
      <c r="R392" s="26" t="s">
        <v>10</v>
      </c>
      <c r="S392" s="26" t="s">
        <v>608</v>
      </c>
      <c r="T392" s="26" t="s">
        <v>609</v>
      </c>
      <c r="U392" s="26">
        <v>0</v>
      </c>
    </row>
    <row r="393" spans="1:21">
      <c r="A393" s="105">
        <v>267</v>
      </c>
      <c r="F393" s="87"/>
      <c r="G393" s="26" t="s">
        <v>8</v>
      </c>
      <c r="H393" s="26" t="s">
        <v>1467</v>
      </c>
      <c r="I393" s="26">
        <v>29</v>
      </c>
      <c r="J393" s="26">
        <v>171</v>
      </c>
      <c r="K393" s="26" t="s">
        <v>1468</v>
      </c>
      <c r="L393" s="26" t="s">
        <v>767</v>
      </c>
      <c r="M393" s="26" t="s">
        <v>22</v>
      </c>
      <c r="N393" s="26" t="s">
        <v>70</v>
      </c>
      <c r="O393" s="26" t="s">
        <v>10</v>
      </c>
      <c r="P393" s="26" t="s">
        <v>9</v>
      </c>
      <c r="Q393" s="26" t="s">
        <v>10</v>
      </c>
      <c r="R393" s="26" t="s">
        <v>10</v>
      </c>
      <c r="S393" s="26" t="s">
        <v>1469</v>
      </c>
      <c r="T393" s="26" t="s">
        <v>1470</v>
      </c>
      <c r="U393" s="26">
        <v>0</v>
      </c>
    </row>
    <row r="394" spans="1:21">
      <c r="A394" s="107">
        <v>146</v>
      </c>
      <c r="B394" s="81"/>
      <c r="C394" s="81"/>
      <c r="D394" s="81"/>
      <c r="E394" s="80"/>
      <c r="F394" s="80"/>
      <c r="G394" s="26" t="s">
        <v>8</v>
      </c>
      <c r="H394" s="26" t="s">
        <v>916</v>
      </c>
      <c r="I394" s="26">
        <v>29</v>
      </c>
      <c r="J394" s="26">
        <v>160.1</v>
      </c>
      <c r="K394" s="26" t="s">
        <v>917</v>
      </c>
      <c r="L394" s="26" t="s">
        <v>460</v>
      </c>
      <c r="M394" s="26" t="s">
        <v>10</v>
      </c>
      <c r="N394" s="26" t="s">
        <v>23</v>
      </c>
      <c r="O394" s="26" t="s">
        <v>10</v>
      </c>
      <c r="P394" s="26" t="s">
        <v>9</v>
      </c>
      <c r="Q394" s="26" t="s">
        <v>29</v>
      </c>
      <c r="R394" s="26" t="s">
        <v>10</v>
      </c>
      <c r="S394" s="26" t="s">
        <v>918</v>
      </c>
      <c r="T394" s="26" t="s">
        <v>919</v>
      </c>
      <c r="U394" s="26">
        <v>0</v>
      </c>
    </row>
    <row r="395" spans="1:21">
      <c r="A395" s="107">
        <v>286</v>
      </c>
      <c r="G395" s="26" t="s">
        <v>8</v>
      </c>
      <c r="H395" s="26" t="s">
        <v>1545</v>
      </c>
      <c r="I395" s="26">
        <v>28</v>
      </c>
      <c r="J395" s="26">
        <v>187</v>
      </c>
      <c r="K395" s="26" t="s">
        <v>1546</v>
      </c>
      <c r="L395" s="26" t="s">
        <v>767</v>
      </c>
      <c r="M395" s="26" t="s">
        <v>769</v>
      </c>
      <c r="N395" s="26" t="s">
        <v>28</v>
      </c>
      <c r="O395" s="26" t="s">
        <v>10</v>
      </c>
      <c r="P395" s="26" t="s">
        <v>9</v>
      </c>
      <c r="Q395" s="26" t="s">
        <v>10</v>
      </c>
      <c r="R395" s="26" t="s">
        <v>10</v>
      </c>
      <c r="S395" s="26" t="s">
        <v>1547</v>
      </c>
      <c r="T395" s="26">
        <v>0</v>
      </c>
      <c r="U395" s="26">
        <v>0</v>
      </c>
    </row>
    <row r="396" spans="1:21">
      <c r="A396" s="48">
        <v>19</v>
      </c>
      <c r="B396" s="81"/>
      <c r="C396" s="81"/>
      <c r="D396" s="81"/>
      <c r="E396" s="80"/>
      <c r="F396" s="80"/>
      <c r="G396" s="26" t="s">
        <v>8</v>
      </c>
      <c r="H396" s="26" t="s">
        <v>134</v>
      </c>
      <c r="I396" s="26">
        <v>28</v>
      </c>
      <c r="J396" s="26">
        <v>181</v>
      </c>
      <c r="K396" s="26" t="s">
        <v>135</v>
      </c>
      <c r="L396" s="26" t="s">
        <v>459</v>
      </c>
      <c r="M396" s="26" t="s">
        <v>34</v>
      </c>
      <c r="N396" s="26" t="s">
        <v>12</v>
      </c>
      <c r="O396" s="26" t="s">
        <v>10</v>
      </c>
      <c r="P396" s="26" t="s">
        <v>9</v>
      </c>
      <c r="Q396" s="26" t="s">
        <v>10</v>
      </c>
      <c r="R396" s="26" t="s">
        <v>10</v>
      </c>
      <c r="S396" s="26" t="s">
        <v>136</v>
      </c>
      <c r="T396" s="26" t="s">
        <v>137</v>
      </c>
      <c r="U396" s="26">
        <v>0</v>
      </c>
    </row>
    <row r="397" spans="1:21">
      <c r="A397" s="48">
        <v>71</v>
      </c>
      <c r="B397" s="81"/>
      <c r="C397" s="81"/>
      <c r="D397" s="81"/>
      <c r="E397" s="80"/>
      <c r="F397" s="81"/>
      <c r="G397" s="26" t="s">
        <v>8</v>
      </c>
      <c r="H397" s="26" t="s">
        <v>642</v>
      </c>
      <c r="I397" s="26">
        <v>28</v>
      </c>
      <c r="J397" s="26">
        <v>179</v>
      </c>
      <c r="K397" s="26" t="s">
        <v>974</v>
      </c>
      <c r="L397" s="26" t="s">
        <v>768</v>
      </c>
      <c r="M397" s="26" t="s">
        <v>774</v>
      </c>
      <c r="N397" s="26" t="s">
        <v>148</v>
      </c>
      <c r="O397" s="26" t="s">
        <v>10</v>
      </c>
      <c r="P397" s="26" t="s">
        <v>9</v>
      </c>
      <c r="Q397" s="26" t="s">
        <v>29</v>
      </c>
      <c r="R397" s="26">
        <v>0</v>
      </c>
      <c r="S397" s="26" t="s">
        <v>975</v>
      </c>
      <c r="T397" s="26" t="s">
        <v>976</v>
      </c>
      <c r="U397" s="26" t="s">
        <v>977</v>
      </c>
    </row>
    <row r="398" spans="1:21">
      <c r="A398" s="48">
        <v>326</v>
      </c>
      <c r="B398" s="81"/>
      <c r="C398" s="81"/>
      <c r="D398" s="81"/>
      <c r="E398" s="80"/>
      <c r="F398" s="81"/>
      <c r="G398" s="36" t="s">
        <v>8</v>
      </c>
      <c r="H398" s="26" t="s">
        <v>1802</v>
      </c>
      <c r="I398" s="26">
        <v>28</v>
      </c>
      <c r="J398" s="26">
        <v>171</v>
      </c>
      <c r="K398" s="26" t="s">
        <v>198</v>
      </c>
      <c r="L398" s="26" t="s">
        <v>459</v>
      </c>
      <c r="M398" s="26" t="s">
        <v>34</v>
      </c>
      <c r="N398" s="26" t="s">
        <v>1806</v>
      </c>
      <c r="O398" s="26" t="s">
        <v>10</v>
      </c>
      <c r="P398" s="26" t="s">
        <v>9</v>
      </c>
      <c r="Q398" s="26" t="s">
        <v>10</v>
      </c>
      <c r="R398" s="26" t="s">
        <v>10</v>
      </c>
      <c r="S398" s="26" t="s">
        <v>1803</v>
      </c>
      <c r="T398" s="26">
        <v>0</v>
      </c>
      <c r="U398" s="26" t="s">
        <v>1901</v>
      </c>
    </row>
    <row r="399" spans="1:21">
      <c r="A399" s="48">
        <v>3</v>
      </c>
      <c r="B399" s="81"/>
      <c r="C399" s="81"/>
      <c r="D399" s="81"/>
      <c r="E399" s="80"/>
      <c r="F399" s="81"/>
      <c r="G399" s="26" t="s">
        <v>8</v>
      </c>
      <c r="H399" s="26" t="s">
        <v>781</v>
      </c>
      <c r="I399" s="26">
        <v>27</v>
      </c>
      <c r="J399" s="26">
        <v>172</v>
      </c>
      <c r="K399" s="26" t="s">
        <v>782</v>
      </c>
      <c r="L399" s="26" t="s">
        <v>768</v>
      </c>
      <c r="M399" s="26" t="s">
        <v>22</v>
      </c>
      <c r="N399" s="26" t="s">
        <v>252</v>
      </c>
      <c r="O399" s="26" t="s">
        <v>10</v>
      </c>
      <c r="P399" s="26" t="s">
        <v>31</v>
      </c>
      <c r="Q399" s="26" t="s">
        <v>57</v>
      </c>
      <c r="R399" s="26" t="s">
        <v>10</v>
      </c>
      <c r="S399" s="26" t="s">
        <v>783</v>
      </c>
      <c r="T399" s="26" t="s">
        <v>784</v>
      </c>
      <c r="U399" s="26">
        <v>0</v>
      </c>
    </row>
    <row r="400" spans="1:21" ht="18" customHeight="1">
      <c r="A400" s="48">
        <v>174</v>
      </c>
      <c r="B400" s="81"/>
      <c r="C400" s="81"/>
      <c r="D400" s="81"/>
      <c r="E400" s="80"/>
      <c r="F400" s="81"/>
      <c r="G400" s="26" t="s">
        <v>8</v>
      </c>
      <c r="H400" s="26" t="s">
        <v>735</v>
      </c>
      <c r="I400" s="26">
        <v>27</v>
      </c>
      <c r="J400" s="26">
        <v>172</v>
      </c>
      <c r="K400" s="26" t="s">
        <v>736</v>
      </c>
      <c r="L400" s="26" t="s">
        <v>737</v>
      </c>
      <c r="M400" s="26" t="s">
        <v>22</v>
      </c>
      <c r="N400" s="26" t="s">
        <v>68</v>
      </c>
      <c r="O400" s="26" t="s">
        <v>10</v>
      </c>
      <c r="P400" s="26" t="s">
        <v>20</v>
      </c>
      <c r="Q400" s="26" t="s">
        <v>10</v>
      </c>
      <c r="R400" s="26" t="s">
        <v>10</v>
      </c>
      <c r="S400" s="26" t="s">
        <v>738</v>
      </c>
      <c r="T400" s="26" t="s">
        <v>739</v>
      </c>
      <c r="U400" s="26">
        <v>0</v>
      </c>
    </row>
    <row r="401" spans="1:21">
      <c r="A401" s="48">
        <v>55</v>
      </c>
      <c r="B401" s="81"/>
      <c r="C401" s="81"/>
      <c r="D401" s="81"/>
      <c r="E401" s="80"/>
      <c r="F401" s="80"/>
      <c r="G401" s="26" t="s">
        <v>8</v>
      </c>
      <c r="H401" s="26" t="s">
        <v>652</v>
      </c>
      <c r="I401" s="26">
        <v>26</v>
      </c>
      <c r="J401" s="26">
        <v>175</v>
      </c>
      <c r="K401" s="26" t="s">
        <v>653</v>
      </c>
      <c r="L401" s="26" t="s">
        <v>62</v>
      </c>
      <c r="M401" s="26" t="s">
        <v>22</v>
      </c>
      <c r="N401" s="26" t="s">
        <v>85</v>
      </c>
      <c r="O401" s="26" t="s">
        <v>10</v>
      </c>
      <c r="P401" s="26" t="s">
        <v>9</v>
      </c>
      <c r="Q401" s="26" t="s">
        <v>10</v>
      </c>
      <c r="R401" s="26" t="s">
        <v>646</v>
      </c>
      <c r="S401" s="26" t="s">
        <v>654</v>
      </c>
      <c r="T401" s="26" t="s">
        <v>655</v>
      </c>
      <c r="U401" s="26" t="s">
        <v>656</v>
      </c>
    </row>
    <row r="402" spans="1:21">
      <c r="A402" s="48">
        <v>281</v>
      </c>
      <c r="F402" s="87"/>
      <c r="G402" s="26" t="s">
        <v>8</v>
      </c>
      <c r="H402" s="26" t="s">
        <v>1528</v>
      </c>
      <c r="I402" s="26">
        <v>24</v>
      </c>
      <c r="J402" s="26">
        <v>168</v>
      </c>
      <c r="K402" s="26" t="s">
        <v>1530</v>
      </c>
      <c r="L402" s="26" t="s">
        <v>737</v>
      </c>
      <c r="M402" s="26" t="s">
        <v>22</v>
      </c>
      <c r="N402" s="26" t="s">
        <v>18</v>
      </c>
      <c r="O402" s="26" t="s">
        <v>10</v>
      </c>
      <c r="P402" s="26">
        <v>0</v>
      </c>
      <c r="Q402" s="26" t="s">
        <v>10</v>
      </c>
      <c r="R402" s="26" t="s">
        <v>10</v>
      </c>
      <c r="S402" s="26" t="s">
        <v>1531</v>
      </c>
      <c r="T402" s="26" t="s">
        <v>1405</v>
      </c>
      <c r="U402" s="26">
        <v>0</v>
      </c>
    </row>
    <row r="403" spans="1:21">
      <c r="A403" s="48">
        <v>390</v>
      </c>
      <c r="B403" s="80">
        <v>1</v>
      </c>
      <c r="C403" s="80"/>
      <c r="D403" s="80"/>
      <c r="E403" s="80"/>
      <c r="F403" s="80"/>
      <c r="G403" s="26" t="s">
        <v>8</v>
      </c>
      <c r="H403" s="26" t="s">
        <v>3069</v>
      </c>
      <c r="I403" s="26">
        <v>33</v>
      </c>
      <c r="J403" s="26">
        <v>173</v>
      </c>
      <c r="K403" s="26" t="s">
        <v>3072</v>
      </c>
      <c r="L403" s="26" t="s">
        <v>460</v>
      </c>
      <c r="M403" s="26" t="s">
        <v>21</v>
      </c>
      <c r="N403" s="26" t="s">
        <v>12</v>
      </c>
      <c r="O403" s="26" t="s">
        <v>10</v>
      </c>
      <c r="P403" s="26" t="s">
        <v>9</v>
      </c>
      <c r="Q403" s="26" t="s">
        <v>29</v>
      </c>
      <c r="R403" s="26" t="s">
        <v>10</v>
      </c>
      <c r="S403" s="26" t="s">
        <v>3074</v>
      </c>
      <c r="T403" s="26" t="s">
        <v>3075</v>
      </c>
      <c r="U403" s="26">
        <v>0</v>
      </c>
    </row>
  </sheetData>
  <autoFilter ref="A58:U58">
    <sortState ref="A55:U226">
      <sortCondition ref="G54"/>
    </sortState>
  </autoFilter>
  <mergeCells count="4">
    <mergeCell ref="G2:U2"/>
    <mergeCell ref="G11:U11"/>
    <mergeCell ref="G39:U39"/>
    <mergeCell ref="G28:U28"/>
  </mergeCells>
  <phoneticPr fontId="1" type="noConversion"/>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2"/>
  <sheetViews>
    <sheetView view="pageBreakPreview" topLeftCell="K1" zoomScale="85" zoomScaleNormal="85" zoomScaleSheetLayoutView="85" workbookViewId="0">
      <selection activeCell="O11" sqref="B2:O11"/>
    </sheetView>
  </sheetViews>
  <sheetFormatPr defaultRowHeight="16.5"/>
  <cols>
    <col min="1" max="1" width="2.875" style="1" customWidth="1"/>
    <col min="2" max="2" width="5.25" style="1" bestFit="1" customWidth="1"/>
    <col min="3" max="3" width="7.125" style="1" bestFit="1" customWidth="1"/>
    <col min="4" max="4" width="5.875" style="1" bestFit="1" customWidth="1"/>
    <col min="5" max="5" width="5.25" style="1" bestFit="1" customWidth="1"/>
    <col min="6" max="6" width="55.875" style="1" bestFit="1" customWidth="1"/>
    <col min="7" max="7" width="9.25" style="1" customWidth="1"/>
    <col min="8" max="8" width="9.75" style="1" customWidth="1"/>
    <col min="9" max="9" width="6.875" style="1" bestFit="1" customWidth="1"/>
    <col min="10" max="10" width="22.875" style="1" customWidth="1"/>
    <col min="11" max="11" width="13.5" style="1" bestFit="1" customWidth="1"/>
    <col min="12" max="12" width="8" style="1" customWidth="1"/>
    <col min="13" max="13" width="14.5" style="1" customWidth="1"/>
    <col min="14" max="14" width="32.125" style="1" customWidth="1"/>
    <col min="15" max="15" width="34.25" style="1" customWidth="1"/>
    <col min="16" max="16" width="11.75" style="1" customWidth="1"/>
    <col min="17" max="16384" width="9" style="1"/>
  </cols>
  <sheetData>
    <row r="1" spans="1:16" ht="34.5">
      <c r="B1" s="9" t="s">
        <v>1</v>
      </c>
      <c r="C1" s="9" t="s">
        <v>52</v>
      </c>
      <c r="D1" s="9" t="s">
        <v>2</v>
      </c>
      <c r="E1" s="9" t="s">
        <v>4</v>
      </c>
      <c r="F1" s="11" t="s">
        <v>5</v>
      </c>
      <c r="G1" s="18" t="s">
        <v>41</v>
      </c>
      <c r="H1" s="11" t="s">
        <v>42</v>
      </c>
      <c r="I1" s="9" t="s">
        <v>6</v>
      </c>
      <c r="J1" s="9" t="s">
        <v>53</v>
      </c>
      <c r="K1" s="10" t="s">
        <v>44</v>
      </c>
      <c r="L1" s="9" t="s">
        <v>3</v>
      </c>
      <c r="M1" s="10" t="s">
        <v>54</v>
      </c>
      <c r="N1" s="18" t="s">
        <v>46</v>
      </c>
      <c r="O1" s="18" t="s">
        <v>47</v>
      </c>
      <c r="P1" s="18" t="s">
        <v>48</v>
      </c>
    </row>
    <row r="2" spans="1:16" ht="17.25">
      <c r="A2" s="2"/>
      <c r="B2" s="6" t="s">
        <v>8</v>
      </c>
      <c r="C2" s="19" t="s">
        <v>138</v>
      </c>
      <c r="D2" s="4">
        <v>32</v>
      </c>
      <c r="E2" s="7">
        <v>170</v>
      </c>
      <c r="F2" s="7" t="s">
        <v>1524</v>
      </c>
      <c r="G2" s="7" t="s">
        <v>25</v>
      </c>
      <c r="H2" s="7" t="s">
        <v>22</v>
      </c>
      <c r="I2" s="7" t="s">
        <v>59</v>
      </c>
      <c r="J2" s="7" t="s">
        <v>10</v>
      </c>
      <c r="K2" s="7" t="s">
        <v>9</v>
      </c>
      <c r="L2" s="7" t="s">
        <v>10</v>
      </c>
      <c r="M2" s="7" t="s">
        <v>11</v>
      </c>
      <c r="N2" s="7" t="s">
        <v>1525</v>
      </c>
      <c r="O2" s="7" t="s">
        <v>1526</v>
      </c>
      <c r="P2" s="7" t="s">
        <v>1527</v>
      </c>
    </row>
    <row r="3" spans="1:16" ht="17.25">
      <c r="A3" s="2"/>
      <c r="B3" s="6" t="s">
        <v>8</v>
      </c>
      <c r="C3" s="19" t="s">
        <v>1315</v>
      </c>
      <c r="D3" s="4">
        <v>31</v>
      </c>
      <c r="E3" s="7">
        <v>174</v>
      </c>
      <c r="F3" s="7" t="s">
        <v>1316</v>
      </c>
      <c r="G3" s="7" t="s">
        <v>460</v>
      </c>
      <c r="H3" s="7" t="s">
        <v>34</v>
      </c>
      <c r="I3" s="7" t="s">
        <v>12</v>
      </c>
      <c r="J3" s="7" t="s">
        <v>10</v>
      </c>
      <c r="K3" s="7" t="s">
        <v>9</v>
      </c>
      <c r="L3" s="7" t="s">
        <v>29</v>
      </c>
      <c r="M3" s="7" t="s">
        <v>10</v>
      </c>
      <c r="N3" s="7" t="s">
        <v>1317</v>
      </c>
      <c r="O3" s="7" t="s">
        <v>1318</v>
      </c>
      <c r="P3" s="7">
        <v>0</v>
      </c>
    </row>
    <row r="4" spans="1:16" ht="17.25">
      <c r="A4" s="2"/>
      <c r="B4" s="6" t="s">
        <v>8</v>
      </c>
      <c r="C4" s="19" t="s">
        <v>2080</v>
      </c>
      <c r="D4" s="4">
        <v>30</v>
      </c>
      <c r="E4" s="7">
        <v>171</v>
      </c>
      <c r="F4" s="7" t="s">
        <v>196</v>
      </c>
      <c r="G4" s="7" t="s">
        <v>62</v>
      </c>
      <c r="H4" s="7" t="s">
        <v>22</v>
      </c>
      <c r="I4" s="7" t="s">
        <v>23</v>
      </c>
      <c r="J4" s="7" t="s">
        <v>10</v>
      </c>
      <c r="K4" s="7" t="s">
        <v>9</v>
      </c>
      <c r="L4" s="7" t="s">
        <v>10</v>
      </c>
      <c r="M4" s="7" t="s">
        <v>646</v>
      </c>
      <c r="N4" s="7" t="s">
        <v>1846</v>
      </c>
      <c r="O4" s="7" t="s">
        <v>1847</v>
      </c>
      <c r="P4" s="7" t="s">
        <v>1848</v>
      </c>
    </row>
    <row r="5" spans="1:16" ht="17.25">
      <c r="A5" s="2"/>
      <c r="B5" s="6" t="s">
        <v>8</v>
      </c>
      <c r="C5" s="19" t="s">
        <v>1629</v>
      </c>
      <c r="D5" s="4">
        <v>29</v>
      </c>
      <c r="E5" s="7">
        <v>174</v>
      </c>
      <c r="F5" s="7" t="s">
        <v>1631</v>
      </c>
      <c r="G5" s="7" t="s">
        <v>33</v>
      </c>
      <c r="H5" s="7" t="s">
        <v>10</v>
      </c>
      <c r="I5" s="7" t="s">
        <v>30</v>
      </c>
      <c r="J5" s="7" t="s">
        <v>10</v>
      </c>
      <c r="K5" s="7" t="s">
        <v>9</v>
      </c>
      <c r="L5" s="7" t="s">
        <v>10</v>
      </c>
      <c r="M5" s="7" t="s">
        <v>646</v>
      </c>
      <c r="N5" s="7" t="s">
        <v>1672</v>
      </c>
      <c r="O5" s="7" t="s">
        <v>1673</v>
      </c>
      <c r="P5" s="7" t="s">
        <v>1674</v>
      </c>
    </row>
    <row r="6" spans="1:16" ht="18" customHeight="1">
      <c r="A6" s="2"/>
      <c r="B6" s="6" t="s">
        <v>8</v>
      </c>
      <c r="C6" s="19" t="s">
        <v>1909</v>
      </c>
      <c r="D6" s="4">
        <v>27</v>
      </c>
      <c r="E6" s="7">
        <v>183</v>
      </c>
      <c r="F6" s="7" t="s">
        <v>1910</v>
      </c>
      <c r="G6" s="7" t="s">
        <v>33</v>
      </c>
      <c r="H6" s="7" t="s">
        <v>774</v>
      </c>
      <c r="I6" s="7" t="s">
        <v>66</v>
      </c>
      <c r="J6" s="7" t="s">
        <v>10</v>
      </c>
      <c r="K6" s="7" t="s">
        <v>31</v>
      </c>
      <c r="L6" s="7" t="s">
        <v>10</v>
      </c>
      <c r="M6" s="7" t="s">
        <v>10</v>
      </c>
      <c r="N6" s="28" t="s">
        <v>1911</v>
      </c>
      <c r="O6" s="7" t="s">
        <v>1912</v>
      </c>
      <c r="P6" s="7" t="s">
        <v>1913</v>
      </c>
    </row>
    <row r="7" spans="1:16" ht="18" customHeight="1">
      <c r="A7" s="2"/>
      <c r="B7" s="8" t="s">
        <v>14</v>
      </c>
      <c r="C7" s="19" t="s">
        <v>1855</v>
      </c>
      <c r="D7" s="4">
        <v>29</v>
      </c>
      <c r="E7" s="7">
        <v>157</v>
      </c>
      <c r="F7" s="7" t="s">
        <v>1856</v>
      </c>
      <c r="G7" s="7" t="s">
        <v>25</v>
      </c>
      <c r="H7" s="7" t="s">
        <v>15</v>
      </c>
      <c r="I7" s="7" t="s">
        <v>37</v>
      </c>
      <c r="J7" s="7" t="s">
        <v>1857</v>
      </c>
      <c r="K7" s="7" t="s">
        <v>49</v>
      </c>
      <c r="L7" s="7" t="s">
        <v>10</v>
      </c>
      <c r="M7" s="7" t="s">
        <v>10</v>
      </c>
      <c r="N7" s="28" t="s">
        <v>1858</v>
      </c>
      <c r="O7" s="7" t="s">
        <v>1859</v>
      </c>
      <c r="P7" s="7" t="s">
        <v>2071</v>
      </c>
    </row>
    <row r="8" spans="1:16" ht="18" customHeight="1">
      <c r="A8" s="2"/>
      <c r="B8" s="8" t="s">
        <v>14</v>
      </c>
      <c r="C8" s="19" t="s">
        <v>1947</v>
      </c>
      <c r="D8" s="4">
        <v>28</v>
      </c>
      <c r="E8" s="7">
        <v>163</v>
      </c>
      <c r="F8" s="7" t="s">
        <v>273</v>
      </c>
      <c r="G8" s="7" t="s">
        <v>459</v>
      </c>
      <c r="H8" s="7" t="s">
        <v>93</v>
      </c>
      <c r="I8" s="7" t="s">
        <v>35</v>
      </c>
      <c r="J8" s="7" t="s">
        <v>1948</v>
      </c>
      <c r="K8" s="7" t="s">
        <v>9</v>
      </c>
      <c r="L8" s="7" t="s">
        <v>29</v>
      </c>
      <c r="M8" s="7" t="s">
        <v>69</v>
      </c>
      <c r="N8" s="28" t="s">
        <v>1949</v>
      </c>
      <c r="O8" s="7" t="s">
        <v>1950</v>
      </c>
      <c r="P8" s="7" t="s">
        <v>1951</v>
      </c>
    </row>
    <row r="9" spans="1:16" ht="18" customHeight="1">
      <c r="A9" s="2"/>
      <c r="B9" s="8" t="s">
        <v>14</v>
      </c>
      <c r="C9" s="19" t="s">
        <v>1189</v>
      </c>
      <c r="D9" s="4">
        <v>28</v>
      </c>
      <c r="E9" s="7">
        <v>171.8</v>
      </c>
      <c r="F9" s="7" t="s">
        <v>1190</v>
      </c>
      <c r="G9" s="7" t="s">
        <v>25</v>
      </c>
      <c r="H9" s="7" t="s">
        <v>93</v>
      </c>
      <c r="I9" s="7" t="s">
        <v>30</v>
      </c>
      <c r="J9" s="7" t="s">
        <v>1191</v>
      </c>
      <c r="K9" s="7" t="s">
        <v>31</v>
      </c>
      <c r="L9" s="7" t="s">
        <v>10</v>
      </c>
      <c r="M9" s="7" t="s">
        <v>707</v>
      </c>
      <c r="N9" s="7" t="s">
        <v>1192</v>
      </c>
      <c r="O9" s="7" t="s">
        <v>1193</v>
      </c>
      <c r="P9" s="7">
        <v>0</v>
      </c>
    </row>
    <row r="10" spans="1:16" ht="17.25">
      <c r="A10" s="2"/>
      <c r="B10" s="8" t="s">
        <v>14</v>
      </c>
      <c r="C10" s="19" t="s">
        <v>1907</v>
      </c>
      <c r="D10" s="4">
        <v>27</v>
      </c>
      <c r="E10" s="7">
        <v>164</v>
      </c>
      <c r="F10" s="7" t="s">
        <v>1908</v>
      </c>
      <c r="G10" s="7" t="s">
        <v>25</v>
      </c>
      <c r="H10" s="7" t="s">
        <v>93</v>
      </c>
      <c r="I10" s="7" t="s">
        <v>35</v>
      </c>
      <c r="J10" s="7" t="s">
        <v>1841</v>
      </c>
      <c r="K10" s="7" t="s">
        <v>9</v>
      </c>
      <c r="L10" s="7" t="s">
        <v>29</v>
      </c>
      <c r="M10" s="7" t="s">
        <v>707</v>
      </c>
      <c r="N10" s="7" t="s">
        <v>1842</v>
      </c>
      <c r="O10" s="7" t="s">
        <v>1843</v>
      </c>
      <c r="P10" s="7"/>
    </row>
    <row r="11" spans="1:16" ht="17.25">
      <c r="A11" s="2"/>
      <c r="B11" s="8" t="s">
        <v>14</v>
      </c>
      <c r="C11" s="19" t="s">
        <v>74</v>
      </c>
      <c r="D11" s="4">
        <v>29</v>
      </c>
      <c r="E11" s="7">
        <v>169</v>
      </c>
      <c r="F11" s="7" t="s">
        <v>1973</v>
      </c>
      <c r="G11" s="7" t="s">
        <v>25</v>
      </c>
      <c r="H11" s="7" t="s">
        <v>93</v>
      </c>
      <c r="I11" s="7" t="s">
        <v>12</v>
      </c>
      <c r="J11" s="7" t="s">
        <v>10</v>
      </c>
      <c r="K11" s="7" t="s">
        <v>9</v>
      </c>
      <c r="L11" s="7" t="s">
        <v>29</v>
      </c>
      <c r="M11" s="7" t="s">
        <v>10</v>
      </c>
      <c r="N11" s="7" t="s">
        <v>1974</v>
      </c>
      <c r="O11" s="7" t="s">
        <v>1975</v>
      </c>
      <c r="P11" s="7">
        <v>0</v>
      </c>
    </row>
    <row r="12" spans="1:16" ht="17.25">
      <c r="A12" s="3"/>
      <c r="B12" s="9" t="s">
        <v>1</v>
      </c>
      <c r="C12" s="9" t="s">
        <v>0</v>
      </c>
      <c r="D12" s="123" t="s">
        <v>16</v>
      </c>
      <c r="E12" s="123"/>
      <c r="F12" s="123"/>
      <c r="G12" s="123"/>
      <c r="H12" s="123"/>
      <c r="I12" s="123"/>
      <c r="J12" s="123"/>
      <c r="K12" s="123"/>
      <c r="L12" s="123"/>
      <c r="M12" s="125" t="s">
        <v>26</v>
      </c>
      <c r="N12" s="125"/>
      <c r="O12" s="125"/>
      <c r="P12" s="125"/>
    </row>
    <row r="13" spans="1:16" ht="17.25">
      <c r="B13" s="6" t="s">
        <v>7</v>
      </c>
      <c r="C13" s="4" t="str">
        <f>C2</f>
        <v>정유민</v>
      </c>
      <c r="D13" s="124" t="str">
        <f>'18M'!N2</f>
        <v>항상 남들에게 배려해주고 자기 일 열심히 하는 사람 입니다</v>
      </c>
      <c r="E13" s="124"/>
      <c r="F13" s="124"/>
      <c r="G13" s="124"/>
      <c r="H13" s="124"/>
      <c r="I13" s="124"/>
      <c r="J13" s="124"/>
      <c r="K13" s="124"/>
      <c r="L13" s="124"/>
      <c r="M13" s="120" t="str">
        <f>O2</f>
        <v>자기 할일 열심히하는 사람이 이상형 입니다</v>
      </c>
      <c r="N13" s="121"/>
      <c r="O13" s="121"/>
      <c r="P13" s="122"/>
    </row>
    <row r="14" spans="1:16" ht="17.25">
      <c r="B14" s="6" t="s">
        <v>7</v>
      </c>
      <c r="C14" s="4" t="str">
        <f t="shared" ref="C14:C20" si="0">C3</f>
        <v>최현식</v>
      </c>
      <c r="D14" s="124" t="str">
        <f>'18M'!N3</f>
        <v>나는 .. 장난끼잇는데 차분한사람..?</v>
      </c>
      <c r="E14" s="124"/>
      <c r="F14" s="124"/>
      <c r="G14" s="124"/>
      <c r="H14" s="124"/>
      <c r="I14" s="124"/>
      <c r="J14" s="124"/>
      <c r="K14" s="124"/>
      <c r="L14" s="124"/>
      <c r="M14" s="120" t="str">
        <f t="shared" ref="M14:M20" si="1">O3</f>
        <v>내가 생각하는거 보다 그냥 나랑 잘 맞는사람</v>
      </c>
      <c r="N14" s="121"/>
      <c r="O14" s="121"/>
      <c r="P14" s="122"/>
    </row>
    <row r="15" spans="1:16" ht="17.25">
      <c r="B15" s="6" t="s">
        <v>7</v>
      </c>
      <c r="C15" s="4" t="str">
        <f t="shared" si="0"/>
        <v>권경준</v>
      </c>
      <c r="D15" s="124" t="str">
        <f>'18M'!N4</f>
        <v>적당히 맞춰줄 수 있는 사람</v>
      </c>
      <c r="E15" s="124"/>
      <c r="F15" s="124"/>
      <c r="G15" s="124"/>
      <c r="H15" s="124"/>
      <c r="I15" s="124"/>
      <c r="J15" s="124"/>
      <c r="K15" s="124"/>
      <c r="L15" s="124"/>
      <c r="M15" s="120" t="str">
        <f t="shared" si="1"/>
        <v>귀여우면 됩니다</v>
      </c>
      <c r="N15" s="121"/>
      <c r="O15" s="121"/>
      <c r="P15" s="122"/>
    </row>
    <row r="16" spans="1:16" ht="17.25">
      <c r="B16" s="6" t="s">
        <v>8</v>
      </c>
      <c r="C16" s="4" t="str">
        <f t="shared" si="0"/>
        <v>최봄</v>
      </c>
      <c r="D16" s="124" t="str">
        <f>'18M'!N5</f>
        <v>섬세하고 대화를 좋아하는 사람</v>
      </c>
      <c r="E16" s="124"/>
      <c r="F16" s="124"/>
      <c r="G16" s="124"/>
      <c r="H16" s="124"/>
      <c r="I16" s="124"/>
      <c r="J16" s="124"/>
      <c r="K16" s="124"/>
      <c r="L16" s="124"/>
      <c r="M16" s="120" t="str">
        <f t="shared" si="1"/>
        <v>티키타카가 잘 되는 사람</v>
      </c>
      <c r="N16" s="121"/>
      <c r="O16" s="121"/>
      <c r="P16" s="122"/>
    </row>
    <row r="17" spans="2:16" ht="43.5" customHeight="1">
      <c r="B17" s="6" t="s">
        <v>8</v>
      </c>
      <c r="C17" s="4" t="str">
        <f t="shared" si="0"/>
        <v>이정현</v>
      </c>
      <c r="D17" s="124" t="str">
        <f>'18M'!N6</f>
        <v>평소엔 조용하지만 편해지면 생각보다 수다스럽고 장난기도 많아요. 꾸준히 운동하면서 스스로를 관리하려고 노력 중입니다. 사람 사이에서는 예의와 배려를 가장 중요하게 생각합니다.</v>
      </c>
      <c r="E17" s="124"/>
      <c r="F17" s="124"/>
      <c r="G17" s="124"/>
      <c r="H17" s="124"/>
      <c r="I17" s="124"/>
      <c r="J17" s="124"/>
      <c r="K17" s="124"/>
      <c r="L17" s="124"/>
      <c r="M17" s="120" t="str">
        <f t="shared" si="1"/>
        <v>외적으로는 반묶음 잘 어울리시는 귀여운 사람. 내적으로는 대화 잘 통하고 예의있는 사람!</v>
      </c>
      <c r="N17" s="121"/>
      <c r="O17" s="121"/>
      <c r="P17" s="122"/>
    </row>
    <row r="18" spans="2:16" ht="17.25">
      <c r="B18" s="8" t="s">
        <v>14</v>
      </c>
      <c r="C18" s="4" t="str">
        <f t="shared" si="0"/>
        <v>김예성</v>
      </c>
      <c r="D18" s="124" t="str">
        <f>'18M'!N7</f>
        <v>발랄하다는 얘길 많이 듣습니다 . 도전적이고 궁금증도 많아서 새로운 걸 시도/체험하는 걸 좋아해요.</v>
      </c>
      <c r="E18" s="124"/>
      <c r="F18" s="124"/>
      <c r="G18" s="124"/>
      <c r="H18" s="124"/>
      <c r="I18" s="124"/>
      <c r="J18" s="124"/>
      <c r="K18" s="124"/>
      <c r="L18" s="124"/>
      <c r="M18" s="120" t="str">
        <f t="shared" si="1"/>
        <v>스타일 좋은 사람 센스 있는 사람</v>
      </c>
      <c r="N18" s="121"/>
      <c r="O18" s="121"/>
      <c r="P18" s="122"/>
    </row>
    <row r="19" spans="2:16" ht="17.25">
      <c r="B19" s="8" t="s">
        <v>14</v>
      </c>
      <c r="C19" s="4" t="str">
        <f t="shared" si="0"/>
        <v>천현정</v>
      </c>
      <c r="D19" s="124" t="str">
        <f>'18M'!N8</f>
        <v>밝고 사람과 함께하는걸 좋아하는 사람입니다. 자기관리 잘하며 프리패스 며느리상..</v>
      </c>
      <c r="E19" s="124"/>
      <c r="F19" s="124"/>
      <c r="G19" s="124"/>
      <c r="H19" s="124"/>
      <c r="I19" s="124"/>
      <c r="J19" s="124"/>
      <c r="K19" s="124"/>
      <c r="L19" s="124"/>
      <c r="M19" s="120" t="str">
        <f t="shared" si="1"/>
        <v>자기관리 하는사람, 성실한 사람, 훈훈한 외모</v>
      </c>
      <c r="N19" s="121"/>
      <c r="O19" s="121"/>
      <c r="P19" s="122"/>
    </row>
    <row r="20" spans="2:16" ht="45" customHeight="1">
      <c r="B20" s="8" t="s">
        <v>14</v>
      </c>
      <c r="C20" s="4" t="str">
        <f t="shared" si="0"/>
        <v>김세연</v>
      </c>
      <c r="D20" s="124" t="str">
        <f>'18M'!N9</f>
        <v>낯가림이 있어 사람을 천천히 알아가는 편입니다. 여행을 통해 새로운 음식과 문화를 경험하는 것을 좋아합니다. 또한, 마음에 드는 영화나 책은 여러 번 반복해서 보는 취미가 있습니다.</v>
      </c>
      <c r="E20" s="124"/>
      <c r="F20" s="124"/>
      <c r="G20" s="124"/>
      <c r="H20" s="124"/>
      <c r="I20" s="124"/>
      <c r="J20" s="124"/>
      <c r="K20" s="124"/>
      <c r="L20" s="124"/>
      <c r="M20" s="120" t="str">
        <f t="shared" si="1"/>
        <v>마음이 따뜻하고 배려심 있는 분을 선호합니다. 제가 키가 큰 편이라, 저보다 체격이 크고 듬직한 분에게 편안함을 느끼는 것 같습니다.</v>
      </c>
      <c r="N20" s="121"/>
      <c r="O20" s="121"/>
      <c r="P20" s="122"/>
    </row>
    <row r="21" spans="2:16" ht="17.25">
      <c r="B21" s="8" t="s">
        <v>14</v>
      </c>
      <c r="C21" s="4" t="str">
        <f>C10</f>
        <v>이지현</v>
      </c>
      <c r="D21" s="124" t="str">
        <f>'18M'!N10</f>
        <v>상대에게 잘 맞춰줄 수 있고, 활발하고 다양한 경험을 하는걸 좋아합니다. 스키, 수영, 등산</v>
      </c>
      <c r="E21" s="124"/>
      <c r="F21" s="124"/>
      <c r="G21" s="124"/>
      <c r="H21" s="124"/>
      <c r="I21" s="124"/>
      <c r="J21" s="124"/>
      <c r="K21" s="124"/>
      <c r="L21" s="124"/>
      <c r="M21" s="120" t="str">
        <f>O10</f>
        <v>다정다감, 성숙한, 회피형 싫고, 예의바른, </v>
      </c>
      <c r="N21" s="121"/>
      <c r="O21" s="121"/>
      <c r="P21" s="122"/>
    </row>
    <row r="22" spans="2:16" ht="164.25" customHeight="1">
      <c r="B22" s="8" t="s">
        <v>14</v>
      </c>
      <c r="C22" s="4" t="str">
        <f>C11</f>
        <v>정유진</v>
      </c>
      <c r="D22" s="124" t="str">
        <f>'18M'!N11</f>
        <v>저는 22년도에 삼성서울병원에 입사해서 지금 5년차가 되어가고있는 18W병동 간호사입니다. 그동안 3년간의 연애를 총 2번 했던 경험이 있고, 간호학과 특성상 아는 남자도 없고 직장에도 없다보니 사람 만날 기회가 적어서 신청하게되었습니다. 제가 약간 집순이라 쉴때 약속이 없다면 보통 집에서 넷플보거나 집청소, 심심하면 베이킹할때도 있고, 그외에는 가끔씩 친구들 만나서 맛있는거 먹고 쇼핑하고 수다떨고 하는걸 좋아합니다. 강아지나 고양이같은 귀여운것들을 좋아하고 노래듣는것도 좋아합니다(jpop- official higedandism, 국내 밴드 - xdinary heros, day6, 하현상, 한로로, 여자 아이돌 노래 등). 저는 재수를 한번 하긴 했지만 그외는 큰 탈 없이 무난하게 자라왔다고 생각하고, 요즘 사회에 참 이상한 사람들이 많지만 그럼에도 좋은 사람은 있다고 생각하는.. 나름 해맑은(?) 사람입니다. 병동에서 일할때도 가끔 저희한테 뭐먹었냐 물어보며 먹을거 챙겨주시거나 하는 귀여운 어르신들보면 괜히 그게 소소하게 좋더라구요. 가끔 쌤들이랑 수다떨거나 하는 그런 재미에 힘들어도 지금껏 다니는것같아요. 친한 친구들이랑도 두쫀쿠, 버터떡 맛있다 이런얘기하고다니는 사람이라ㅋㅋ그냥 별거 아닌 일에 잘 웃고 재밌어해요. 저와 비슷한 결의, 같이 얘기할때 티키타카 잘되는 사람을 만나고 싶어요.</v>
      </c>
      <c r="E22" s="124"/>
      <c r="F22" s="124"/>
      <c r="G22" s="124"/>
      <c r="H22" s="124"/>
      <c r="I22" s="124"/>
      <c r="J22" s="124"/>
      <c r="K22" s="124"/>
      <c r="L22" s="124"/>
      <c r="M22" s="120" t="str">
        <f>O11</f>
        <v>175cm 이상의 적정 체중으로, 선한 인상과 깔끔한 옷차림의 사람을 좋아합니다. 타인과 약자에게 다정하고, 긍 정적이고 여유로운 태도로 크게 호불호 없는 무탈한사람이 제 이상형입니다. 제가 교대근무를 하다보니 일할때 연락을 솔직히 잘 못하게되는데 그걸 이해해주고, 같이 맞춰나갈 배려심있는 사람이였으면 합니다. 본인의 능력을 과시하기보다 겸손하고, 혼자서도 독립적이지만 함께 했을때 별거 아닌걸로도 웃으면서 소소한 행복을 같이 즐길 수 있는 사람이면 합니다.</v>
      </c>
      <c r="N22" s="121"/>
      <c r="O22" s="121"/>
      <c r="P22" s="122"/>
    </row>
  </sheetData>
  <mergeCells count="22">
    <mergeCell ref="M20:P20"/>
    <mergeCell ref="M21:P21"/>
    <mergeCell ref="M22:P22"/>
    <mergeCell ref="D12:L12"/>
    <mergeCell ref="D13:L13"/>
    <mergeCell ref="D14:L14"/>
    <mergeCell ref="D15:L15"/>
    <mergeCell ref="D16:L16"/>
    <mergeCell ref="D17:L17"/>
    <mergeCell ref="D18:L18"/>
    <mergeCell ref="D19:L19"/>
    <mergeCell ref="D20:L20"/>
    <mergeCell ref="D21:L21"/>
    <mergeCell ref="D22:L22"/>
    <mergeCell ref="M12:P12"/>
    <mergeCell ref="M19:P19"/>
    <mergeCell ref="M13:P13"/>
    <mergeCell ref="M15:P15"/>
    <mergeCell ref="M16:P16"/>
    <mergeCell ref="M17:P17"/>
    <mergeCell ref="M18:P18"/>
    <mergeCell ref="M14:P14"/>
  </mergeCells>
  <phoneticPr fontId="1" type="noConversion"/>
  <pageMargins left="0.25" right="0.25" top="0.75" bottom="0.75" header="0.3" footer="0.3"/>
  <pageSetup paperSize="9" scale="48" fitToHeight="0" orientation="landscape"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P62"/>
  <sheetViews>
    <sheetView view="pageBreakPreview" zoomScale="70" zoomScaleNormal="100" zoomScaleSheetLayoutView="70" workbookViewId="0">
      <selection activeCell="O19" sqref="O19:P19"/>
    </sheetView>
  </sheetViews>
  <sheetFormatPr defaultRowHeight="26.25"/>
  <cols>
    <col min="1" max="12" width="12.625" style="12" customWidth="1"/>
    <col min="13" max="24" width="12.625" customWidth="1"/>
    <col min="25" max="25" width="10.625" style="58" customWidth="1"/>
    <col min="26" max="26" width="4.75" customWidth="1"/>
    <col min="34" max="34" width="9" customWidth="1"/>
    <col min="38" max="38" width="9" customWidth="1"/>
    <col min="42" max="42" width="4.375" customWidth="1"/>
  </cols>
  <sheetData>
    <row r="1" spans="1:42" ht="21.95" customHeight="1" thickBot="1">
      <c r="A1" s="126" t="str">
        <f>Q1</f>
        <v>단팥빵</v>
      </c>
      <c r="B1" s="127"/>
      <c r="C1" s="127"/>
      <c r="D1" s="128"/>
      <c r="E1" s="143" t="str">
        <f>O1</f>
        <v>ISFP</v>
      </c>
      <c r="F1" s="144"/>
      <c r="G1" s="126" t="str">
        <f>W1</f>
        <v>푸딩</v>
      </c>
      <c r="H1" s="127"/>
      <c r="I1" s="127"/>
      <c r="J1" s="128"/>
      <c r="K1" s="143" t="str">
        <f>U1</f>
        <v>ENFP</v>
      </c>
      <c r="L1" s="145"/>
      <c r="M1" s="180" t="str">
        <f>'18M'!C2</f>
        <v>정유민</v>
      </c>
      <c r="N1" s="171"/>
      <c r="O1" s="182" t="str">
        <f>'18M'!I2</f>
        <v>ISFP</v>
      </c>
      <c r="P1" s="183"/>
      <c r="Q1" s="154" t="s">
        <v>2321</v>
      </c>
      <c r="R1" s="155"/>
      <c r="S1" s="180" t="str">
        <f>'18M'!C7</f>
        <v>김예성</v>
      </c>
      <c r="T1" s="171"/>
      <c r="U1" s="162" t="str">
        <f>'18M'!I7</f>
        <v>ENFP</v>
      </c>
      <c r="V1" s="163"/>
      <c r="W1" s="152" t="s">
        <v>2325</v>
      </c>
      <c r="X1" s="153"/>
      <c r="Z1" s="1"/>
      <c r="AA1" s="192" t="str">
        <f>Q1</f>
        <v>단팥빵</v>
      </c>
      <c r="AB1" s="193"/>
      <c r="AC1" s="194"/>
      <c r="AD1" s="95"/>
      <c r="AE1" s="95"/>
      <c r="AF1" s="95"/>
      <c r="AG1" s="95"/>
      <c r="AH1" s="95"/>
      <c r="AI1" s="95"/>
      <c r="AJ1" s="60"/>
      <c r="AK1" s="95"/>
      <c r="AL1" s="59"/>
      <c r="AM1" s="192" t="str">
        <f>W1</f>
        <v>푸딩</v>
      </c>
      <c r="AN1" s="193"/>
      <c r="AO1" s="194"/>
      <c r="AP1" s="1"/>
    </row>
    <row r="2" spans="1:42" ht="21.95" customHeight="1" thickBot="1">
      <c r="A2" s="129"/>
      <c r="B2" s="130"/>
      <c r="C2" s="130"/>
      <c r="D2" s="131"/>
      <c r="E2" s="137">
        <f>M2</f>
        <v>32</v>
      </c>
      <c r="F2" s="146"/>
      <c r="G2" s="129"/>
      <c r="H2" s="130"/>
      <c r="I2" s="130"/>
      <c r="J2" s="131"/>
      <c r="K2" s="137">
        <f>S2</f>
        <v>29</v>
      </c>
      <c r="L2" s="138"/>
      <c r="M2" s="13">
        <f>'18M'!D2</f>
        <v>32</v>
      </c>
      <c r="N2" s="13">
        <f>'18M'!E2</f>
        <v>170</v>
      </c>
      <c r="O2" s="15" t="str">
        <f>'18M'!K2</f>
        <v>무교</v>
      </c>
      <c r="P2" s="15" t="str">
        <f>'18M'!L2</f>
        <v>무관</v>
      </c>
      <c r="Q2" s="31"/>
      <c r="R2" s="30" t="s">
        <v>2004</v>
      </c>
      <c r="S2" s="13">
        <f>'18M'!D7</f>
        <v>29</v>
      </c>
      <c r="T2" s="16">
        <f>'18M'!E7</f>
        <v>157</v>
      </c>
      <c r="U2" s="20" t="str">
        <f>'18M'!K7</f>
        <v>불교</v>
      </c>
      <c r="V2" s="20" t="str">
        <f>'18M'!L7</f>
        <v>무관</v>
      </c>
      <c r="W2" s="92"/>
      <c r="X2" s="93" t="s">
        <v>2343</v>
      </c>
      <c r="Z2" s="1"/>
      <c r="AA2" s="195"/>
      <c r="AB2" s="196"/>
      <c r="AC2" s="197"/>
      <c r="AD2" s="95"/>
      <c r="AE2" s="95"/>
      <c r="AF2" s="95"/>
      <c r="AG2" s="95"/>
      <c r="AH2" s="95"/>
      <c r="AI2" s="95"/>
      <c r="AJ2" s="60"/>
      <c r="AK2" s="95"/>
      <c r="AL2" s="59"/>
      <c r="AM2" s="195"/>
      <c r="AN2" s="196"/>
      <c r="AO2" s="197"/>
      <c r="AP2" s="1"/>
    </row>
    <row r="3" spans="1:42" ht="21.95" customHeight="1" thickBot="1">
      <c r="A3" s="129"/>
      <c r="B3" s="130"/>
      <c r="C3" s="130"/>
      <c r="D3" s="131"/>
      <c r="E3" s="137" t="str">
        <f>O2</f>
        <v>무교</v>
      </c>
      <c r="F3" s="146"/>
      <c r="G3" s="129"/>
      <c r="H3" s="130"/>
      <c r="I3" s="130"/>
      <c r="J3" s="131"/>
      <c r="K3" s="137" t="str">
        <f>U2</f>
        <v>불교</v>
      </c>
      <c r="L3" s="138"/>
      <c r="M3" s="181" t="str">
        <f>'18M'!F2</f>
        <v>드라마,영화 캐스팅디렉터</v>
      </c>
      <c r="N3" s="168"/>
      <c r="O3" s="168"/>
      <c r="P3" s="169"/>
      <c r="Q3" s="152" t="str">
        <f>'18M'!G2</f>
        <v>28~34</v>
      </c>
      <c r="R3" s="153"/>
      <c r="S3" s="165" t="str">
        <f>'18M'!F7</f>
        <v>외국계 / 영업관리팀</v>
      </c>
      <c r="T3" s="166"/>
      <c r="U3" s="166"/>
      <c r="V3" s="167"/>
      <c r="W3" s="152" t="str">
        <f>'18M'!G7</f>
        <v>28~34</v>
      </c>
      <c r="X3" s="153"/>
      <c r="Z3" s="1"/>
      <c r="AA3" s="198" t="str">
        <f>M1</f>
        <v>정유민</v>
      </c>
      <c r="AB3" s="199"/>
      <c r="AC3" s="200"/>
      <c r="AD3" s="68"/>
      <c r="AE3" s="68"/>
      <c r="AF3" s="68"/>
      <c r="AG3" s="68"/>
      <c r="AH3" s="68"/>
      <c r="AI3" s="68"/>
      <c r="AJ3" s="69"/>
      <c r="AK3" s="70"/>
      <c r="AL3" s="59"/>
      <c r="AM3" s="198" t="str">
        <f>S1</f>
        <v>김예성</v>
      </c>
      <c r="AN3" s="199"/>
      <c r="AO3" s="200"/>
      <c r="AP3" s="1"/>
    </row>
    <row r="4" spans="1:42" ht="21.95" customHeight="1" thickBot="1">
      <c r="A4" s="132"/>
      <c r="B4" s="133"/>
      <c r="C4" s="133"/>
      <c r="D4" s="134"/>
      <c r="E4" s="135" t="str">
        <f>R2</f>
        <v>Ju</v>
      </c>
      <c r="F4" s="189"/>
      <c r="G4" s="132"/>
      <c r="H4" s="133"/>
      <c r="I4" s="133"/>
      <c r="J4" s="134"/>
      <c r="K4" s="135" t="str">
        <f>X2</f>
        <v>Ju</v>
      </c>
      <c r="L4" s="136"/>
      <c r="M4" s="156" t="str">
        <f>'18M'!M2</f>
        <v>자영업</v>
      </c>
      <c r="N4" s="157"/>
      <c r="O4" s="157"/>
      <c r="P4" s="158"/>
      <c r="Q4" s="141" t="str">
        <f>'18M'!H2</f>
        <v>~165</v>
      </c>
      <c r="R4" s="142"/>
      <c r="S4" s="156" t="str">
        <f>'18M'!M7</f>
        <v>무관</v>
      </c>
      <c r="T4" s="157"/>
      <c r="U4" s="157"/>
      <c r="V4" s="158"/>
      <c r="W4" s="164" t="str">
        <f>'18M'!H8</f>
        <v>175~</v>
      </c>
      <c r="X4" s="179"/>
      <c r="Y4" s="58" t="str">
        <f>R2</f>
        <v>Ju</v>
      </c>
      <c r="Z4" s="1"/>
      <c r="AA4" s="60"/>
      <c r="AB4" s="60"/>
      <c r="AC4" s="60"/>
      <c r="AD4" s="60"/>
      <c r="AE4" s="60"/>
      <c r="AF4" s="60"/>
      <c r="AG4" s="60"/>
      <c r="AH4" s="60"/>
      <c r="AI4" s="60"/>
      <c r="AJ4" s="60"/>
      <c r="AK4" s="95"/>
      <c r="AL4" s="59"/>
      <c r="AM4" s="60"/>
      <c r="AN4" s="60"/>
      <c r="AO4" s="60"/>
      <c r="AP4" s="1"/>
    </row>
    <row r="5" spans="1:42" ht="21.95" customHeight="1">
      <c r="A5" s="188" t="str">
        <f>M5</f>
        <v>배려</v>
      </c>
      <c r="B5" s="144"/>
      <c r="C5" s="144" t="str">
        <f>O5</f>
        <v>성실한</v>
      </c>
      <c r="D5" s="144"/>
      <c r="E5" s="144" t="str">
        <f>Q5</f>
        <v>책임감</v>
      </c>
      <c r="F5" s="145"/>
      <c r="G5" s="188" t="str">
        <f>S5</f>
        <v>발랄</v>
      </c>
      <c r="H5" s="144"/>
      <c r="I5" s="144" t="str">
        <f>U5</f>
        <v>도전적</v>
      </c>
      <c r="J5" s="144"/>
      <c r="K5" s="144" t="str">
        <f>W5</f>
        <v>호기심왕</v>
      </c>
      <c r="L5" s="145"/>
      <c r="M5" s="140" t="s">
        <v>2082</v>
      </c>
      <c r="N5" s="141"/>
      <c r="O5" s="141" t="s">
        <v>2083</v>
      </c>
      <c r="P5" s="141"/>
      <c r="Q5" s="141" t="s">
        <v>2084</v>
      </c>
      <c r="R5" s="142"/>
      <c r="S5" s="140" t="s">
        <v>2102</v>
      </c>
      <c r="T5" s="141"/>
      <c r="U5" s="141" t="s">
        <v>2103</v>
      </c>
      <c r="V5" s="141"/>
      <c r="W5" s="141" t="s">
        <v>2104</v>
      </c>
      <c r="X5" s="142"/>
      <c r="Y5" s="58" t="str">
        <f>R14</f>
        <v>I.A</v>
      </c>
      <c r="Z5" s="1"/>
      <c r="AA5" s="192" t="str">
        <f>Q13</f>
        <v>소금빵</v>
      </c>
      <c r="AB5" s="193"/>
      <c r="AC5" s="194"/>
      <c r="AD5" s="95"/>
      <c r="AE5" s="95"/>
      <c r="AF5" s="95"/>
      <c r="AG5" s="95"/>
      <c r="AH5" s="95"/>
      <c r="AI5" s="95"/>
      <c r="AJ5" s="59"/>
      <c r="AK5" s="59"/>
      <c r="AL5" s="59"/>
      <c r="AM5" s="192" t="str">
        <f>W13</f>
        <v>티라미수</v>
      </c>
      <c r="AN5" s="193"/>
      <c r="AO5" s="194"/>
      <c r="AP5" s="1"/>
    </row>
    <row r="6" spans="1:42" ht="21.95" customHeight="1">
      <c r="A6" s="150" t="str">
        <f t="shared" ref="A6" si="0">M6</f>
        <v>자기주도적</v>
      </c>
      <c r="B6" s="146"/>
      <c r="C6" s="146" t="str">
        <f t="shared" ref="C6" si="1">O6</f>
        <v>프로다운</v>
      </c>
      <c r="D6" s="146"/>
      <c r="E6" s="146"/>
      <c r="F6" s="138"/>
      <c r="G6" s="150" t="str">
        <f t="shared" ref="G6" si="2">S6</f>
        <v>체험</v>
      </c>
      <c r="H6" s="146"/>
      <c r="I6" s="146"/>
      <c r="J6" s="146"/>
      <c r="K6" s="146"/>
      <c r="L6" s="138"/>
      <c r="M6" s="140" t="s">
        <v>2085</v>
      </c>
      <c r="N6" s="141"/>
      <c r="O6" s="141" t="s">
        <v>2086</v>
      </c>
      <c r="P6" s="141"/>
      <c r="Q6" s="141"/>
      <c r="R6" s="142"/>
      <c r="S6" s="140" t="s">
        <v>2105</v>
      </c>
      <c r="T6" s="141"/>
      <c r="U6" s="141"/>
      <c r="V6" s="141"/>
      <c r="W6" s="141"/>
      <c r="X6" s="142"/>
      <c r="Y6" s="58" t="str">
        <f>R26</f>
        <v>I.A</v>
      </c>
      <c r="Z6" s="1"/>
      <c r="AA6" s="195"/>
      <c r="AB6" s="196"/>
      <c r="AC6" s="197"/>
      <c r="AD6" s="95"/>
      <c r="AE6" s="95"/>
      <c r="AF6" s="95"/>
      <c r="AG6" s="95"/>
      <c r="AH6" s="95"/>
      <c r="AI6" s="95"/>
      <c r="AJ6" s="60"/>
      <c r="AK6" s="59"/>
      <c r="AL6" s="59"/>
      <c r="AM6" s="195"/>
      <c r="AN6" s="196"/>
      <c r="AO6" s="197"/>
      <c r="AP6" s="1"/>
    </row>
    <row r="7" spans="1:42" ht="21.95" customHeight="1" thickBot="1">
      <c r="A7" s="150"/>
      <c r="B7" s="146"/>
      <c r="C7" s="146"/>
      <c r="D7" s="146"/>
      <c r="E7" s="146"/>
      <c r="F7" s="138"/>
      <c r="G7" s="150"/>
      <c r="H7" s="146"/>
      <c r="I7" s="146"/>
      <c r="J7" s="146"/>
      <c r="K7" s="146"/>
      <c r="L7" s="138"/>
      <c r="M7" s="140"/>
      <c r="N7" s="141"/>
      <c r="O7" s="141"/>
      <c r="P7" s="141"/>
      <c r="Q7" s="141"/>
      <c r="R7" s="142"/>
      <c r="S7" s="140"/>
      <c r="T7" s="141"/>
      <c r="U7" s="141"/>
      <c r="V7" s="141"/>
      <c r="W7" s="141"/>
      <c r="X7" s="142"/>
      <c r="Y7" s="58" t="str">
        <f>R38</f>
        <v>Tea</v>
      </c>
      <c r="Z7" s="1"/>
      <c r="AA7" s="198" t="str">
        <f>M13</f>
        <v>최현식</v>
      </c>
      <c r="AB7" s="199"/>
      <c r="AC7" s="200"/>
      <c r="AD7" s="68"/>
      <c r="AE7" s="68"/>
      <c r="AF7" s="68"/>
      <c r="AG7" s="68"/>
      <c r="AH7" s="68"/>
      <c r="AI7" s="68"/>
      <c r="AJ7" s="69"/>
      <c r="AK7" s="59"/>
      <c r="AL7" s="59"/>
      <c r="AM7" s="198" t="str">
        <f>S13</f>
        <v>천현정</v>
      </c>
      <c r="AN7" s="199"/>
      <c r="AO7" s="200"/>
      <c r="AP7" s="1"/>
    </row>
    <row r="8" spans="1:42" ht="21.95" customHeight="1" thickBot="1">
      <c r="A8" s="150"/>
      <c r="B8" s="146"/>
      <c r="C8" s="146"/>
      <c r="D8" s="146"/>
      <c r="E8" s="146"/>
      <c r="F8" s="138"/>
      <c r="G8" s="150"/>
      <c r="H8" s="146"/>
      <c r="I8" s="146"/>
      <c r="J8" s="146"/>
      <c r="K8" s="146"/>
      <c r="L8" s="138"/>
      <c r="M8" s="140"/>
      <c r="N8" s="141"/>
      <c r="O8" s="141"/>
      <c r="P8" s="141"/>
      <c r="Q8" s="141"/>
      <c r="R8" s="142"/>
      <c r="S8" s="140"/>
      <c r="T8" s="141"/>
      <c r="U8" s="141"/>
      <c r="V8" s="141"/>
      <c r="W8" s="160"/>
      <c r="X8" s="161"/>
      <c r="Y8" s="58" t="str">
        <f>R50</f>
        <v>I.A</v>
      </c>
      <c r="Z8" s="1"/>
      <c r="AA8" s="59"/>
      <c r="AB8" s="59"/>
      <c r="AC8" s="59"/>
      <c r="AD8" s="59"/>
      <c r="AE8" s="59"/>
      <c r="AF8" s="59"/>
      <c r="AG8" s="59"/>
      <c r="AH8" s="59"/>
      <c r="AI8" s="59"/>
      <c r="AJ8" s="60"/>
      <c r="AK8" s="59"/>
      <c r="AL8" s="59"/>
      <c r="AM8" s="59"/>
      <c r="AN8" s="59"/>
      <c r="AO8" s="59"/>
      <c r="AP8" s="1"/>
    </row>
    <row r="9" spans="1:42" ht="21.95" customHeight="1">
      <c r="A9" s="172" t="str">
        <f>M9</f>
        <v>어바웃 타임</v>
      </c>
      <c r="B9" s="173"/>
      <c r="C9" s="173"/>
      <c r="D9" s="174"/>
      <c r="E9" s="177" t="str">
        <f>Q9</f>
        <v>제주도</v>
      </c>
      <c r="F9" s="178"/>
      <c r="G9" s="172" t="str">
        <f>S9</f>
        <v>나는 내일 어제의 너와 만난다</v>
      </c>
      <c r="H9" s="173"/>
      <c r="I9" s="173"/>
      <c r="J9" s="174"/>
      <c r="K9" s="177" t="str">
        <f>W9</f>
        <v>암스테르담</v>
      </c>
      <c r="L9" s="178"/>
      <c r="M9" s="156" t="s">
        <v>2144</v>
      </c>
      <c r="N9" s="157"/>
      <c r="O9" s="157"/>
      <c r="P9" s="158"/>
      <c r="Q9" s="141" t="s">
        <v>2145</v>
      </c>
      <c r="R9" s="142"/>
      <c r="S9" s="156" t="s">
        <v>2344</v>
      </c>
      <c r="T9" s="157"/>
      <c r="U9" s="157"/>
      <c r="V9" s="158"/>
      <c r="W9" s="141" t="s">
        <v>2345</v>
      </c>
      <c r="X9" s="142"/>
      <c r="Y9" s="58" t="str">
        <f>X2</f>
        <v>Ju</v>
      </c>
      <c r="Z9" s="1"/>
      <c r="AA9" s="192" t="str">
        <f>Q25</f>
        <v>스콘</v>
      </c>
      <c r="AB9" s="193"/>
      <c r="AC9" s="194"/>
      <c r="AD9" s="95"/>
      <c r="AE9" s="95"/>
      <c r="AF9" s="95"/>
      <c r="AG9" s="95"/>
      <c r="AH9" s="95"/>
      <c r="AI9" s="95"/>
      <c r="AJ9" s="60"/>
      <c r="AK9" s="60"/>
      <c r="AL9" s="60"/>
      <c r="AM9" s="192" t="str">
        <f>W25</f>
        <v>마들렌</v>
      </c>
      <c r="AN9" s="193"/>
      <c r="AO9" s="194"/>
      <c r="AP9" s="1"/>
    </row>
    <row r="10" spans="1:42" ht="21.95" customHeight="1">
      <c r="A10" s="140" t="str">
        <f>M10</f>
        <v>연락</v>
      </c>
      <c r="B10" s="141"/>
      <c r="C10" s="141"/>
      <c r="D10" s="141"/>
      <c r="E10" s="141" t="str">
        <f>Q10</f>
        <v>생어거스틴</v>
      </c>
      <c r="F10" s="142"/>
      <c r="G10" s="141" t="str">
        <f>S10</f>
        <v>취미</v>
      </c>
      <c r="H10" s="141"/>
      <c r="I10" s="141" t="str">
        <f>U10</f>
        <v>관심사</v>
      </c>
      <c r="J10" s="141"/>
      <c r="K10" s="141" t="str">
        <f>W10</f>
        <v>후추포인트</v>
      </c>
      <c r="L10" s="141"/>
      <c r="M10" s="150" t="s">
        <v>2146</v>
      </c>
      <c r="N10" s="146"/>
      <c r="O10" s="191"/>
      <c r="P10" s="191"/>
      <c r="Q10" s="146" t="s">
        <v>2147</v>
      </c>
      <c r="R10" s="138"/>
      <c r="S10" s="150" t="s">
        <v>2346</v>
      </c>
      <c r="T10" s="146"/>
      <c r="U10" s="146" t="s">
        <v>2347</v>
      </c>
      <c r="V10" s="146"/>
      <c r="W10" s="146" t="s">
        <v>2348</v>
      </c>
      <c r="X10" s="138"/>
      <c r="Y10" s="58" t="str">
        <f>X14</f>
        <v>Tea</v>
      </c>
      <c r="Z10" s="1"/>
      <c r="AA10" s="195"/>
      <c r="AB10" s="196"/>
      <c r="AC10" s="197"/>
      <c r="AD10" s="95"/>
      <c r="AE10" s="95"/>
      <c r="AF10" s="95"/>
      <c r="AG10" s="95"/>
      <c r="AH10" s="95"/>
      <c r="AI10" s="95"/>
      <c r="AJ10" s="59"/>
      <c r="AK10" s="59"/>
      <c r="AL10" s="59"/>
      <c r="AM10" s="195"/>
      <c r="AN10" s="196"/>
      <c r="AO10" s="197"/>
      <c r="AP10" s="1"/>
    </row>
    <row r="11" spans="1:42" ht="21.95" customHeight="1" thickBot="1">
      <c r="A11" s="140" t="str">
        <f>M11</f>
        <v>프로다운</v>
      </c>
      <c r="B11" s="141"/>
      <c r="C11" s="141"/>
      <c r="D11" s="141"/>
      <c r="E11" s="141"/>
      <c r="F11" s="142"/>
      <c r="G11" s="140" t="str">
        <f>S11</f>
        <v>태도</v>
      </c>
      <c r="H11" s="141"/>
      <c r="I11" s="141"/>
      <c r="J11" s="141"/>
      <c r="K11" s="141"/>
      <c r="L11" s="142"/>
      <c r="M11" s="150" t="s">
        <v>2086</v>
      </c>
      <c r="N11" s="146"/>
      <c r="O11" s="146"/>
      <c r="P11" s="146"/>
      <c r="Q11" s="146"/>
      <c r="R11" s="138"/>
      <c r="S11" s="150" t="s">
        <v>2349</v>
      </c>
      <c r="T11" s="146"/>
      <c r="U11" s="146"/>
      <c r="V11" s="146"/>
      <c r="W11" s="146"/>
      <c r="X11" s="138"/>
      <c r="Y11" s="58" t="str">
        <f>X26</f>
        <v>I.A</v>
      </c>
      <c r="Z11" s="1"/>
      <c r="AA11" s="198" t="str">
        <f>M25</f>
        <v>권경준</v>
      </c>
      <c r="AB11" s="199"/>
      <c r="AC11" s="200"/>
      <c r="AD11" s="68"/>
      <c r="AE11" s="68"/>
      <c r="AF11" s="68"/>
      <c r="AG11" s="68"/>
      <c r="AH11" s="68"/>
      <c r="AI11" s="68"/>
      <c r="AJ11" s="69"/>
      <c r="AK11" s="59"/>
      <c r="AL11" s="59"/>
      <c r="AM11" s="198" t="str">
        <f>S25</f>
        <v>김세연</v>
      </c>
      <c r="AN11" s="199"/>
      <c r="AO11" s="200"/>
      <c r="AP11" s="1"/>
    </row>
    <row r="12" spans="1:42" ht="21.95" customHeight="1" thickBot="1">
      <c r="A12" s="147"/>
      <c r="B12" s="148"/>
      <c r="C12" s="148"/>
      <c r="D12" s="148"/>
      <c r="E12" s="148"/>
      <c r="F12" s="175"/>
      <c r="G12" s="147"/>
      <c r="H12" s="148"/>
      <c r="I12" s="148"/>
      <c r="J12" s="148"/>
      <c r="K12" s="148"/>
      <c r="L12" s="175"/>
      <c r="M12" s="159"/>
      <c r="N12" s="135"/>
      <c r="O12" s="149"/>
      <c r="P12" s="135"/>
      <c r="Q12" s="149"/>
      <c r="R12" s="151"/>
      <c r="S12" s="150" t="s">
        <v>2106</v>
      </c>
      <c r="T12" s="146"/>
      <c r="U12" s="146" t="s">
        <v>2107</v>
      </c>
      <c r="V12" s="146"/>
      <c r="W12" s="149"/>
      <c r="X12" s="151"/>
      <c r="Y12" s="58" t="str">
        <f>X38</f>
        <v>I.A</v>
      </c>
      <c r="Z12" s="1"/>
      <c r="AA12" s="59"/>
      <c r="AB12" s="59"/>
      <c r="AC12" s="59"/>
      <c r="AD12" s="59"/>
      <c r="AE12" s="59"/>
      <c r="AF12" s="59"/>
      <c r="AG12" s="59"/>
      <c r="AH12" s="59"/>
      <c r="AI12" s="59"/>
      <c r="AJ12" s="60"/>
      <c r="AK12" s="59"/>
      <c r="AL12" s="59"/>
      <c r="AM12" s="59"/>
      <c r="AN12" s="59"/>
      <c r="AO12" s="59"/>
      <c r="AP12" s="1"/>
    </row>
    <row r="13" spans="1:42" ht="21.95" customHeight="1">
      <c r="A13" s="126" t="str">
        <f>Q13</f>
        <v>소금빵</v>
      </c>
      <c r="B13" s="127"/>
      <c r="C13" s="127"/>
      <c r="D13" s="128"/>
      <c r="E13" s="143" t="str">
        <f>O13</f>
        <v>ISFJ</v>
      </c>
      <c r="F13" s="190"/>
      <c r="G13" s="126" t="str">
        <f>W13</f>
        <v>티라미수</v>
      </c>
      <c r="H13" s="127"/>
      <c r="I13" s="127"/>
      <c r="J13" s="128"/>
      <c r="K13" s="143" t="str">
        <f>U13</f>
        <v>ESFJ</v>
      </c>
      <c r="L13" s="145"/>
      <c r="M13" s="170" t="str">
        <f>'18M'!C3</f>
        <v>최현식</v>
      </c>
      <c r="N13" s="171"/>
      <c r="O13" s="162" t="str">
        <f>'18M'!I3</f>
        <v>ISFJ</v>
      </c>
      <c r="P13" s="163"/>
      <c r="Q13" s="154" t="s">
        <v>2322</v>
      </c>
      <c r="R13" s="155"/>
      <c r="S13" s="180" t="str">
        <f>'18M'!C8</f>
        <v>천현정</v>
      </c>
      <c r="T13" s="171"/>
      <c r="U13" s="162" t="str">
        <f>'18M'!I8</f>
        <v>ESFJ</v>
      </c>
      <c r="V13" s="163"/>
      <c r="W13" s="152" t="s">
        <v>2048</v>
      </c>
      <c r="X13" s="153"/>
      <c r="Y13" s="58" t="str">
        <f>X50</f>
        <v>I.A</v>
      </c>
      <c r="Z13" s="1"/>
      <c r="AA13" s="192" t="str">
        <f>Q37</f>
        <v>크루아상</v>
      </c>
      <c r="AB13" s="193"/>
      <c r="AC13" s="194"/>
      <c r="AD13" s="95"/>
      <c r="AE13" s="95"/>
      <c r="AF13" s="95"/>
      <c r="AG13" s="95"/>
      <c r="AH13" s="95"/>
      <c r="AI13" s="95"/>
      <c r="AJ13" s="60"/>
      <c r="AK13" s="59"/>
      <c r="AL13" s="59"/>
      <c r="AM13" s="192" t="str">
        <f>W37</f>
        <v>에그타르트</v>
      </c>
      <c r="AN13" s="193"/>
      <c r="AO13" s="194"/>
      <c r="AP13" s="1"/>
    </row>
    <row r="14" spans="1:42" ht="21.95" customHeight="1" thickBot="1">
      <c r="A14" s="129"/>
      <c r="B14" s="130"/>
      <c r="C14" s="130"/>
      <c r="D14" s="131"/>
      <c r="E14" s="137">
        <f>M14</f>
        <v>31</v>
      </c>
      <c r="F14" s="139"/>
      <c r="G14" s="129"/>
      <c r="H14" s="130"/>
      <c r="I14" s="130"/>
      <c r="J14" s="131"/>
      <c r="K14" s="137">
        <f>S14</f>
        <v>28</v>
      </c>
      <c r="L14" s="138"/>
      <c r="M14" s="29">
        <f>'18M'!D3</f>
        <v>31</v>
      </c>
      <c r="N14" s="13">
        <f>'18M'!E3</f>
        <v>174</v>
      </c>
      <c r="O14" s="15" t="str">
        <f>'18M'!K3</f>
        <v>무교</v>
      </c>
      <c r="P14" s="15" t="str">
        <f>'18M'!L3</f>
        <v>동일</v>
      </c>
      <c r="Q14" s="22"/>
      <c r="R14" s="94" t="s">
        <v>2005</v>
      </c>
      <c r="S14" s="13">
        <f>'18M'!D8</f>
        <v>28</v>
      </c>
      <c r="T14" s="16">
        <f>'18M'!E8</f>
        <v>163</v>
      </c>
      <c r="U14" s="15" t="str">
        <f>'18M'!K8</f>
        <v>무교</v>
      </c>
      <c r="V14" s="15" t="str">
        <f>'18M'!L8</f>
        <v>동일</v>
      </c>
      <c r="W14" s="22"/>
      <c r="X14" s="27" t="s">
        <v>2007</v>
      </c>
      <c r="Z14" s="1"/>
      <c r="AA14" s="195"/>
      <c r="AB14" s="196"/>
      <c r="AC14" s="197"/>
      <c r="AD14" s="95"/>
      <c r="AE14" s="95"/>
      <c r="AF14" s="95"/>
      <c r="AG14" s="95"/>
      <c r="AH14" s="95"/>
      <c r="AI14" s="95"/>
      <c r="AJ14" s="60"/>
      <c r="AK14" s="60"/>
      <c r="AL14" s="60"/>
      <c r="AM14" s="195"/>
      <c r="AN14" s="196"/>
      <c r="AO14" s="197"/>
      <c r="AP14" s="1"/>
    </row>
    <row r="15" spans="1:42" ht="21.95" customHeight="1" thickBot="1">
      <c r="A15" s="129"/>
      <c r="B15" s="130"/>
      <c r="C15" s="130"/>
      <c r="D15" s="131"/>
      <c r="E15" s="137" t="str">
        <f>O14</f>
        <v>무교</v>
      </c>
      <c r="F15" s="139"/>
      <c r="G15" s="129"/>
      <c r="H15" s="130"/>
      <c r="I15" s="130"/>
      <c r="J15" s="131"/>
      <c r="K15" s="137" t="str">
        <f>U14</f>
        <v>무교</v>
      </c>
      <c r="L15" s="138"/>
      <c r="M15" s="168" t="str">
        <f>'18M'!F3</f>
        <v>전략기획실</v>
      </c>
      <c r="N15" s="168"/>
      <c r="O15" s="168"/>
      <c r="P15" s="169"/>
      <c r="Q15" s="152" t="str">
        <f>'18M'!G3</f>
        <v>24~34</v>
      </c>
      <c r="R15" s="153"/>
      <c r="S15" s="165" t="str">
        <f>'18M'!F8</f>
        <v>간호사</v>
      </c>
      <c r="T15" s="166"/>
      <c r="U15" s="166"/>
      <c r="V15" s="167"/>
      <c r="W15" s="152" t="str">
        <f>'18M'!G8</f>
        <v>28~31</v>
      </c>
      <c r="X15" s="153"/>
      <c r="Z15" s="1"/>
      <c r="AA15" s="198" t="str">
        <f>M37</f>
        <v>최봄</v>
      </c>
      <c r="AB15" s="199"/>
      <c r="AC15" s="200"/>
      <c r="AD15" s="68"/>
      <c r="AE15" s="68"/>
      <c r="AF15" s="68"/>
      <c r="AG15" s="68"/>
      <c r="AH15" s="68"/>
      <c r="AI15" s="68"/>
      <c r="AJ15" s="59"/>
      <c r="AK15" s="59"/>
      <c r="AL15" s="59"/>
      <c r="AM15" s="198" t="str">
        <f>S37</f>
        <v>이지현</v>
      </c>
      <c r="AN15" s="199"/>
      <c r="AO15" s="200"/>
      <c r="AP15" s="1"/>
    </row>
    <row r="16" spans="1:42" ht="21.95" customHeight="1" thickBot="1">
      <c r="A16" s="132"/>
      <c r="B16" s="133"/>
      <c r="C16" s="133"/>
      <c r="D16" s="134"/>
      <c r="E16" s="135" t="str">
        <f>R14</f>
        <v>I.A</v>
      </c>
      <c r="F16" s="149"/>
      <c r="G16" s="132"/>
      <c r="H16" s="133"/>
      <c r="I16" s="133"/>
      <c r="J16" s="134"/>
      <c r="K16" s="135" t="str">
        <f>X14</f>
        <v>Tea</v>
      </c>
      <c r="L16" s="136"/>
      <c r="M16" s="157" t="str">
        <f>'18M'!M3</f>
        <v>무관</v>
      </c>
      <c r="N16" s="157"/>
      <c r="O16" s="157"/>
      <c r="P16" s="158"/>
      <c r="Q16" s="141" t="str">
        <f>'18M'!H3</f>
        <v>160~170</v>
      </c>
      <c r="R16" s="142"/>
      <c r="S16" s="156" t="str">
        <f>'18M'!M8</f>
        <v>자영업, 공무원</v>
      </c>
      <c r="T16" s="157"/>
      <c r="U16" s="157"/>
      <c r="V16" s="158"/>
      <c r="W16" s="164" t="str">
        <f>'18M'!H8</f>
        <v>175~</v>
      </c>
      <c r="X16" s="179"/>
      <c r="Z16" s="1"/>
      <c r="AA16" s="59"/>
      <c r="AB16" s="59"/>
      <c r="AC16" s="59"/>
      <c r="AD16" s="59"/>
      <c r="AE16" s="59"/>
      <c r="AF16" s="59"/>
      <c r="AG16" s="59"/>
      <c r="AH16" s="59"/>
      <c r="AI16" s="59"/>
      <c r="AJ16" s="60"/>
      <c r="AK16" s="59"/>
      <c r="AL16" s="59"/>
      <c r="AM16" s="59"/>
      <c r="AN16" s="59"/>
      <c r="AO16" s="59"/>
      <c r="AP16" s="1"/>
    </row>
    <row r="17" spans="1:42" ht="21.95" customHeight="1">
      <c r="A17" s="188" t="str">
        <f>M17</f>
        <v>장난끼</v>
      </c>
      <c r="B17" s="144"/>
      <c r="C17" s="144" t="str">
        <f>O17</f>
        <v>차분한</v>
      </c>
      <c r="D17" s="144"/>
      <c r="E17" s="144"/>
      <c r="F17" s="145"/>
      <c r="G17" s="188" t="str">
        <f>S17</f>
        <v>밝은 에너지 선호</v>
      </c>
      <c r="H17" s="144"/>
      <c r="I17" s="144" t="str">
        <f>U17</f>
        <v>자기관리</v>
      </c>
      <c r="J17" s="144"/>
      <c r="K17" s="144" t="str">
        <f>W17</f>
        <v>단정함</v>
      </c>
      <c r="L17" s="145"/>
      <c r="M17" s="158" t="s">
        <v>2087</v>
      </c>
      <c r="N17" s="141"/>
      <c r="O17" s="141" t="s">
        <v>2088</v>
      </c>
      <c r="P17" s="141"/>
      <c r="Q17" s="141"/>
      <c r="R17" s="142"/>
      <c r="S17" s="158" t="s">
        <v>2140</v>
      </c>
      <c r="T17" s="141"/>
      <c r="U17" s="141" t="s">
        <v>2098</v>
      </c>
      <c r="V17" s="141"/>
      <c r="W17" s="141" t="s">
        <v>2141</v>
      </c>
      <c r="X17" s="142"/>
      <c r="Z17" s="1"/>
      <c r="AA17" s="192" t="str">
        <f>Q49</f>
        <v>초콜릿</v>
      </c>
      <c r="AB17" s="193"/>
      <c r="AC17" s="194"/>
      <c r="AD17" s="95"/>
      <c r="AE17" s="95"/>
      <c r="AF17" s="95"/>
      <c r="AG17" s="95"/>
      <c r="AH17" s="95"/>
      <c r="AI17" s="95"/>
      <c r="AJ17" s="60"/>
      <c r="AK17" s="59"/>
      <c r="AL17" s="59"/>
      <c r="AM17" s="192" t="str">
        <f>W49</f>
        <v>피낭시에</v>
      </c>
      <c r="AN17" s="193"/>
      <c r="AO17" s="194"/>
      <c r="AP17" s="1"/>
    </row>
    <row r="18" spans="1:42" ht="21.95" customHeight="1">
      <c r="A18" s="150"/>
      <c r="B18" s="146"/>
      <c r="C18" s="146"/>
      <c r="D18" s="146"/>
      <c r="E18" s="146"/>
      <c r="F18" s="138"/>
      <c r="G18" s="150" t="str">
        <f t="shared" ref="G18" si="3">S18</f>
        <v>안정감</v>
      </c>
      <c r="H18" s="146"/>
      <c r="I18" s="146" t="str">
        <f t="shared" ref="I18" si="4">U18</f>
        <v>호감형</v>
      </c>
      <c r="J18" s="146"/>
      <c r="K18" s="146" t="str">
        <f t="shared" ref="K18" si="5">W18</f>
        <v>배려심</v>
      </c>
      <c r="L18" s="138"/>
      <c r="M18" s="158"/>
      <c r="N18" s="141"/>
      <c r="O18" s="141"/>
      <c r="P18" s="141"/>
      <c r="Q18" s="141"/>
      <c r="R18" s="142"/>
      <c r="S18" s="140" t="s">
        <v>2143</v>
      </c>
      <c r="T18" s="141"/>
      <c r="U18" s="141" t="s">
        <v>2142</v>
      </c>
      <c r="V18" s="141"/>
      <c r="W18" s="141" t="s">
        <v>2116</v>
      </c>
      <c r="X18" s="142"/>
      <c r="Z18" s="1"/>
      <c r="AA18" s="195"/>
      <c r="AB18" s="196"/>
      <c r="AC18" s="197"/>
      <c r="AD18" s="95"/>
      <c r="AE18" s="95"/>
      <c r="AF18" s="95"/>
      <c r="AG18" s="95"/>
      <c r="AH18" s="95"/>
      <c r="AI18" s="95"/>
      <c r="AJ18" s="60"/>
      <c r="AK18" s="59"/>
      <c r="AL18" s="59"/>
      <c r="AM18" s="195"/>
      <c r="AN18" s="196"/>
      <c r="AO18" s="197"/>
      <c r="AP18" s="1"/>
    </row>
    <row r="19" spans="1:42" ht="21.95" customHeight="1" thickBot="1">
      <c r="A19" s="150"/>
      <c r="B19" s="146"/>
      <c r="C19" s="146"/>
      <c r="D19" s="146"/>
      <c r="E19" s="146"/>
      <c r="F19" s="138"/>
      <c r="G19" s="150"/>
      <c r="H19" s="146"/>
      <c r="I19" s="146"/>
      <c r="J19" s="146"/>
      <c r="K19" s="146"/>
      <c r="L19" s="138"/>
      <c r="M19" s="158"/>
      <c r="N19" s="141"/>
      <c r="O19" s="141"/>
      <c r="P19" s="141"/>
      <c r="Q19" s="141"/>
      <c r="R19" s="142"/>
      <c r="S19" s="140"/>
      <c r="T19" s="141"/>
      <c r="U19" s="141"/>
      <c r="V19" s="141"/>
      <c r="W19" s="141"/>
      <c r="X19" s="142"/>
      <c r="Z19" s="1"/>
      <c r="AA19" s="198" t="str">
        <f>M49</f>
        <v>이정현</v>
      </c>
      <c r="AB19" s="199"/>
      <c r="AC19" s="200"/>
      <c r="AD19" s="68"/>
      <c r="AE19" s="68"/>
      <c r="AF19" s="68"/>
      <c r="AG19" s="68"/>
      <c r="AH19" s="68"/>
      <c r="AI19" s="68"/>
      <c r="AJ19" s="69"/>
      <c r="AK19" s="69"/>
      <c r="AL19" s="69"/>
      <c r="AM19" s="198" t="str">
        <f>S49</f>
        <v>정유진</v>
      </c>
      <c r="AN19" s="199"/>
      <c r="AO19" s="200"/>
      <c r="AP19" s="1"/>
    </row>
    <row r="20" spans="1:42" ht="21.95" customHeight="1" thickBot="1">
      <c r="A20" s="150"/>
      <c r="B20" s="146"/>
      <c r="C20" s="146"/>
      <c r="D20" s="146"/>
      <c r="E20" s="146"/>
      <c r="F20" s="138"/>
      <c r="G20" s="150"/>
      <c r="H20" s="146"/>
      <c r="I20" s="146"/>
      <c r="J20" s="146"/>
      <c r="K20" s="146"/>
      <c r="L20" s="138"/>
      <c r="M20" s="158"/>
      <c r="N20" s="141"/>
      <c r="O20" s="141"/>
      <c r="P20" s="141"/>
      <c r="Q20" s="141"/>
      <c r="R20" s="142"/>
      <c r="S20" s="140"/>
      <c r="T20" s="141"/>
      <c r="U20" s="141"/>
      <c r="V20" s="141"/>
      <c r="W20" s="160"/>
      <c r="X20" s="161"/>
      <c r="Y20" s="1"/>
      <c r="Z20" s="62"/>
      <c r="AA20" s="63"/>
      <c r="AB20" s="63"/>
      <c r="AC20" s="63"/>
      <c r="AD20" s="63"/>
      <c r="AE20" s="63"/>
      <c r="AF20" s="63"/>
      <c r="AG20" s="63"/>
      <c r="AH20" s="63"/>
      <c r="AI20" s="63"/>
      <c r="AJ20" s="61"/>
      <c r="AK20" s="63"/>
      <c r="AL20" s="63"/>
      <c r="AM20" s="63"/>
      <c r="AN20" s="63"/>
      <c r="AO20" s="63"/>
      <c r="AP20" s="1"/>
    </row>
    <row r="21" spans="1:42" ht="21.95" customHeight="1" thickBot="1">
      <c r="A21" s="172" t="str">
        <f>M21</f>
        <v>왕과사는 남자</v>
      </c>
      <c r="B21" s="173"/>
      <c r="C21" s="173"/>
      <c r="D21" s="174"/>
      <c r="E21" s="177" t="str">
        <f>Q21</f>
        <v>말레이시아</v>
      </c>
      <c r="F21" s="178"/>
      <c r="G21" s="172" t="str">
        <f>S21</f>
        <v>트와일라잇</v>
      </c>
      <c r="H21" s="173"/>
      <c r="I21" s="173"/>
      <c r="J21" s="174"/>
      <c r="K21" s="177" t="str">
        <f>W21</f>
        <v>하와이</v>
      </c>
      <c r="L21" s="178"/>
      <c r="M21" s="157" t="s">
        <v>2148</v>
      </c>
      <c r="N21" s="157"/>
      <c r="O21" s="157"/>
      <c r="P21" s="158"/>
      <c r="Q21" s="141" t="s">
        <v>2149</v>
      </c>
      <c r="R21" s="142"/>
      <c r="S21" s="156" t="s">
        <v>2157</v>
      </c>
      <c r="T21" s="157"/>
      <c r="U21" s="157"/>
      <c r="V21" s="158"/>
      <c r="W21" s="141" t="s">
        <v>2158</v>
      </c>
      <c r="X21" s="142"/>
      <c r="Y21" s="1"/>
      <c r="Z21" s="1"/>
      <c r="AA21" s="59"/>
      <c r="AB21" s="59"/>
      <c r="AC21" s="59"/>
      <c r="AD21" s="59"/>
      <c r="AE21" s="59"/>
      <c r="AF21" s="59"/>
      <c r="AG21" s="59"/>
      <c r="AH21" s="59"/>
      <c r="AI21" s="59"/>
      <c r="AJ21" s="60"/>
      <c r="AK21" s="59"/>
      <c r="AL21" s="59"/>
      <c r="AM21" s="59"/>
      <c r="AN21" s="59"/>
      <c r="AO21" s="59"/>
      <c r="AP21" s="1"/>
    </row>
    <row r="22" spans="1:42" ht="21.95" customHeight="1">
      <c r="A22" s="140" t="str">
        <f>M22</f>
        <v>티키타카</v>
      </c>
      <c r="B22" s="141"/>
      <c r="C22" s="141"/>
      <c r="D22" s="141"/>
      <c r="E22" s="141" t="str">
        <f>Q22</f>
        <v>소문난순대국</v>
      </c>
      <c r="F22" s="142"/>
      <c r="G22" s="140" t="str">
        <f>S22</f>
        <v>신뢰</v>
      </c>
      <c r="H22" s="141"/>
      <c r="I22" s="141"/>
      <c r="J22" s="141"/>
      <c r="K22" s="141" t="str">
        <f>W22</f>
        <v>서초김치찌개</v>
      </c>
      <c r="L22" s="142"/>
      <c r="M22" s="137" t="s">
        <v>2093</v>
      </c>
      <c r="N22" s="146"/>
      <c r="O22" s="146"/>
      <c r="P22" s="146"/>
      <c r="Q22" s="146" t="s">
        <v>2150</v>
      </c>
      <c r="R22" s="138"/>
      <c r="S22" s="150" t="s">
        <v>2159</v>
      </c>
      <c r="T22" s="146"/>
      <c r="U22" s="146"/>
      <c r="V22" s="146"/>
      <c r="W22" s="146" t="s">
        <v>2160</v>
      </c>
      <c r="X22" s="138"/>
      <c r="Y22" s="1"/>
      <c r="Z22" s="1"/>
      <c r="AA22" s="192" t="str">
        <f>AA1</f>
        <v>단팥빵</v>
      </c>
      <c r="AB22" s="193"/>
      <c r="AC22" s="194"/>
      <c r="AD22" s="95"/>
      <c r="AE22" s="95"/>
      <c r="AF22" s="95"/>
      <c r="AG22" s="95"/>
      <c r="AH22" s="95"/>
      <c r="AI22" s="95"/>
      <c r="AJ22" s="60"/>
      <c r="AK22" s="59"/>
      <c r="AL22" s="59"/>
      <c r="AM22" s="192" t="str">
        <f>AM1</f>
        <v>푸딩</v>
      </c>
      <c r="AN22" s="193"/>
      <c r="AO22" s="194"/>
      <c r="AP22" s="1"/>
    </row>
    <row r="23" spans="1:42" ht="21.95" customHeight="1">
      <c r="A23" s="140" t="str">
        <f>M23</f>
        <v>잘맞는</v>
      </c>
      <c r="B23" s="141"/>
      <c r="C23" s="141"/>
      <c r="D23" s="141"/>
      <c r="E23" s="141"/>
      <c r="F23" s="142"/>
      <c r="G23" s="140" t="str">
        <f>S23</f>
        <v>자기관리</v>
      </c>
      <c r="H23" s="141"/>
      <c r="I23" s="141" t="str">
        <f>U23</f>
        <v>훈훈한</v>
      </c>
      <c r="J23" s="141"/>
      <c r="K23" s="141" t="str">
        <f>W23</f>
        <v>성실한</v>
      </c>
      <c r="L23" s="142"/>
      <c r="M23" s="137" t="s">
        <v>2089</v>
      </c>
      <c r="N23" s="146"/>
      <c r="O23" s="146"/>
      <c r="P23" s="146"/>
      <c r="Q23" s="146"/>
      <c r="R23" s="138"/>
      <c r="S23" s="150" t="s">
        <v>2098</v>
      </c>
      <c r="T23" s="146"/>
      <c r="U23" s="146" t="s">
        <v>2109</v>
      </c>
      <c r="V23" s="146"/>
      <c r="W23" s="146" t="s">
        <v>2083</v>
      </c>
      <c r="X23" s="138"/>
      <c r="Y23" s="1"/>
      <c r="Z23" s="1"/>
      <c r="AA23" s="195"/>
      <c r="AB23" s="196"/>
      <c r="AC23" s="197"/>
      <c r="AD23" s="95"/>
      <c r="AE23" s="95"/>
      <c r="AF23" s="95"/>
      <c r="AG23" s="95"/>
      <c r="AH23" s="95"/>
      <c r="AI23" s="95"/>
      <c r="AJ23" s="60"/>
      <c r="AK23" s="95"/>
      <c r="AL23" s="59"/>
      <c r="AM23" s="195"/>
      <c r="AN23" s="196"/>
      <c r="AO23" s="197"/>
      <c r="AP23" s="1"/>
    </row>
    <row r="24" spans="1:42" ht="21.95" customHeight="1" thickBot="1">
      <c r="A24" s="147"/>
      <c r="B24" s="148"/>
      <c r="C24" s="148"/>
      <c r="D24" s="148"/>
      <c r="E24" s="148"/>
      <c r="F24" s="175"/>
      <c r="G24" s="147"/>
      <c r="H24" s="148"/>
      <c r="I24" s="148"/>
      <c r="J24" s="148"/>
      <c r="K24" s="148">
        <f>W24</f>
        <v>0</v>
      </c>
      <c r="L24" s="175"/>
      <c r="M24" s="176"/>
      <c r="N24" s="135"/>
      <c r="O24" s="149"/>
      <c r="P24" s="135"/>
      <c r="Q24" s="149"/>
      <c r="R24" s="151"/>
      <c r="S24" s="159"/>
      <c r="T24" s="135"/>
      <c r="U24" s="149"/>
      <c r="V24" s="135"/>
      <c r="W24" s="149"/>
      <c r="X24" s="151"/>
      <c r="Y24" s="1"/>
      <c r="Z24" s="1"/>
      <c r="AA24" s="198" t="str">
        <f>AA3</f>
        <v>정유민</v>
      </c>
      <c r="AB24" s="199"/>
      <c r="AC24" s="200"/>
      <c r="AD24" s="70"/>
      <c r="AE24" s="70"/>
      <c r="AF24" s="70"/>
      <c r="AG24" s="70"/>
      <c r="AH24" s="70"/>
      <c r="AI24" s="70"/>
      <c r="AJ24" s="59"/>
      <c r="AK24" s="59"/>
      <c r="AL24" s="59"/>
      <c r="AM24" s="198" t="str">
        <f>AM3</f>
        <v>김예성</v>
      </c>
      <c r="AN24" s="199"/>
      <c r="AO24" s="200"/>
      <c r="AP24" s="1"/>
    </row>
    <row r="25" spans="1:42" ht="21.95" customHeight="1" thickBot="1">
      <c r="A25" s="126" t="str">
        <f>Q25</f>
        <v>스콘</v>
      </c>
      <c r="B25" s="127"/>
      <c r="C25" s="127"/>
      <c r="D25" s="128"/>
      <c r="E25" s="143" t="str">
        <f>O25</f>
        <v>ENTP</v>
      </c>
      <c r="F25" s="190"/>
      <c r="G25" s="126" t="str">
        <f>W25</f>
        <v>마들렌</v>
      </c>
      <c r="H25" s="127"/>
      <c r="I25" s="127"/>
      <c r="J25" s="128"/>
      <c r="K25" s="143" t="str">
        <f>U25</f>
        <v>INFJ</v>
      </c>
      <c r="L25" s="190"/>
      <c r="M25" s="180" t="str">
        <f>'18M'!C4</f>
        <v>권경준</v>
      </c>
      <c r="N25" s="171"/>
      <c r="O25" s="182" t="str">
        <f>'18M'!I4</f>
        <v>ENTP</v>
      </c>
      <c r="P25" s="183"/>
      <c r="Q25" s="152" t="s">
        <v>2323</v>
      </c>
      <c r="R25" s="153"/>
      <c r="S25" s="180" t="str">
        <f>'18M'!C9</f>
        <v>김세연</v>
      </c>
      <c r="T25" s="171"/>
      <c r="U25" s="162" t="str">
        <f>'18M'!I9</f>
        <v>INFJ</v>
      </c>
      <c r="V25" s="163"/>
      <c r="W25" s="152" t="s">
        <v>2326</v>
      </c>
      <c r="X25" s="153"/>
      <c r="Y25" s="1"/>
      <c r="Z25" s="1"/>
      <c r="AA25" s="60"/>
      <c r="AB25" s="60"/>
      <c r="AC25" s="60"/>
      <c r="AD25" s="60"/>
      <c r="AE25" s="60"/>
      <c r="AF25" s="60"/>
      <c r="AG25" s="60"/>
      <c r="AH25" s="60"/>
      <c r="AI25" s="60"/>
      <c r="AJ25" s="59"/>
      <c r="AK25" s="59"/>
      <c r="AL25" s="59"/>
      <c r="AM25" s="60"/>
      <c r="AN25" s="60"/>
      <c r="AO25" s="60"/>
      <c r="AP25" s="1"/>
    </row>
    <row r="26" spans="1:42" ht="21.95" customHeight="1" thickBot="1">
      <c r="A26" s="129"/>
      <c r="B26" s="130"/>
      <c r="C26" s="130"/>
      <c r="D26" s="131"/>
      <c r="E26" s="137">
        <f>M26</f>
        <v>30</v>
      </c>
      <c r="F26" s="139"/>
      <c r="G26" s="129"/>
      <c r="H26" s="130"/>
      <c r="I26" s="130"/>
      <c r="J26" s="131"/>
      <c r="K26" s="137">
        <f>S26</f>
        <v>28</v>
      </c>
      <c r="L26" s="139"/>
      <c r="M26" s="13">
        <f>'18M'!D4</f>
        <v>30</v>
      </c>
      <c r="N26" s="14">
        <f>'18M'!E4</f>
        <v>171</v>
      </c>
      <c r="O26" s="15" t="str">
        <f>'18M'!K4</f>
        <v>무교</v>
      </c>
      <c r="P26" s="15" t="str">
        <f>'18M'!L4</f>
        <v>무관</v>
      </c>
      <c r="Q26" s="22"/>
      <c r="R26" s="101" t="s">
        <v>2001</v>
      </c>
      <c r="S26" s="13">
        <f>'18M'!D9</f>
        <v>28</v>
      </c>
      <c r="T26" s="16">
        <f>'18M'!E9</f>
        <v>171.8</v>
      </c>
      <c r="U26" s="15" t="str">
        <f>'18M'!K9</f>
        <v>기독교</v>
      </c>
      <c r="V26" s="15" t="str">
        <f>'18M'!L9</f>
        <v>무관</v>
      </c>
      <c r="W26" s="22"/>
      <c r="X26" s="101" t="s">
        <v>2001</v>
      </c>
      <c r="Y26" s="1"/>
      <c r="Z26" s="1"/>
      <c r="AA26" s="192" t="str">
        <f>AA5</f>
        <v>소금빵</v>
      </c>
      <c r="AB26" s="193"/>
      <c r="AC26" s="194"/>
      <c r="AD26" s="95"/>
      <c r="AE26" s="95"/>
      <c r="AF26" s="95"/>
      <c r="AG26" s="95"/>
      <c r="AH26" s="95"/>
      <c r="AI26" s="95"/>
      <c r="AJ26" s="59"/>
      <c r="AK26" s="59"/>
      <c r="AL26" s="59"/>
      <c r="AM26" s="192" t="str">
        <f>AM5</f>
        <v>티라미수</v>
      </c>
      <c r="AN26" s="193"/>
      <c r="AO26" s="194"/>
      <c r="AP26" s="1"/>
    </row>
    <row r="27" spans="1:42" ht="21.95" customHeight="1">
      <c r="A27" s="129"/>
      <c r="B27" s="130"/>
      <c r="C27" s="130"/>
      <c r="D27" s="131"/>
      <c r="E27" s="137" t="str">
        <f>O26</f>
        <v>무교</v>
      </c>
      <c r="F27" s="139"/>
      <c r="G27" s="129"/>
      <c r="H27" s="130"/>
      <c r="I27" s="130"/>
      <c r="J27" s="131"/>
      <c r="K27" s="137" t="str">
        <f>U26</f>
        <v>기독교</v>
      </c>
      <c r="L27" s="139"/>
      <c r="M27" s="168" t="str">
        <f>'18M'!F4</f>
        <v>회사원</v>
      </c>
      <c r="N27" s="168"/>
      <c r="O27" s="168"/>
      <c r="P27" s="169"/>
      <c r="Q27" s="152" t="str">
        <f>'18M'!G4</f>
        <v>24~31</v>
      </c>
      <c r="R27" s="153"/>
      <c r="S27" s="165" t="str">
        <f>'18M'!F9</f>
        <v>분당서울대학교병원 연구간호사</v>
      </c>
      <c r="T27" s="166"/>
      <c r="U27" s="166"/>
      <c r="V27" s="167"/>
      <c r="W27" s="152" t="str">
        <f>'18M'!G9</f>
        <v>28~34</v>
      </c>
      <c r="X27" s="153"/>
      <c r="Y27" s="1"/>
      <c r="Z27" s="1"/>
      <c r="AA27" s="195"/>
      <c r="AB27" s="196"/>
      <c r="AC27" s="197"/>
      <c r="AD27" s="95"/>
      <c r="AE27" s="95"/>
      <c r="AF27" s="95"/>
      <c r="AG27" s="95"/>
      <c r="AH27" s="95"/>
      <c r="AI27" s="95"/>
      <c r="AJ27" s="60"/>
      <c r="AK27" s="59"/>
      <c r="AL27" s="59"/>
      <c r="AM27" s="195"/>
      <c r="AN27" s="196"/>
      <c r="AO27" s="197"/>
      <c r="AP27" s="1"/>
    </row>
    <row r="28" spans="1:42" ht="21.95" customHeight="1" thickBot="1">
      <c r="A28" s="132"/>
      <c r="B28" s="133"/>
      <c r="C28" s="133"/>
      <c r="D28" s="134"/>
      <c r="E28" s="135" t="str">
        <f>R26</f>
        <v>I.A</v>
      </c>
      <c r="F28" s="149"/>
      <c r="G28" s="132"/>
      <c r="H28" s="133"/>
      <c r="I28" s="133"/>
      <c r="J28" s="134"/>
      <c r="K28" s="135" t="str">
        <f>X26</f>
        <v>I.A</v>
      </c>
      <c r="L28" s="149"/>
      <c r="M28" s="157" t="str">
        <f>'18M'!M4</f>
        <v>병원직군</v>
      </c>
      <c r="N28" s="157"/>
      <c r="O28" s="157"/>
      <c r="P28" s="158"/>
      <c r="Q28" s="141" t="str">
        <f>'18M'!H4</f>
        <v>~165</v>
      </c>
      <c r="R28" s="142"/>
      <c r="S28" s="156" t="str">
        <f>'18M'!M9</f>
        <v>병원직군, 자영업</v>
      </c>
      <c r="T28" s="157"/>
      <c r="U28" s="157"/>
      <c r="V28" s="158"/>
      <c r="W28" s="164" t="str">
        <f>'18M'!H9</f>
        <v>175~</v>
      </c>
      <c r="X28" s="179"/>
      <c r="Y28" s="1"/>
      <c r="Z28" s="1"/>
      <c r="AA28" s="198" t="str">
        <f>AA7</f>
        <v>최현식</v>
      </c>
      <c r="AB28" s="199"/>
      <c r="AC28" s="200"/>
      <c r="AD28" s="70"/>
      <c r="AE28" s="70"/>
      <c r="AF28" s="70"/>
      <c r="AG28" s="70"/>
      <c r="AH28" s="70"/>
      <c r="AI28" s="70"/>
      <c r="AJ28" s="69"/>
      <c r="AK28" s="59"/>
      <c r="AL28" s="59"/>
      <c r="AM28" s="198" t="str">
        <f>AM7</f>
        <v>천현정</v>
      </c>
      <c r="AN28" s="199"/>
      <c r="AO28" s="200"/>
      <c r="AP28" s="1"/>
    </row>
    <row r="29" spans="1:42" ht="21.95" customHeight="1" thickBot="1">
      <c r="A29" s="188" t="str">
        <f>M29</f>
        <v>배려</v>
      </c>
      <c r="B29" s="144"/>
      <c r="C29" s="144" t="str">
        <f>O29</f>
        <v>편안함</v>
      </c>
      <c r="D29" s="144"/>
      <c r="E29" s="144"/>
      <c r="F29" s="145"/>
      <c r="G29" s="188" t="str">
        <f>S29</f>
        <v>낯가림</v>
      </c>
      <c r="H29" s="144"/>
      <c r="I29" s="144" t="str">
        <f>U29</f>
        <v>음식</v>
      </c>
      <c r="J29" s="144"/>
      <c r="K29" s="144" t="str">
        <f>W29</f>
        <v>문화</v>
      </c>
      <c r="L29" s="145"/>
      <c r="M29" s="140" t="s">
        <v>2082</v>
      </c>
      <c r="N29" s="141"/>
      <c r="O29" s="141" t="s">
        <v>2090</v>
      </c>
      <c r="P29" s="141"/>
      <c r="Q29" s="141"/>
      <c r="R29" s="142"/>
      <c r="S29" s="156" t="s">
        <v>2110</v>
      </c>
      <c r="T29" s="158"/>
      <c r="U29" s="164" t="s">
        <v>2111</v>
      </c>
      <c r="V29" s="158"/>
      <c r="W29" s="141" t="s">
        <v>2112</v>
      </c>
      <c r="X29" s="142"/>
      <c r="Y29" s="1"/>
      <c r="Z29" s="1"/>
      <c r="AA29" s="59"/>
      <c r="AB29" s="59"/>
      <c r="AC29" s="59"/>
      <c r="AD29" s="59"/>
      <c r="AE29" s="59"/>
      <c r="AF29" s="59"/>
      <c r="AG29" s="59"/>
      <c r="AH29" s="59"/>
      <c r="AI29" s="59"/>
      <c r="AJ29" s="60"/>
      <c r="AK29" s="59"/>
      <c r="AL29" s="59"/>
      <c r="AM29" s="59"/>
      <c r="AN29" s="59"/>
      <c r="AO29" s="59"/>
      <c r="AP29" s="1"/>
    </row>
    <row r="30" spans="1:42" ht="21.95" customHeight="1">
      <c r="A30" s="150"/>
      <c r="B30" s="146"/>
      <c r="C30" s="146"/>
      <c r="D30" s="146"/>
      <c r="E30" s="146"/>
      <c r="F30" s="138"/>
      <c r="G30" s="150" t="str">
        <f t="shared" ref="G30" si="6">S30</f>
        <v>영화</v>
      </c>
      <c r="H30" s="146"/>
      <c r="I30" s="146" t="str">
        <f t="shared" ref="I30" si="7">U30</f>
        <v>책</v>
      </c>
      <c r="J30" s="146"/>
      <c r="K30" s="146"/>
      <c r="L30" s="138"/>
      <c r="M30" s="140"/>
      <c r="N30" s="141"/>
      <c r="O30" s="141"/>
      <c r="P30" s="141"/>
      <c r="Q30" s="141"/>
      <c r="R30" s="142"/>
      <c r="S30" s="140" t="s">
        <v>2113</v>
      </c>
      <c r="T30" s="141"/>
      <c r="U30" s="141" t="s">
        <v>2114</v>
      </c>
      <c r="V30" s="141"/>
      <c r="W30" s="141"/>
      <c r="X30" s="142"/>
      <c r="Z30" s="1"/>
      <c r="AA30" s="192" t="str">
        <f>AA9</f>
        <v>스콘</v>
      </c>
      <c r="AB30" s="193"/>
      <c r="AC30" s="194"/>
      <c r="AD30" s="95"/>
      <c r="AE30" s="95"/>
      <c r="AF30" s="95"/>
      <c r="AG30" s="95"/>
      <c r="AH30" s="95"/>
      <c r="AI30" s="95"/>
      <c r="AJ30" s="60"/>
      <c r="AK30" s="95"/>
      <c r="AL30" s="59"/>
      <c r="AM30" s="192" t="str">
        <f>AM9</f>
        <v>마들렌</v>
      </c>
      <c r="AN30" s="193"/>
      <c r="AO30" s="194"/>
      <c r="AP30" s="1"/>
    </row>
    <row r="31" spans="1:42" ht="21.95" customHeight="1">
      <c r="A31" s="150"/>
      <c r="B31" s="146"/>
      <c r="C31" s="146"/>
      <c r="D31" s="146"/>
      <c r="E31" s="146"/>
      <c r="F31" s="138"/>
      <c r="G31" s="150"/>
      <c r="H31" s="146"/>
      <c r="I31" s="146"/>
      <c r="J31" s="146"/>
      <c r="K31" s="146"/>
      <c r="L31" s="138"/>
      <c r="M31" s="140"/>
      <c r="N31" s="141"/>
      <c r="O31" s="141"/>
      <c r="P31" s="141"/>
      <c r="Q31" s="141"/>
      <c r="R31" s="142"/>
      <c r="S31" s="140"/>
      <c r="T31" s="141"/>
      <c r="U31" s="141"/>
      <c r="V31" s="141"/>
      <c r="W31" s="141"/>
      <c r="X31" s="142"/>
      <c r="Z31" s="1"/>
      <c r="AA31" s="195"/>
      <c r="AB31" s="196"/>
      <c r="AC31" s="197"/>
      <c r="AD31" s="95"/>
      <c r="AE31" s="95"/>
      <c r="AF31" s="95"/>
      <c r="AG31" s="95"/>
      <c r="AH31" s="95"/>
      <c r="AI31" s="95"/>
      <c r="AJ31" s="59"/>
      <c r="AK31" s="59"/>
      <c r="AL31" s="59"/>
      <c r="AM31" s="195"/>
      <c r="AN31" s="196"/>
      <c r="AO31" s="197"/>
      <c r="AP31" s="1"/>
    </row>
    <row r="32" spans="1:42" ht="21.95" customHeight="1" thickBot="1">
      <c r="A32" s="150"/>
      <c r="B32" s="146"/>
      <c r="C32" s="146"/>
      <c r="D32" s="146"/>
      <c r="E32" s="146"/>
      <c r="F32" s="138"/>
      <c r="G32" s="150"/>
      <c r="H32" s="146"/>
      <c r="I32" s="146"/>
      <c r="J32" s="146"/>
      <c r="K32" s="146"/>
      <c r="L32" s="138"/>
      <c r="M32" s="140"/>
      <c r="N32" s="141"/>
      <c r="O32" s="141"/>
      <c r="P32" s="141"/>
      <c r="Q32" s="141"/>
      <c r="R32" s="142"/>
      <c r="S32" s="140"/>
      <c r="T32" s="141"/>
      <c r="U32" s="141"/>
      <c r="V32" s="141"/>
      <c r="W32" s="160"/>
      <c r="X32" s="161"/>
      <c r="Z32" s="1"/>
      <c r="AA32" s="198" t="str">
        <f>AA11</f>
        <v>권경준</v>
      </c>
      <c r="AB32" s="199"/>
      <c r="AC32" s="200"/>
      <c r="AD32" s="70"/>
      <c r="AE32" s="70"/>
      <c r="AF32" s="70"/>
      <c r="AG32" s="70"/>
      <c r="AH32" s="70"/>
      <c r="AI32" s="70"/>
      <c r="AJ32" s="69"/>
      <c r="AK32" s="70"/>
      <c r="AL32" s="59"/>
      <c r="AM32" s="198" t="str">
        <f>AM11</f>
        <v>김세연</v>
      </c>
      <c r="AN32" s="199"/>
      <c r="AO32" s="200"/>
      <c r="AP32" s="1"/>
    </row>
    <row r="33" spans="1:42" ht="21.95" customHeight="1" thickBot="1">
      <c r="A33" s="172" t="str">
        <f>M33</f>
        <v>어바웃 타임</v>
      </c>
      <c r="B33" s="173"/>
      <c r="C33" s="173"/>
      <c r="D33" s="174"/>
      <c r="E33" s="177" t="str">
        <f>Q33</f>
        <v>강릉</v>
      </c>
      <c r="F33" s="178"/>
      <c r="G33" s="172" t="str">
        <f>S33</f>
        <v>냉정과 열정 사이, F1</v>
      </c>
      <c r="H33" s="173"/>
      <c r="I33" s="173"/>
      <c r="J33" s="174"/>
      <c r="K33" s="177" t="str">
        <f>W33</f>
        <v>피렌체</v>
      </c>
      <c r="L33" s="178"/>
      <c r="M33" s="156" t="s">
        <v>2144</v>
      </c>
      <c r="N33" s="157"/>
      <c r="O33" s="157"/>
      <c r="P33" s="158"/>
      <c r="Q33" s="141" t="s">
        <v>2151</v>
      </c>
      <c r="R33" s="142"/>
      <c r="S33" s="156" t="s">
        <v>2161</v>
      </c>
      <c r="T33" s="157"/>
      <c r="U33" s="157"/>
      <c r="V33" s="158"/>
      <c r="W33" s="141" t="s">
        <v>2162</v>
      </c>
      <c r="X33" s="142"/>
      <c r="Z33" s="1"/>
      <c r="AA33" s="59"/>
      <c r="AB33" s="59"/>
      <c r="AC33" s="59"/>
      <c r="AD33" s="59"/>
      <c r="AE33" s="59"/>
      <c r="AF33" s="59"/>
      <c r="AG33" s="59"/>
      <c r="AH33" s="59"/>
      <c r="AI33" s="59"/>
      <c r="AJ33" s="60"/>
      <c r="AK33" s="95"/>
      <c r="AL33" s="59"/>
      <c r="AM33" s="59"/>
      <c r="AN33" s="59"/>
      <c r="AO33" s="59"/>
      <c r="AP33" s="1"/>
    </row>
    <row r="34" spans="1:42" ht="21.95" customHeight="1">
      <c r="A34" s="140" t="str">
        <f>M34</f>
        <v>대화</v>
      </c>
      <c r="B34" s="141"/>
      <c r="C34" s="141"/>
      <c r="D34" s="141"/>
      <c r="E34" s="141" t="str">
        <f>Q34</f>
        <v>하늘초밥</v>
      </c>
      <c r="F34" s="142"/>
      <c r="G34" s="140" t="str">
        <f>S34</f>
        <v>대화</v>
      </c>
      <c r="H34" s="141"/>
      <c r="I34" s="141"/>
      <c r="J34" s="141"/>
      <c r="K34" s="141" t="str">
        <f>W34</f>
        <v>담소스키야키</v>
      </c>
      <c r="L34" s="142"/>
      <c r="M34" s="184" t="s">
        <v>2094</v>
      </c>
      <c r="N34" s="137"/>
      <c r="O34" s="146"/>
      <c r="P34" s="146"/>
      <c r="Q34" s="137" t="s">
        <v>2152</v>
      </c>
      <c r="R34" s="146"/>
      <c r="S34" s="150" t="s">
        <v>2094</v>
      </c>
      <c r="T34" s="146"/>
      <c r="U34" s="146"/>
      <c r="V34" s="146"/>
      <c r="W34" s="146" t="s">
        <v>2163</v>
      </c>
      <c r="X34" s="138"/>
      <c r="Z34" s="1"/>
      <c r="AA34" s="192" t="str">
        <f>AA13</f>
        <v>크루아상</v>
      </c>
      <c r="AB34" s="193"/>
      <c r="AC34" s="194"/>
      <c r="AD34" s="95"/>
      <c r="AE34" s="95"/>
      <c r="AF34" s="95"/>
      <c r="AG34" s="95"/>
      <c r="AH34" s="95"/>
      <c r="AI34" s="95"/>
      <c r="AJ34" s="60"/>
      <c r="AK34" s="95"/>
      <c r="AL34" s="59"/>
      <c r="AM34" s="192" t="str">
        <f>AM13</f>
        <v>에그타르트</v>
      </c>
      <c r="AN34" s="193"/>
      <c r="AO34" s="194"/>
      <c r="AP34" s="1"/>
    </row>
    <row r="35" spans="1:42" ht="21.95" customHeight="1">
      <c r="A35" s="140" t="str">
        <f>M35</f>
        <v>CUTE</v>
      </c>
      <c r="B35" s="141"/>
      <c r="C35" s="141"/>
      <c r="D35" s="141"/>
      <c r="E35" s="141"/>
      <c r="F35" s="142"/>
      <c r="G35" s="140" t="str">
        <f>S35</f>
        <v>따뜻함</v>
      </c>
      <c r="H35" s="141"/>
      <c r="I35" s="141" t="str">
        <f>U35</f>
        <v>배려심</v>
      </c>
      <c r="J35" s="141"/>
      <c r="K35" s="141" t="str">
        <f>W35</f>
        <v>듬직</v>
      </c>
      <c r="L35" s="142"/>
      <c r="M35" s="184" t="s">
        <v>2091</v>
      </c>
      <c r="N35" s="137"/>
      <c r="O35" s="139"/>
      <c r="P35" s="137"/>
      <c r="Q35" s="139"/>
      <c r="R35" s="185"/>
      <c r="S35" s="150" t="s">
        <v>2115</v>
      </c>
      <c r="T35" s="146"/>
      <c r="U35" s="146" t="s">
        <v>2116</v>
      </c>
      <c r="V35" s="146"/>
      <c r="W35" s="146" t="s">
        <v>2117</v>
      </c>
      <c r="X35" s="138"/>
      <c r="Z35" s="1"/>
      <c r="AA35" s="195"/>
      <c r="AB35" s="196"/>
      <c r="AC35" s="197"/>
      <c r="AD35" s="95"/>
      <c r="AE35" s="95"/>
      <c r="AF35" s="95"/>
      <c r="AG35" s="95"/>
      <c r="AH35" s="95"/>
      <c r="AI35" s="95"/>
      <c r="AJ35" s="60"/>
      <c r="AK35" s="95"/>
      <c r="AL35" s="59"/>
      <c r="AM35" s="195"/>
      <c r="AN35" s="196"/>
      <c r="AO35" s="197"/>
      <c r="AP35" s="1"/>
    </row>
    <row r="36" spans="1:42" ht="21.95" customHeight="1" thickBot="1">
      <c r="A36" s="147"/>
      <c r="B36" s="148"/>
      <c r="C36" s="148"/>
      <c r="D36" s="148"/>
      <c r="E36" s="148"/>
      <c r="F36" s="175"/>
      <c r="G36" s="147"/>
      <c r="H36" s="148"/>
      <c r="I36" s="148"/>
      <c r="J36" s="148"/>
      <c r="K36" s="148"/>
      <c r="L36" s="175"/>
      <c r="M36" s="159"/>
      <c r="N36" s="135"/>
      <c r="O36" s="149"/>
      <c r="P36" s="135"/>
      <c r="Q36" s="149"/>
      <c r="R36" s="151"/>
      <c r="S36" s="159"/>
      <c r="T36" s="135"/>
      <c r="U36" s="149"/>
      <c r="V36" s="135"/>
      <c r="W36" s="149"/>
      <c r="X36" s="151"/>
      <c r="Z36" s="1"/>
      <c r="AA36" s="198" t="str">
        <f>AA15</f>
        <v>최봄</v>
      </c>
      <c r="AB36" s="199"/>
      <c r="AC36" s="200"/>
      <c r="AD36" s="70"/>
      <c r="AE36" s="70"/>
      <c r="AF36" s="70"/>
      <c r="AG36" s="70"/>
      <c r="AH36" s="70"/>
      <c r="AI36" s="70"/>
      <c r="AJ36" s="59"/>
      <c r="AK36" s="59"/>
      <c r="AL36" s="59"/>
      <c r="AM36" s="198" t="str">
        <f>AM15</f>
        <v>이지현</v>
      </c>
      <c r="AN36" s="199"/>
      <c r="AO36" s="200"/>
      <c r="AP36" s="1"/>
    </row>
    <row r="37" spans="1:42" ht="21.95" customHeight="1" thickBot="1">
      <c r="A37" s="126" t="str">
        <f>Q37</f>
        <v>크루아상</v>
      </c>
      <c r="B37" s="127"/>
      <c r="C37" s="127"/>
      <c r="D37" s="128"/>
      <c r="E37" s="143" t="str">
        <f>O37</f>
        <v>INFJ</v>
      </c>
      <c r="F37" s="190"/>
      <c r="G37" s="126" t="str">
        <f>W37</f>
        <v>에그타르트</v>
      </c>
      <c r="H37" s="127"/>
      <c r="I37" s="127"/>
      <c r="J37" s="128"/>
      <c r="K37" s="143" t="str">
        <f>U37</f>
        <v>ESFJ</v>
      </c>
      <c r="L37" s="190"/>
      <c r="M37" s="170" t="str">
        <f>'18M'!C5</f>
        <v>최봄</v>
      </c>
      <c r="N37" s="171"/>
      <c r="O37" s="182" t="str">
        <f>'18M'!I5</f>
        <v>INFJ</v>
      </c>
      <c r="P37" s="183"/>
      <c r="Q37" s="186" t="s">
        <v>2324</v>
      </c>
      <c r="R37" s="187"/>
      <c r="S37" s="180" t="str">
        <f>'18M'!C10</f>
        <v>이지현</v>
      </c>
      <c r="T37" s="171"/>
      <c r="U37" s="162" t="str">
        <f>'18M'!I10</f>
        <v>ESFJ</v>
      </c>
      <c r="V37" s="163"/>
      <c r="W37" s="152" t="s">
        <v>2327</v>
      </c>
      <c r="X37" s="153"/>
      <c r="Z37" s="1"/>
      <c r="AA37" s="59"/>
      <c r="AB37" s="59"/>
      <c r="AC37" s="59"/>
      <c r="AD37" s="59"/>
      <c r="AE37" s="59"/>
      <c r="AF37" s="59"/>
      <c r="AG37" s="59"/>
      <c r="AH37" s="59"/>
      <c r="AI37" s="59"/>
      <c r="AJ37" s="59"/>
      <c r="AK37" s="59"/>
      <c r="AL37" s="59"/>
      <c r="AM37" s="59"/>
      <c r="AN37" s="59"/>
      <c r="AO37" s="59"/>
      <c r="AP37" s="1"/>
    </row>
    <row r="38" spans="1:42" ht="21.95" customHeight="1" thickBot="1">
      <c r="A38" s="129"/>
      <c r="B38" s="130"/>
      <c r="C38" s="130"/>
      <c r="D38" s="131"/>
      <c r="E38" s="137">
        <f>M38</f>
        <v>29</v>
      </c>
      <c r="F38" s="139"/>
      <c r="G38" s="129"/>
      <c r="H38" s="130"/>
      <c r="I38" s="130"/>
      <c r="J38" s="131"/>
      <c r="K38" s="137">
        <f>S38</f>
        <v>27</v>
      </c>
      <c r="L38" s="139"/>
      <c r="M38" s="29">
        <f>'18M'!D5</f>
        <v>29</v>
      </c>
      <c r="N38" s="14">
        <f>'18M'!E5</f>
        <v>174</v>
      </c>
      <c r="O38" s="15" t="str">
        <f>'18M'!K5</f>
        <v>무교</v>
      </c>
      <c r="P38" s="15" t="str">
        <f>'18M'!L5</f>
        <v>무관</v>
      </c>
      <c r="Q38" s="22"/>
      <c r="R38" s="27" t="s">
        <v>2007</v>
      </c>
      <c r="S38" s="13">
        <f>'18M'!D10</f>
        <v>27</v>
      </c>
      <c r="T38" s="16">
        <f>'18M'!E10</f>
        <v>164</v>
      </c>
      <c r="U38" s="15" t="str">
        <f>'18M'!K10</f>
        <v>무교</v>
      </c>
      <c r="V38" s="15" t="str">
        <f>'18M'!L10</f>
        <v>동일</v>
      </c>
      <c r="W38" s="22"/>
      <c r="X38" s="101" t="s">
        <v>2001</v>
      </c>
      <c r="Z38" s="1"/>
      <c r="AA38" s="192" t="str">
        <f>AA17</f>
        <v>초콜릿</v>
      </c>
      <c r="AB38" s="193"/>
      <c r="AC38" s="194"/>
      <c r="AD38" s="95"/>
      <c r="AE38" s="95"/>
      <c r="AF38" s="95"/>
      <c r="AG38" s="95"/>
      <c r="AH38" s="95"/>
      <c r="AI38" s="95"/>
      <c r="AJ38" s="59"/>
      <c r="AK38" s="59"/>
      <c r="AL38" s="59"/>
      <c r="AM38" s="192" t="str">
        <f>AM17</f>
        <v>피낭시에</v>
      </c>
      <c r="AN38" s="193"/>
      <c r="AO38" s="194"/>
      <c r="AP38" s="1"/>
    </row>
    <row r="39" spans="1:42" ht="21.95" customHeight="1">
      <c r="A39" s="129"/>
      <c r="B39" s="130"/>
      <c r="C39" s="130"/>
      <c r="D39" s="131"/>
      <c r="E39" s="137" t="str">
        <f>O38</f>
        <v>무교</v>
      </c>
      <c r="F39" s="139"/>
      <c r="G39" s="129"/>
      <c r="H39" s="130"/>
      <c r="I39" s="130"/>
      <c r="J39" s="131"/>
      <c r="K39" s="137" t="str">
        <f>U38</f>
        <v>무교</v>
      </c>
      <c r="L39" s="139"/>
      <c r="M39" s="166" t="str">
        <f>'18M'!F5</f>
        <v>영상의학과 방사선사</v>
      </c>
      <c r="N39" s="166"/>
      <c r="O39" s="166"/>
      <c r="P39" s="167"/>
      <c r="Q39" s="152" t="str">
        <f>'18M'!G5</f>
        <v>20~31</v>
      </c>
      <c r="R39" s="153"/>
      <c r="S39" s="165" t="str">
        <f>'18M'!F10</f>
        <v>보건직</v>
      </c>
      <c r="T39" s="166"/>
      <c r="U39" s="166"/>
      <c r="V39" s="167"/>
      <c r="W39" s="152" t="str">
        <f>'18M'!G10</f>
        <v>28~34</v>
      </c>
      <c r="X39" s="153"/>
      <c r="Z39" s="1"/>
      <c r="AA39" s="195"/>
      <c r="AB39" s="196"/>
      <c r="AC39" s="197"/>
      <c r="AD39" s="95"/>
      <c r="AE39" s="95"/>
      <c r="AF39" s="95"/>
      <c r="AG39" s="95"/>
      <c r="AH39" s="95"/>
      <c r="AI39" s="95"/>
      <c r="AJ39" s="60"/>
      <c r="AK39" s="95"/>
      <c r="AL39" s="59"/>
      <c r="AM39" s="195"/>
      <c r="AN39" s="196"/>
      <c r="AO39" s="197"/>
      <c r="AP39" s="1"/>
    </row>
    <row r="40" spans="1:42" ht="21.95" customHeight="1" thickBot="1">
      <c r="A40" s="132"/>
      <c r="B40" s="133"/>
      <c r="C40" s="133"/>
      <c r="D40" s="134"/>
      <c r="E40" s="135" t="str">
        <f>R38</f>
        <v>Tea</v>
      </c>
      <c r="F40" s="149"/>
      <c r="G40" s="132"/>
      <c r="H40" s="133"/>
      <c r="I40" s="133"/>
      <c r="J40" s="134"/>
      <c r="K40" s="135" t="str">
        <f>X38</f>
        <v>I.A</v>
      </c>
      <c r="L40" s="149"/>
      <c r="M40" s="157" t="str">
        <f>'18M'!M5</f>
        <v>병원직군</v>
      </c>
      <c r="N40" s="157"/>
      <c r="O40" s="157"/>
      <c r="P40" s="158"/>
      <c r="Q40" s="164" t="str">
        <f>'18M'!H5</f>
        <v>무관</v>
      </c>
      <c r="R40" s="179"/>
      <c r="S40" s="156" t="str">
        <f>'18M'!M10</f>
        <v>병원직군, 자영업</v>
      </c>
      <c r="T40" s="157"/>
      <c r="U40" s="157"/>
      <c r="V40" s="158"/>
      <c r="W40" s="164" t="str">
        <f>'18M'!H10</f>
        <v>175~</v>
      </c>
      <c r="X40" s="179"/>
      <c r="Z40" s="1"/>
      <c r="AA40" s="198" t="str">
        <f>AA19</f>
        <v>이정현</v>
      </c>
      <c r="AB40" s="199"/>
      <c r="AC40" s="200"/>
      <c r="AD40" s="70"/>
      <c r="AE40" s="70"/>
      <c r="AF40" s="70"/>
      <c r="AG40" s="70"/>
      <c r="AH40" s="70"/>
      <c r="AI40" s="70"/>
      <c r="AJ40" s="59"/>
      <c r="AK40" s="59"/>
      <c r="AL40" s="59"/>
      <c r="AM40" s="198" t="str">
        <f>AM19</f>
        <v>정유진</v>
      </c>
      <c r="AN40" s="199"/>
      <c r="AO40" s="200"/>
      <c r="AP40" s="1"/>
    </row>
    <row r="41" spans="1:42" ht="21.95" customHeight="1" thickBot="1">
      <c r="A41" s="188" t="str">
        <f>M41</f>
        <v>섬세함</v>
      </c>
      <c r="B41" s="144"/>
      <c r="C41" s="144" t="str">
        <f>O41</f>
        <v>대화</v>
      </c>
      <c r="D41" s="144"/>
      <c r="E41" s="144"/>
      <c r="F41" s="145"/>
      <c r="G41" s="188" t="str">
        <f>S41</f>
        <v>배려</v>
      </c>
      <c r="H41" s="144"/>
      <c r="I41" s="144" t="str">
        <f>U41</f>
        <v>활발</v>
      </c>
      <c r="J41" s="144"/>
      <c r="K41" s="144" t="str">
        <f>W41</f>
        <v>경험</v>
      </c>
      <c r="L41" s="145"/>
      <c r="M41" s="158" t="s">
        <v>2092</v>
      </c>
      <c r="N41" s="141"/>
      <c r="O41" s="141" t="s">
        <v>2094</v>
      </c>
      <c r="P41" s="141"/>
      <c r="Q41" s="164"/>
      <c r="R41" s="179"/>
      <c r="S41" s="140" t="s">
        <v>2082</v>
      </c>
      <c r="T41" s="141"/>
      <c r="U41" s="141" t="s">
        <v>2118</v>
      </c>
      <c r="V41" s="141"/>
      <c r="W41" s="141" t="s">
        <v>2119</v>
      </c>
      <c r="X41" s="142"/>
      <c r="Z41" s="62"/>
      <c r="AA41" s="63"/>
      <c r="AB41" s="63"/>
      <c r="AC41" s="63"/>
      <c r="AD41" s="63"/>
      <c r="AE41" s="63"/>
      <c r="AF41" s="63"/>
      <c r="AG41" s="63"/>
      <c r="AH41" s="63"/>
      <c r="AI41" s="63"/>
      <c r="AJ41" s="61"/>
      <c r="AK41" s="63"/>
      <c r="AL41" s="63"/>
      <c r="AM41" s="63"/>
      <c r="AN41" s="63"/>
      <c r="AO41" s="63"/>
      <c r="AP41" s="1"/>
    </row>
    <row r="42" spans="1:42" ht="21.95" customHeight="1" thickBot="1">
      <c r="A42" s="150"/>
      <c r="B42" s="146"/>
      <c r="C42" s="146"/>
      <c r="D42" s="146"/>
      <c r="E42" s="146"/>
      <c r="F42" s="138"/>
      <c r="G42" s="150" t="str">
        <f t="shared" ref="G42" si="8">S42</f>
        <v>스키</v>
      </c>
      <c r="H42" s="146"/>
      <c r="I42" s="146" t="str">
        <f t="shared" ref="I42" si="9">U42</f>
        <v>등산</v>
      </c>
      <c r="J42" s="146"/>
      <c r="K42" s="146" t="str">
        <f t="shared" ref="K42" si="10">W42</f>
        <v>수영</v>
      </c>
      <c r="L42" s="138"/>
      <c r="M42" s="158"/>
      <c r="N42" s="141"/>
      <c r="O42" s="141"/>
      <c r="P42" s="141"/>
      <c r="Q42" s="141"/>
      <c r="R42" s="142"/>
      <c r="S42" s="140" t="s">
        <v>2120</v>
      </c>
      <c r="T42" s="141"/>
      <c r="U42" s="141" t="s">
        <v>2121</v>
      </c>
      <c r="V42" s="141"/>
      <c r="W42" s="141" t="s">
        <v>2122</v>
      </c>
      <c r="X42" s="142"/>
      <c r="Z42" s="1"/>
      <c r="AA42" s="59"/>
      <c r="AB42" s="59"/>
      <c r="AC42" s="59"/>
      <c r="AD42" s="59"/>
      <c r="AE42" s="59"/>
      <c r="AF42" s="59"/>
      <c r="AG42" s="59"/>
      <c r="AH42" s="59"/>
      <c r="AI42" s="59"/>
      <c r="AJ42" s="60"/>
      <c r="AK42" s="59"/>
      <c r="AL42" s="59"/>
      <c r="AM42" s="59"/>
      <c r="AN42" s="59"/>
      <c r="AO42" s="59"/>
      <c r="AP42" s="1"/>
    </row>
    <row r="43" spans="1:42" ht="21.95" customHeight="1">
      <c r="A43" s="150"/>
      <c r="B43" s="146"/>
      <c r="C43" s="146"/>
      <c r="D43" s="146"/>
      <c r="E43" s="146"/>
      <c r="F43" s="138"/>
      <c r="G43" s="150"/>
      <c r="H43" s="146"/>
      <c r="I43" s="146"/>
      <c r="J43" s="146"/>
      <c r="K43" s="146"/>
      <c r="L43" s="138"/>
      <c r="M43" s="158"/>
      <c r="N43" s="141"/>
      <c r="O43" s="141"/>
      <c r="P43" s="141"/>
      <c r="Q43" s="141"/>
      <c r="R43" s="142"/>
      <c r="S43" s="140"/>
      <c r="T43" s="141"/>
      <c r="U43" s="141"/>
      <c r="V43" s="141"/>
      <c r="W43" s="141"/>
      <c r="X43" s="142"/>
      <c r="Z43" s="1"/>
      <c r="AA43" s="192" t="str">
        <f>AA22</f>
        <v>단팥빵</v>
      </c>
      <c r="AB43" s="193"/>
      <c r="AC43" s="194"/>
      <c r="AD43" s="95"/>
      <c r="AE43" s="95"/>
      <c r="AF43" s="95"/>
      <c r="AG43" s="95"/>
      <c r="AH43" s="95"/>
      <c r="AI43" s="95"/>
      <c r="AJ43" s="60"/>
      <c r="AK43" s="59"/>
      <c r="AL43" s="59"/>
      <c r="AM43" s="192" t="str">
        <f>AM22</f>
        <v>푸딩</v>
      </c>
      <c r="AN43" s="193"/>
      <c r="AO43" s="194"/>
      <c r="AP43" s="1"/>
    </row>
    <row r="44" spans="1:42" ht="21.95" customHeight="1">
      <c r="A44" s="150"/>
      <c r="B44" s="146"/>
      <c r="C44" s="146"/>
      <c r="D44" s="146"/>
      <c r="E44" s="146"/>
      <c r="F44" s="138"/>
      <c r="G44" s="150"/>
      <c r="H44" s="146"/>
      <c r="I44" s="146"/>
      <c r="J44" s="146"/>
      <c r="K44" s="146"/>
      <c r="L44" s="138"/>
      <c r="M44" s="158"/>
      <c r="N44" s="141"/>
      <c r="O44" s="141"/>
      <c r="P44" s="141"/>
      <c r="Q44" s="141"/>
      <c r="R44" s="142"/>
      <c r="S44" s="140"/>
      <c r="T44" s="141"/>
      <c r="U44" s="141"/>
      <c r="V44" s="141"/>
      <c r="W44" s="160"/>
      <c r="X44" s="161"/>
      <c r="Z44" s="1"/>
      <c r="AA44" s="195"/>
      <c r="AB44" s="196"/>
      <c r="AC44" s="197"/>
      <c r="AD44" s="95"/>
      <c r="AE44" s="95"/>
      <c r="AF44" s="95"/>
      <c r="AG44" s="95"/>
      <c r="AH44" s="95"/>
      <c r="AI44" s="95"/>
      <c r="AJ44" s="60"/>
      <c r="AK44" s="95"/>
      <c r="AL44" s="59"/>
      <c r="AM44" s="195"/>
      <c r="AN44" s="196"/>
      <c r="AO44" s="197"/>
      <c r="AP44" s="1"/>
    </row>
    <row r="45" spans="1:42" ht="21.95" customHeight="1" thickBot="1">
      <c r="A45" s="172" t="str">
        <f>M45</f>
        <v>주토피아</v>
      </c>
      <c r="B45" s="173"/>
      <c r="C45" s="173"/>
      <c r="D45" s="174"/>
      <c r="E45" s="177" t="str">
        <f>Q45</f>
        <v>동해바다, 부산</v>
      </c>
      <c r="F45" s="178"/>
      <c r="G45" s="172" t="str">
        <f>S45</f>
        <v>해리포터</v>
      </c>
      <c r="H45" s="173"/>
      <c r="I45" s="173"/>
      <c r="J45" s="174"/>
      <c r="K45" s="177" t="str">
        <f>W45</f>
        <v>보라카이</v>
      </c>
      <c r="L45" s="178"/>
      <c r="M45" s="157" t="s">
        <v>2153</v>
      </c>
      <c r="N45" s="157"/>
      <c r="O45" s="157"/>
      <c r="P45" s="158"/>
      <c r="Q45" s="141" t="s">
        <v>2154</v>
      </c>
      <c r="R45" s="142"/>
      <c r="S45" s="157" t="s">
        <v>2164</v>
      </c>
      <c r="T45" s="157"/>
      <c r="U45" s="157"/>
      <c r="V45" s="158"/>
      <c r="W45" s="141" t="s">
        <v>2165</v>
      </c>
      <c r="X45" s="142"/>
      <c r="Z45" s="1"/>
      <c r="AA45" s="198" t="str">
        <f>AA24</f>
        <v>정유민</v>
      </c>
      <c r="AB45" s="199"/>
      <c r="AC45" s="200"/>
      <c r="AD45" s="70"/>
      <c r="AE45" s="70"/>
      <c r="AF45" s="70"/>
      <c r="AG45" s="70"/>
      <c r="AH45" s="70"/>
      <c r="AI45" s="70"/>
      <c r="AJ45" s="59"/>
      <c r="AK45" s="59"/>
      <c r="AL45" s="59"/>
      <c r="AM45" s="198" t="str">
        <f>AM24</f>
        <v>김예성</v>
      </c>
      <c r="AN45" s="199"/>
      <c r="AO45" s="200"/>
      <c r="AP45" s="1"/>
    </row>
    <row r="46" spans="1:42" ht="21.95" customHeight="1" thickBot="1">
      <c r="A46" s="140" t="str">
        <f>M46</f>
        <v>애정표현</v>
      </c>
      <c r="B46" s="141"/>
      <c r="C46" s="141"/>
      <c r="D46" s="141"/>
      <c r="E46" s="141" t="str">
        <f>Q46</f>
        <v>스시</v>
      </c>
      <c r="F46" s="142"/>
      <c r="G46" s="140" t="str">
        <f>S46</f>
        <v>신뢰</v>
      </c>
      <c r="H46" s="141"/>
      <c r="I46" s="141"/>
      <c r="J46" s="141"/>
      <c r="K46" s="141" t="str">
        <f>W46</f>
        <v>시골여행</v>
      </c>
      <c r="L46" s="142"/>
      <c r="M46" s="150" t="s">
        <v>2155</v>
      </c>
      <c r="N46" s="146"/>
      <c r="O46" s="146"/>
      <c r="P46" s="146"/>
      <c r="Q46" s="146" t="s">
        <v>2156</v>
      </c>
      <c r="R46" s="138"/>
      <c r="S46" s="150" t="s">
        <v>2159</v>
      </c>
      <c r="T46" s="146"/>
      <c r="U46" s="146"/>
      <c r="V46" s="146"/>
      <c r="W46" s="146" t="s">
        <v>2166</v>
      </c>
      <c r="X46" s="138"/>
      <c r="Z46" s="1"/>
      <c r="AA46" s="60"/>
      <c r="AB46" s="60"/>
      <c r="AC46" s="60"/>
      <c r="AD46" s="60"/>
      <c r="AE46" s="60"/>
      <c r="AF46" s="60"/>
      <c r="AG46" s="60"/>
      <c r="AH46" s="60"/>
      <c r="AI46" s="60"/>
      <c r="AJ46" s="59"/>
      <c r="AK46" s="59"/>
      <c r="AL46" s="59"/>
      <c r="AM46" s="60"/>
      <c r="AN46" s="60"/>
      <c r="AO46" s="60"/>
      <c r="AP46" s="1"/>
    </row>
    <row r="47" spans="1:42" ht="21.95" customHeight="1">
      <c r="A47" s="140" t="str">
        <f>M47</f>
        <v>티키타카</v>
      </c>
      <c r="B47" s="141"/>
      <c r="C47" s="141"/>
      <c r="D47" s="141"/>
      <c r="E47" s="141"/>
      <c r="F47" s="142"/>
      <c r="G47" s="140" t="str">
        <f>S47</f>
        <v>다정다감</v>
      </c>
      <c r="H47" s="141"/>
      <c r="I47" s="141" t="str">
        <f>U47</f>
        <v>성숙한</v>
      </c>
      <c r="J47" s="141"/>
      <c r="K47" s="141" t="str">
        <f>W47</f>
        <v>No회피형</v>
      </c>
      <c r="L47" s="142"/>
      <c r="M47" s="150" t="s">
        <v>2093</v>
      </c>
      <c r="N47" s="146"/>
      <c r="O47" s="146"/>
      <c r="P47" s="146"/>
      <c r="Q47" s="146"/>
      <c r="R47" s="138"/>
      <c r="S47" s="150" t="s">
        <v>2123</v>
      </c>
      <c r="T47" s="146"/>
      <c r="U47" s="146" t="s">
        <v>2124</v>
      </c>
      <c r="V47" s="146"/>
      <c r="W47" s="146" t="s">
        <v>2125</v>
      </c>
      <c r="X47" s="138"/>
      <c r="Z47" s="1"/>
      <c r="AA47" s="192" t="str">
        <f>AA26</f>
        <v>소금빵</v>
      </c>
      <c r="AB47" s="193"/>
      <c r="AC47" s="194"/>
      <c r="AD47" s="95"/>
      <c r="AE47" s="95"/>
      <c r="AF47" s="95"/>
      <c r="AG47" s="95"/>
      <c r="AH47" s="95"/>
      <c r="AI47" s="95"/>
      <c r="AJ47" s="59"/>
      <c r="AK47" s="59"/>
      <c r="AL47" s="59"/>
      <c r="AM47" s="192" t="str">
        <f>AM26</f>
        <v>티라미수</v>
      </c>
      <c r="AN47" s="193"/>
      <c r="AO47" s="194"/>
      <c r="AP47" s="1"/>
    </row>
    <row r="48" spans="1:42" ht="21.95" customHeight="1" thickBot="1">
      <c r="A48" s="147"/>
      <c r="B48" s="148"/>
      <c r="C48" s="148"/>
      <c r="D48" s="148"/>
      <c r="E48" s="148"/>
      <c r="F48" s="175"/>
      <c r="G48" s="147" t="str">
        <f>S48</f>
        <v>예의바른</v>
      </c>
      <c r="H48" s="148"/>
      <c r="I48" s="148"/>
      <c r="J48" s="148"/>
      <c r="K48" s="148"/>
      <c r="L48" s="175"/>
      <c r="M48" s="159"/>
      <c r="N48" s="135"/>
      <c r="O48" s="149"/>
      <c r="P48" s="135"/>
      <c r="Q48" s="149"/>
      <c r="R48" s="151"/>
      <c r="S48" s="159" t="s">
        <v>2126</v>
      </c>
      <c r="T48" s="135"/>
      <c r="U48" s="149"/>
      <c r="V48" s="135"/>
      <c r="W48" s="149"/>
      <c r="X48" s="151"/>
      <c r="Z48" s="1"/>
      <c r="AA48" s="195"/>
      <c r="AB48" s="196"/>
      <c r="AC48" s="197"/>
      <c r="AD48" s="95"/>
      <c r="AE48" s="95"/>
      <c r="AF48" s="95"/>
      <c r="AG48" s="95"/>
      <c r="AH48" s="95"/>
      <c r="AI48" s="95"/>
      <c r="AJ48" s="60"/>
      <c r="AK48" s="59"/>
      <c r="AL48" s="59"/>
      <c r="AM48" s="195"/>
      <c r="AN48" s="196"/>
      <c r="AO48" s="197"/>
      <c r="AP48" s="1"/>
    </row>
    <row r="49" spans="1:42" ht="21.95" customHeight="1" thickBot="1">
      <c r="A49" s="126" t="str">
        <f>Q49</f>
        <v>초콜릿</v>
      </c>
      <c r="B49" s="127"/>
      <c r="C49" s="127"/>
      <c r="D49" s="128"/>
      <c r="E49" s="143" t="str">
        <f>O49</f>
        <v>ISTJ</v>
      </c>
      <c r="F49" s="190"/>
      <c r="G49" s="126" t="str">
        <f>W49</f>
        <v>피낭시에</v>
      </c>
      <c r="H49" s="127"/>
      <c r="I49" s="127"/>
      <c r="J49" s="128"/>
      <c r="K49" s="143" t="str">
        <f>U49</f>
        <v>ISFJ</v>
      </c>
      <c r="L49" s="190"/>
      <c r="M49" s="170" t="str">
        <f>'18M'!C6</f>
        <v>이정현</v>
      </c>
      <c r="N49" s="171"/>
      <c r="O49" s="182" t="str">
        <f>'18M'!I6</f>
        <v>ISTJ</v>
      </c>
      <c r="P49" s="183"/>
      <c r="Q49" s="152" t="s">
        <v>1457</v>
      </c>
      <c r="R49" s="153"/>
      <c r="S49" s="180" t="str">
        <f>'18M'!C11</f>
        <v>정유진</v>
      </c>
      <c r="T49" s="171"/>
      <c r="U49" s="162" t="str">
        <f>'18M'!I11</f>
        <v>ISFJ</v>
      </c>
      <c r="V49" s="163"/>
      <c r="W49" s="152" t="s">
        <v>2328</v>
      </c>
      <c r="X49" s="153"/>
      <c r="Z49" s="1"/>
      <c r="AA49" s="198" t="str">
        <f>AA28</f>
        <v>최현식</v>
      </c>
      <c r="AB49" s="199"/>
      <c r="AC49" s="200"/>
      <c r="AD49" s="70"/>
      <c r="AE49" s="70"/>
      <c r="AF49" s="70"/>
      <c r="AG49" s="70"/>
      <c r="AH49" s="70"/>
      <c r="AI49" s="70"/>
      <c r="AJ49" s="69"/>
      <c r="AK49" s="59"/>
      <c r="AL49" s="59"/>
      <c r="AM49" s="198" t="str">
        <f>AM28</f>
        <v>천현정</v>
      </c>
      <c r="AN49" s="199"/>
      <c r="AO49" s="200"/>
      <c r="AP49" s="1"/>
    </row>
    <row r="50" spans="1:42" ht="21.95" customHeight="1" thickBot="1">
      <c r="A50" s="129"/>
      <c r="B50" s="130"/>
      <c r="C50" s="130"/>
      <c r="D50" s="131"/>
      <c r="E50" s="137">
        <f>M50</f>
        <v>27</v>
      </c>
      <c r="F50" s="139"/>
      <c r="G50" s="129"/>
      <c r="H50" s="130"/>
      <c r="I50" s="130"/>
      <c r="J50" s="131"/>
      <c r="K50" s="137">
        <f>S50</f>
        <v>29</v>
      </c>
      <c r="L50" s="139"/>
      <c r="M50" s="29">
        <f>'18M'!D6</f>
        <v>27</v>
      </c>
      <c r="N50" s="14">
        <f>'18M'!E6</f>
        <v>183</v>
      </c>
      <c r="O50" s="15" t="str">
        <f>'18M'!K6</f>
        <v>기독교</v>
      </c>
      <c r="P50" s="15" t="str">
        <f>'18M'!L6</f>
        <v>무관</v>
      </c>
      <c r="Q50" s="22"/>
      <c r="R50" s="27" t="s">
        <v>2005</v>
      </c>
      <c r="S50" s="13">
        <f>'18M'!D11</f>
        <v>29</v>
      </c>
      <c r="T50" s="16">
        <f>'18M'!E11</f>
        <v>169</v>
      </c>
      <c r="U50" s="15" t="str">
        <f>'18M'!K11</f>
        <v>무교</v>
      </c>
      <c r="V50" s="15" t="str">
        <f>'18M'!L11</f>
        <v>동일</v>
      </c>
      <c r="W50" s="22"/>
      <c r="X50" s="27" t="s">
        <v>2005</v>
      </c>
      <c r="Z50" s="1"/>
      <c r="AA50" s="59"/>
      <c r="AB50" s="59"/>
      <c r="AC50" s="59"/>
      <c r="AD50" s="59"/>
      <c r="AE50" s="59"/>
      <c r="AF50" s="59"/>
      <c r="AG50" s="59"/>
      <c r="AH50" s="59"/>
      <c r="AI50" s="59"/>
      <c r="AJ50" s="60"/>
      <c r="AK50" s="59"/>
      <c r="AL50" s="59"/>
      <c r="AM50" s="59"/>
      <c r="AN50" s="59"/>
      <c r="AO50" s="59"/>
      <c r="AP50" s="1"/>
    </row>
    <row r="51" spans="1:42" ht="21.95" customHeight="1">
      <c r="A51" s="129"/>
      <c r="B51" s="130"/>
      <c r="C51" s="130"/>
      <c r="D51" s="131"/>
      <c r="E51" s="137" t="str">
        <f>O50</f>
        <v>기독교</v>
      </c>
      <c r="F51" s="139"/>
      <c r="G51" s="129"/>
      <c r="H51" s="130"/>
      <c r="I51" s="130"/>
      <c r="J51" s="131"/>
      <c r="K51" s="137" t="str">
        <f>U50</f>
        <v>무교</v>
      </c>
      <c r="L51" s="139"/>
      <c r="M51" s="166" t="str">
        <f>'18M'!F6</f>
        <v>삼성서울병원/ 보안팀</v>
      </c>
      <c r="N51" s="166"/>
      <c r="O51" s="166"/>
      <c r="P51" s="167"/>
      <c r="Q51" s="152" t="str">
        <f>'18M'!G6</f>
        <v>20~31</v>
      </c>
      <c r="R51" s="153"/>
      <c r="S51" s="165" t="str">
        <f>'18M'!F11</f>
        <v>간호사, 병동간호2팀, 18W병동</v>
      </c>
      <c r="T51" s="166"/>
      <c r="U51" s="166"/>
      <c r="V51" s="167"/>
      <c r="W51" s="152" t="str">
        <f>'18M'!G11</f>
        <v>28~34</v>
      </c>
      <c r="X51" s="153"/>
      <c r="Z51" s="1"/>
      <c r="AA51" s="192" t="str">
        <f>AA30</f>
        <v>스콘</v>
      </c>
      <c r="AB51" s="193"/>
      <c r="AC51" s="194"/>
      <c r="AD51" s="95"/>
      <c r="AE51" s="95"/>
      <c r="AF51" s="95"/>
      <c r="AG51" s="95"/>
      <c r="AH51" s="95"/>
      <c r="AI51" s="95"/>
      <c r="AJ51" s="60"/>
      <c r="AK51" s="95"/>
      <c r="AL51" s="59"/>
      <c r="AM51" s="192" t="str">
        <f>AM30</f>
        <v>마들렌</v>
      </c>
      <c r="AN51" s="193"/>
      <c r="AO51" s="194"/>
      <c r="AP51" s="1"/>
    </row>
    <row r="52" spans="1:42" ht="21.95" customHeight="1" thickBot="1">
      <c r="A52" s="132"/>
      <c r="B52" s="133"/>
      <c r="C52" s="133"/>
      <c r="D52" s="134"/>
      <c r="E52" s="135" t="str">
        <f>R50</f>
        <v>I.A</v>
      </c>
      <c r="F52" s="149"/>
      <c r="G52" s="132"/>
      <c r="H52" s="133"/>
      <c r="I52" s="133"/>
      <c r="J52" s="134"/>
      <c r="K52" s="135" t="str">
        <f>X50</f>
        <v>I.A</v>
      </c>
      <c r="L52" s="149"/>
      <c r="M52" s="157" t="str">
        <f>'18M'!M6</f>
        <v>무관</v>
      </c>
      <c r="N52" s="157"/>
      <c r="O52" s="157"/>
      <c r="P52" s="158"/>
      <c r="Q52" s="164" t="str">
        <f>'18M'!H6</f>
        <v>~175</v>
      </c>
      <c r="R52" s="179"/>
      <c r="S52" s="156" t="str">
        <f>'18M'!M11</f>
        <v>무관</v>
      </c>
      <c r="T52" s="157"/>
      <c r="U52" s="157"/>
      <c r="V52" s="158"/>
      <c r="W52" s="164" t="str">
        <f>'18M'!H11</f>
        <v>175~</v>
      </c>
      <c r="X52" s="179"/>
      <c r="Z52" s="1"/>
      <c r="AA52" s="195"/>
      <c r="AB52" s="196"/>
      <c r="AC52" s="197"/>
      <c r="AD52" s="95"/>
      <c r="AE52" s="95"/>
      <c r="AF52" s="95"/>
      <c r="AG52" s="95"/>
      <c r="AH52" s="95"/>
      <c r="AI52" s="95"/>
      <c r="AJ52" s="59"/>
      <c r="AK52" s="59"/>
      <c r="AL52" s="59"/>
      <c r="AM52" s="195"/>
      <c r="AN52" s="196"/>
      <c r="AO52" s="197"/>
      <c r="AP52" s="1"/>
    </row>
    <row r="53" spans="1:42" ht="21.95" customHeight="1" thickBot="1">
      <c r="A53" s="188" t="str">
        <f>M53</f>
        <v>조용한</v>
      </c>
      <c r="B53" s="144"/>
      <c r="C53" s="144" t="str">
        <f>O53</f>
        <v>수다꾼</v>
      </c>
      <c r="D53" s="144"/>
      <c r="E53" s="144" t="str">
        <f>Q53</f>
        <v>장난기</v>
      </c>
      <c r="F53" s="145"/>
      <c r="G53" s="188" t="str">
        <f>S53</f>
        <v>집순이</v>
      </c>
      <c r="H53" s="144"/>
      <c r="I53" s="144" t="str">
        <f>U53</f>
        <v>넷플</v>
      </c>
      <c r="J53" s="144"/>
      <c r="K53" s="144" t="str">
        <f>W53</f>
        <v>베이킹</v>
      </c>
      <c r="L53" s="145"/>
      <c r="M53" s="158" t="s">
        <v>2095</v>
      </c>
      <c r="N53" s="141"/>
      <c r="O53" s="141" t="s">
        <v>2096</v>
      </c>
      <c r="P53" s="141"/>
      <c r="Q53" s="141" t="s">
        <v>2097</v>
      </c>
      <c r="R53" s="142"/>
      <c r="S53" s="140" t="s">
        <v>2127</v>
      </c>
      <c r="T53" s="141"/>
      <c r="U53" s="141" t="s">
        <v>2128</v>
      </c>
      <c r="V53" s="141"/>
      <c r="W53" s="141" t="s">
        <v>2129</v>
      </c>
      <c r="X53" s="142"/>
      <c r="Z53" s="1"/>
      <c r="AA53" s="198" t="str">
        <f>AA32</f>
        <v>권경준</v>
      </c>
      <c r="AB53" s="199"/>
      <c r="AC53" s="200"/>
      <c r="AD53" s="70"/>
      <c r="AE53" s="70"/>
      <c r="AF53" s="70"/>
      <c r="AG53" s="70"/>
      <c r="AH53" s="70"/>
      <c r="AI53" s="70"/>
      <c r="AJ53" s="69"/>
      <c r="AK53" s="70"/>
      <c r="AL53" s="59"/>
      <c r="AM53" s="198" t="str">
        <f>AM32</f>
        <v>김세연</v>
      </c>
      <c r="AN53" s="199"/>
      <c r="AO53" s="200"/>
      <c r="AP53" s="1"/>
    </row>
    <row r="54" spans="1:42" ht="21.95" customHeight="1" thickBot="1">
      <c r="A54" s="150" t="str">
        <f t="shared" ref="A54" si="11">M54</f>
        <v>자기관리</v>
      </c>
      <c r="B54" s="146"/>
      <c r="C54" s="146" t="str">
        <f t="shared" ref="C54" si="12">O54</f>
        <v>예의</v>
      </c>
      <c r="D54" s="146"/>
      <c r="E54" s="146" t="str">
        <f t="shared" ref="E54" si="13">Q54</f>
        <v>배려</v>
      </c>
      <c r="F54" s="138"/>
      <c r="G54" s="150" t="str">
        <f t="shared" ref="G54:G55" si="14">S54</f>
        <v>귀여운것들</v>
      </c>
      <c r="H54" s="146"/>
      <c r="I54" s="146" t="str">
        <f t="shared" ref="I54:I55" si="15">U54</f>
        <v>노래</v>
      </c>
      <c r="J54" s="146"/>
      <c r="K54" s="146" t="str">
        <f t="shared" ref="K54" si="16">W54</f>
        <v>무난한</v>
      </c>
      <c r="L54" s="138"/>
      <c r="M54" s="158" t="s">
        <v>2098</v>
      </c>
      <c r="N54" s="141"/>
      <c r="O54" s="141" t="s">
        <v>2099</v>
      </c>
      <c r="P54" s="141"/>
      <c r="Q54" s="141" t="s">
        <v>2082</v>
      </c>
      <c r="R54" s="142"/>
      <c r="S54" s="140" t="s">
        <v>2130</v>
      </c>
      <c r="T54" s="141"/>
      <c r="U54" s="141" t="s">
        <v>2131</v>
      </c>
      <c r="V54" s="141"/>
      <c r="W54" s="141" t="s">
        <v>2132</v>
      </c>
      <c r="X54" s="142"/>
      <c r="Z54" s="1"/>
      <c r="AA54" s="59"/>
      <c r="AB54" s="59"/>
      <c r="AC54" s="59"/>
      <c r="AD54" s="59"/>
      <c r="AE54" s="59"/>
      <c r="AF54" s="59"/>
      <c r="AG54" s="59"/>
      <c r="AH54" s="59"/>
      <c r="AI54" s="59"/>
      <c r="AJ54" s="60"/>
      <c r="AK54" s="95"/>
      <c r="AL54" s="59"/>
      <c r="AM54" s="59"/>
      <c r="AN54" s="59"/>
      <c r="AO54" s="59"/>
      <c r="AP54" s="1"/>
    </row>
    <row r="55" spans="1:42" ht="21.95" customHeight="1">
      <c r="A55" s="150"/>
      <c r="B55" s="146"/>
      <c r="C55" s="146"/>
      <c r="D55" s="146"/>
      <c r="E55" s="146"/>
      <c r="F55" s="138"/>
      <c r="G55" s="150" t="str">
        <f t="shared" si="14"/>
        <v>해맑은</v>
      </c>
      <c r="H55" s="146"/>
      <c r="I55" s="146" t="str">
        <f t="shared" si="15"/>
        <v>소소한</v>
      </c>
      <c r="J55" s="146"/>
      <c r="K55" s="146"/>
      <c r="L55" s="138"/>
      <c r="M55" s="158"/>
      <c r="N55" s="141"/>
      <c r="O55" s="141"/>
      <c r="P55" s="141"/>
      <c r="Q55" s="141"/>
      <c r="R55" s="142"/>
      <c r="S55" s="140" t="s">
        <v>2133</v>
      </c>
      <c r="T55" s="141"/>
      <c r="U55" s="141" t="s">
        <v>2134</v>
      </c>
      <c r="V55" s="141"/>
      <c r="W55" s="141"/>
      <c r="X55" s="142"/>
      <c r="Z55" s="1"/>
      <c r="AA55" s="192" t="str">
        <f>AA34</f>
        <v>크루아상</v>
      </c>
      <c r="AB55" s="193"/>
      <c r="AC55" s="194"/>
      <c r="AD55" s="95"/>
      <c r="AE55" s="95"/>
      <c r="AF55" s="95"/>
      <c r="AG55" s="95"/>
      <c r="AH55" s="95"/>
      <c r="AI55" s="95"/>
      <c r="AJ55" s="60"/>
      <c r="AK55" s="95"/>
      <c r="AL55" s="59"/>
      <c r="AM55" s="192" t="str">
        <f>AM34</f>
        <v>에그타르트</v>
      </c>
      <c r="AN55" s="193"/>
      <c r="AO55" s="194"/>
      <c r="AP55" s="1"/>
    </row>
    <row r="56" spans="1:42" ht="21.95" customHeight="1">
      <c r="A56" s="150"/>
      <c r="B56" s="146"/>
      <c r="C56" s="146"/>
      <c r="D56" s="146"/>
      <c r="E56" s="146"/>
      <c r="F56" s="138"/>
      <c r="G56" s="150"/>
      <c r="H56" s="146"/>
      <c r="I56" s="146"/>
      <c r="J56" s="146"/>
      <c r="K56" s="146"/>
      <c r="L56" s="138"/>
      <c r="M56" s="158"/>
      <c r="N56" s="141"/>
      <c r="O56" s="141"/>
      <c r="P56" s="141"/>
      <c r="Q56" s="141"/>
      <c r="R56" s="142"/>
      <c r="S56" s="140"/>
      <c r="T56" s="141"/>
      <c r="U56" s="141"/>
      <c r="V56" s="141"/>
      <c r="W56" s="160"/>
      <c r="X56" s="161"/>
      <c r="Z56" s="1"/>
      <c r="AA56" s="195"/>
      <c r="AB56" s="196"/>
      <c r="AC56" s="197"/>
      <c r="AD56" s="95"/>
      <c r="AE56" s="95"/>
      <c r="AF56" s="95"/>
      <c r="AG56" s="95"/>
      <c r="AH56" s="95"/>
      <c r="AI56" s="95"/>
      <c r="AJ56" s="60"/>
      <c r="AK56" s="95"/>
      <c r="AL56" s="59"/>
      <c r="AM56" s="195"/>
      <c r="AN56" s="196"/>
      <c r="AO56" s="197"/>
      <c r="AP56" s="1"/>
    </row>
    <row r="57" spans="1:42" ht="21.95" customHeight="1" thickBot="1">
      <c r="A57" s="172" t="str">
        <f>M57</f>
        <v>빅 피쉬</v>
      </c>
      <c r="B57" s="173"/>
      <c r="C57" s="173"/>
      <c r="D57" s="174"/>
      <c r="E57" s="177" t="str">
        <f>Q57</f>
        <v>교토</v>
      </c>
      <c r="F57" s="178"/>
      <c r="G57" s="172" t="str">
        <f>S57</f>
        <v>라라랜드</v>
      </c>
      <c r="H57" s="173"/>
      <c r="I57" s="173"/>
      <c r="J57" s="174"/>
      <c r="K57" s="177" t="str">
        <f>W57</f>
        <v>뉴질랜드</v>
      </c>
      <c r="L57" s="178"/>
      <c r="M57" s="157" t="s">
        <v>2298</v>
      </c>
      <c r="N57" s="157"/>
      <c r="O57" s="157"/>
      <c r="P57" s="158"/>
      <c r="Q57" s="141" t="s">
        <v>2299</v>
      </c>
      <c r="R57" s="142"/>
      <c r="S57" s="156" t="s">
        <v>2167</v>
      </c>
      <c r="T57" s="157"/>
      <c r="U57" s="157"/>
      <c r="V57" s="158"/>
      <c r="W57" s="141" t="s">
        <v>2168</v>
      </c>
      <c r="X57" s="142"/>
      <c r="Z57" s="1"/>
      <c r="AA57" s="198" t="str">
        <f>AA36</f>
        <v>최봄</v>
      </c>
      <c r="AB57" s="199"/>
      <c r="AC57" s="200"/>
      <c r="AD57" s="70"/>
      <c r="AE57" s="70"/>
      <c r="AF57" s="70"/>
      <c r="AG57" s="70"/>
      <c r="AH57" s="70"/>
      <c r="AI57" s="70"/>
      <c r="AJ57" s="59"/>
      <c r="AK57" s="59"/>
      <c r="AL57" s="59"/>
      <c r="AM57" s="198" t="str">
        <f>AM36</f>
        <v>이지현</v>
      </c>
      <c r="AN57" s="199"/>
      <c r="AO57" s="200"/>
      <c r="AP57" s="1"/>
    </row>
    <row r="58" spans="1:42" ht="21.95" customHeight="1" thickBot="1">
      <c r="A58" s="140" t="str">
        <f>M58</f>
        <v>연락</v>
      </c>
      <c r="B58" s="141"/>
      <c r="C58" s="141"/>
      <c r="D58" s="141"/>
      <c r="E58" s="141" t="str">
        <f>Q58</f>
        <v>이가네양꼬치</v>
      </c>
      <c r="F58" s="142"/>
      <c r="G58" s="140" t="str">
        <f>S58</f>
        <v>신뢰</v>
      </c>
      <c r="H58" s="141"/>
      <c r="I58" s="141" t="str">
        <f>U58</f>
        <v>티키타카</v>
      </c>
      <c r="J58" s="141"/>
      <c r="K58" s="141" t="str">
        <f>W58</f>
        <v>앨리스 리틀 이태리</v>
      </c>
      <c r="L58" s="142"/>
      <c r="M58" s="137" t="s">
        <v>2300</v>
      </c>
      <c r="N58" s="146"/>
      <c r="O58" s="146"/>
      <c r="P58" s="146"/>
      <c r="Q58" s="146" t="s">
        <v>2301</v>
      </c>
      <c r="R58" s="138"/>
      <c r="S58" s="150" t="s">
        <v>2159</v>
      </c>
      <c r="T58" s="146"/>
      <c r="U58" s="146" t="s">
        <v>2093</v>
      </c>
      <c r="V58" s="146"/>
      <c r="W58" s="146" t="s">
        <v>2169</v>
      </c>
      <c r="X58" s="138"/>
      <c r="Z58" s="1"/>
      <c r="AA58" s="59"/>
      <c r="AB58" s="59"/>
      <c r="AC58" s="59"/>
      <c r="AD58" s="59"/>
      <c r="AE58" s="59"/>
      <c r="AF58" s="59"/>
      <c r="AG58" s="59"/>
      <c r="AH58" s="59"/>
      <c r="AI58" s="59"/>
      <c r="AJ58" s="59"/>
      <c r="AK58" s="59"/>
      <c r="AL58" s="59"/>
      <c r="AM58" s="59"/>
      <c r="AN58" s="59"/>
      <c r="AO58" s="59"/>
      <c r="AP58" s="1"/>
    </row>
    <row r="59" spans="1:42" ht="21.95" customHeight="1">
      <c r="A59" s="140" t="str">
        <f>M59</f>
        <v>CUTE</v>
      </c>
      <c r="B59" s="141"/>
      <c r="C59" s="141" t="str">
        <f>O59</f>
        <v>내적대화</v>
      </c>
      <c r="D59" s="141"/>
      <c r="E59" s="141" t="str">
        <f>Q59</f>
        <v>예의</v>
      </c>
      <c r="F59" s="142"/>
      <c r="G59" s="140" t="str">
        <f>S59</f>
        <v>선한인상</v>
      </c>
      <c r="H59" s="141"/>
      <c r="I59" s="141" t="str">
        <f>U59</f>
        <v>깔끔한</v>
      </c>
      <c r="J59" s="141"/>
      <c r="K59" s="141" t="str">
        <f>W59</f>
        <v>다정</v>
      </c>
      <c r="L59" s="142"/>
      <c r="M59" s="137" t="s">
        <v>2091</v>
      </c>
      <c r="N59" s="146"/>
      <c r="O59" s="146" t="s">
        <v>2100</v>
      </c>
      <c r="P59" s="146"/>
      <c r="Q59" s="146" t="s">
        <v>2099</v>
      </c>
      <c r="R59" s="138"/>
      <c r="S59" s="150" t="s">
        <v>2135</v>
      </c>
      <c r="T59" s="146"/>
      <c r="U59" s="146" t="s">
        <v>2136</v>
      </c>
      <c r="V59" s="146"/>
      <c r="W59" s="146" t="s">
        <v>2137</v>
      </c>
      <c r="X59" s="138"/>
      <c r="Z59" s="1"/>
      <c r="AA59" s="192" t="str">
        <f>AA38</f>
        <v>초콜릿</v>
      </c>
      <c r="AB59" s="193"/>
      <c r="AC59" s="194"/>
      <c r="AD59" s="95"/>
      <c r="AE59" s="95"/>
      <c r="AF59" s="95"/>
      <c r="AG59" s="95"/>
      <c r="AH59" s="95"/>
      <c r="AI59" s="95"/>
      <c r="AJ59" s="59"/>
      <c r="AK59" s="59"/>
      <c r="AL59" s="59"/>
      <c r="AM59" s="192" t="str">
        <f>AM38</f>
        <v>피낭시에</v>
      </c>
      <c r="AN59" s="193"/>
      <c r="AO59" s="194"/>
      <c r="AP59" s="1"/>
    </row>
    <row r="60" spans="1:42" ht="21.95" customHeight="1" thickBot="1">
      <c r="A60" s="147" t="str">
        <f>M60</f>
        <v>반묶음</v>
      </c>
      <c r="B60" s="148"/>
      <c r="C60" s="148"/>
      <c r="D60" s="148"/>
      <c r="E60" s="148"/>
      <c r="F60" s="175"/>
      <c r="G60" s="147" t="str">
        <f>S60</f>
        <v>긍정적</v>
      </c>
      <c r="H60" s="148"/>
      <c r="I60" s="148" t="str">
        <f>U60</f>
        <v>여유로운</v>
      </c>
      <c r="J60" s="148"/>
      <c r="K60" s="148"/>
      <c r="L60" s="175"/>
      <c r="M60" s="176" t="s">
        <v>2101</v>
      </c>
      <c r="N60" s="135"/>
      <c r="O60" s="149"/>
      <c r="P60" s="135"/>
      <c r="Q60" s="149"/>
      <c r="R60" s="151"/>
      <c r="S60" s="159" t="s">
        <v>2138</v>
      </c>
      <c r="T60" s="135"/>
      <c r="U60" s="149" t="s">
        <v>2139</v>
      </c>
      <c r="V60" s="135"/>
      <c r="W60" s="149"/>
      <c r="X60" s="151"/>
      <c r="Z60" s="1"/>
      <c r="AA60" s="195"/>
      <c r="AB60" s="196"/>
      <c r="AC60" s="197"/>
      <c r="AD60" s="95"/>
      <c r="AE60" s="95"/>
      <c r="AF60" s="95"/>
      <c r="AG60" s="95"/>
      <c r="AH60" s="95"/>
      <c r="AI60" s="95"/>
      <c r="AJ60" s="60"/>
      <c r="AK60" s="95"/>
      <c r="AL60" s="59"/>
      <c r="AM60" s="195"/>
      <c r="AN60" s="196"/>
      <c r="AO60" s="197"/>
      <c r="AP60" s="1"/>
    </row>
    <row r="61" spans="1:42" ht="21.95" customHeight="1" thickBot="1">
      <c r="Z61" s="1"/>
      <c r="AA61" s="198" t="str">
        <f>AA40</f>
        <v>이정현</v>
      </c>
      <c r="AB61" s="199"/>
      <c r="AC61" s="200"/>
      <c r="AD61" s="70"/>
      <c r="AE61" s="70"/>
      <c r="AF61" s="70"/>
      <c r="AG61" s="70"/>
      <c r="AH61" s="70"/>
      <c r="AI61" s="70"/>
      <c r="AJ61" s="59"/>
      <c r="AK61" s="59"/>
      <c r="AL61" s="59"/>
      <c r="AM61" s="198" t="str">
        <f>AM40</f>
        <v>정유진</v>
      </c>
      <c r="AN61" s="199"/>
      <c r="AO61" s="200"/>
      <c r="AP61" s="1"/>
    </row>
    <row r="62" spans="1:42" ht="21.95" customHeight="1"/>
  </sheetData>
  <mergeCells count="640">
    <mergeCell ref="AA53:AC53"/>
    <mergeCell ref="AM53:AO53"/>
    <mergeCell ref="AA55:AC56"/>
    <mergeCell ref="AM55:AO56"/>
    <mergeCell ref="AA57:AC57"/>
    <mergeCell ref="AM57:AO57"/>
    <mergeCell ref="AA59:AC60"/>
    <mergeCell ref="AM59:AO60"/>
    <mergeCell ref="AA61:AC61"/>
    <mergeCell ref="AM61:AO61"/>
    <mergeCell ref="AA43:AC44"/>
    <mergeCell ref="AM43:AO44"/>
    <mergeCell ref="AA45:AC45"/>
    <mergeCell ref="AM45:AO45"/>
    <mergeCell ref="AA47:AC48"/>
    <mergeCell ref="AM47:AO48"/>
    <mergeCell ref="AA49:AC49"/>
    <mergeCell ref="AM49:AO49"/>
    <mergeCell ref="AA51:AC52"/>
    <mergeCell ref="AM51:AO52"/>
    <mergeCell ref="AA32:AC32"/>
    <mergeCell ref="AM32:AO32"/>
    <mergeCell ref="AA34:AC35"/>
    <mergeCell ref="AM34:AO35"/>
    <mergeCell ref="AA36:AC36"/>
    <mergeCell ref="AM36:AO36"/>
    <mergeCell ref="AA38:AC39"/>
    <mergeCell ref="AM38:AO39"/>
    <mergeCell ref="AA40:AC40"/>
    <mergeCell ref="AM40:AO40"/>
    <mergeCell ref="AA22:AC23"/>
    <mergeCell ref="AM22:AO23"/>
    <mergeCell ref="AA24:AC24"/>
    <mergeCell ref="AM24:AO24"/>
    <mergeCell ref="AA26:AC27"/>
    <mergeCell ref="AM26:AO27"/>
    <mergeCell ref="AA28:AC28"/>
    <mergeCell ref="AM28:AO28"/>
    <mergeCell ref="AA30:AC31"/>
    <mergeCell ref="AM30:AO31"/>
    <mergeCell ref="AM11:AO11"/>
    <mergeCell ref="AA13:AC14"/>
    <mergeCell ref="AM13:AO14"/>
    <mergeCell ref="AA15:AC15"/>
    <mergeCell ref="AM15:AO15"/>
    <mergeCell ref="AA17:AC18"/>
    <mergeCell ref="AM17:AO18"/>
    <mergeCell ref="AA19:AC19"/>
    <mergeCell ref="AM19:AO19"/>
    <mergeCell ref="AA11:AC11"/>
    <mergeCell ref="AA1:AC2"/>
    <mergeCell ref="AM1:AO2"/>
    <mergeCell ref="AA3:AC3"/>
    <mergeCell ref="AM3:AO3"/>
    <mergeCell ref="AA5:AC6"/>
    <mergeCell ref="AM5:AO6"/>
    <mergeCell ref="AA7:AC7"/>
    <mergeCell ref="AM7:AO7"/>
    <mergeCell ref="AA9:AC10"/>
    <mergeCell ref="AM9:AO10"/>
    <mergeCell ref="S17:T17"/>
    <mergeCell ref="S18:T18"/>
    <mergeCell ref="W10:X10"/>
    <mergeCell ref="S11:T11"/>
    <mergeCell ref="U11:V11"/>
    <mergeCell ref="W11:X11"/>
    <mergeCell ref="U18:V18"/>
    <mergeCell ref="W18:X18"/>
    <mergeCell ref="S13:T13"/>
    <mergeCell ref="W13:X13"/>
    <mergeCell ref="U13:V13"/>
    <mergeCell ref="W15:X15"/>
    <mergeCell ref="U17:V17"/>
    <mergeCell ref="W17:X17"/>
    <mergeCell ref="W16:X16"/>
    <mergeCell ref="W12:X12"/>
    <mergeCell ref="O19:P19"/>
    <mergeCell ref="M21:P21"/>
    <mergeCell ref="M20:N20"/>
    <mergeCell ref="O20:P20"/>
    <mergeCell ref="Q20:R20"/>
    <mergeCell ref="M24:N24"/>
    <mergeCell ref="O24:P24"/>
    <mergeCell ref="O23:P23"/>
    <mergeCell ref="W30:X30"/>
    <mergeCell ref="U19:V19"/>
    <mergeCell ref="W19:X19"/>
    <mergeCell ref="S28:V28"/>
    <mergeCell ref="U20:V20"/>
    <mergeCell ref="W20:X20"/>
    <mergeCell ref="S23:T23"/>
    <mergeCell ref="U23:V23"/>
    <mergeCell ref="U30:V30"/>
    <mergeCell ref="W29:X29"/>
    <mergeCell ref="W28:X28"/>
    <mergeCell ref="S25:T25"/>
    <mergeCell ref="S24:T24"/>
    <mergeCell ref="A11:B11"/>
    <mergeCell ref="C11:D11"/>
    <mergeCell ref="G10:H10"/>
    <mergeCell ref="G11:H11"/>
    <mergeCell ref="I11:J11"/>
    <mergeCell ref="K11:L11"/>
    <mergeCell ref="O10:P10"/>
    <mergeCell ref="Q10:R10"/>
    <mergeCell ref="I29:J29"/>
    <mergeCell ref="K29:L29"/>
    <mergeCell ref="G29:H29"/>
    <mergeCell ref="A29:B29"/>
    <mergeCell ref="E28:F28"/>
    <mergeCell ref="A19:B19"/>
    <mergeCell ref="C19:D19"/>
    <mergeCell ref="E19:F19"/>
    <mergeCell ref="A23:B23"/>
    <mergeCell ref="C23:D23"/>
    <mergeCell ref="E23:F23"/>
    <mergeCell ref="K24:L24"/>
    <mergeCell ref="A24:B24"/>
    <mergeCell ref="C24:D24"/>
    <mergeCell ref="K25:L25"/>
    <mergeCell ref="A22:B22"/>
    <mergeCell ref="A43:B43"/>
    <mergeCell ref="G43:H43"/>
    <mergeCell ref="K45:L45"/>
    <mergeCell ref="U43:V43"/>
    <mergeCell ref="K47:L47"/>
    <mergeCell ref="A45:D45"/>
    <mergeCell ref="M42:N42"/>
    <mergeCell ref="O42:P42"/>
    <mergeCell ref="M46:N46"/>
    <mergeCell ref="O46:P46"/>
    <mergeCell ref="Q46:R46"/>
    <mergeCell ref="M47:N47"/>
    <mergeCell ref="O47:P47"/>
    <mergeCell ref="Q47:R47"/>
    <mergeCell ref="S45:V45"/>
    <mergeCell ref="K43:L43"/>
    <mergeCell ref="E45:F45"/>
    <mergeCell ref="K44:L44"/>
    <mergeCell ref="I42:J42"/>
    <mergeCell ref="U47:V47"/>
    <mergeCell ref="E25:F25"/>
    <mergeCell ref="E27:F27"/>
    <mergeCell ref="E21:F21"/>
    <mergeCell ref="G23:H23"/>
    <mergeCell ref="G33:J33"/>
    <mergeCell ref="G36:H36"/>
    <mergeCell ref="E24:F24"/>
    <mergeCell ref="G24:H24"/>
    <mergeCell ref="I24:J24"/>
    <mergeCell ref="E36:F36"/>
    <mergeCell ref="E34:F34"/>
    <mergeCell ref="E26:F26"/>
    <mergeCell ref="A30:B30"/>
    <mergeCell ref="C30:D30"/>
    <mergeCell ref="E30:F30"/>
    <mergeCell ref="G30:H30"/>
    <mergeCell ref="I30:J30"/>
    <mergeCell ref="I32:J32"/>
    <mergeCell ref="E33:F33"/>
    <mergeCell ref="A31:B31"/>
    <mergeCell ref="C31:D31"/>
    <mergeCell ref="E31:F31"/>
    <mergeCell ref="I31:J31"/>
    <mergeCell ref="G31:H31"/>
    <mergeCell ref="A32:B32"/>
    <mergeCell ref="E32:F32"/>
    <mergeCell ref="A33:D33"/>
    <mergeCell ref="S59:T59"/>
    <mergeCell ref="U59:V59"/>
    <mergeCell ref="O11:P11"/>
    <mergeCell ref="M11:N11"/>
    <mergeCell ref="U34:V34"/>
    <mergeCell ref="W34:X34"/>
    <mergeCell ref="U25:V25"/>
    <mergeCell ref="U37:V37"/>
    <mergeCell ref="S32:T32"/>
    <mergeCell ref="W27:X27"/>
    <mergeCell ref="S29:T29"/>
    <mergeCell ref="U55:V55"/>
    <mergeCell ref="W55:X55"/>
    <mergeCell ref="M54:N54"/>
    <mergeCell ref="O54:P54"/>
    <mergeCell ref="Q54:R54"/>
    <mergeCell ref="S54:T54"/>
    <mergeCell ref="U54:V54"/>
    <mergeCell ref="W54:X54"/>
    <mergeCell ref="M53:N53"/>
    <mergeCell ref="O53:P53"/>
    <mergeCell ref="Q53:R53"/>
    <mergeCell ref="W52:X52"/>
    <mergeCell ref="U58:V58"/>
    <mergeCell ref="S58:T58"/>
    <mergeCell ref="K51:L51"/>
    <mergeCell ref="K48:L48"/>
    <mergeCell ref="K49:L49"/>
    <mergeCell ref="E50:F50"/>
    <mergeCell ref="K50:L50"/>
    <mergeCell ref="A34:B34"/>
    <mergeCell ref="E39:F39"/>
    <mergeCell ref="E43:F43"/>
    <mergeCell ref="E40:F40"/>
    <mergeCell ref="M52:P52"/>
    <mergeCell ref="C43:D43"/>
    <mergeCell ref="S43:T43"/>
    <mergeCell ref="A41:B41"/>
    <mergeCell ref="C41:D41"/>
    <mergeCell ref="E41:F41"/>
    <mergeCell ref="A42:B42"/>
    <mergeCell ref="A44:B44"/>
    <mergeCell ref="C44:D44"/>
    <mergeCell ref="E44:F44"/>
    <mergeCell ref="C42:D42"/>
    <mergeCell ref="A54:B54"/>
    <mergeCell ref="S57:V57"/>
    <mergeCell ref="E42:F42"/>
    <mergeCell ref="U56:V56"/>
    <mergeCell ref="S51:V51"/>
    <mergeCell ref="G53:H53"/>
    <mergeCell ref="I53:J53"/>
    <mergeCell ref="K53:L53"/>
    <mergeCell ref="A53:B53"/>
    <mergeCell ref="A48:B48"/>
    <mergeCell ref="S53:T53"/>
    <mergeCell ref="K56:L56"/>
    <mergeCell ref="G49:J52"/>
    <mergeCell ref="K52:L52"/>
    <mergeCell ref="C53:D53"/>
    <mergeCell ref="C54:D54"/>
    <mergeCell ref="Q51:R51"/>
    <mergeCell ref="Q49:R49"/>
    <mergeCell ref="C48:D48"/>
    <mergeCell ref="E48:F48"/>
    <mergeCell ref="E51:F51"/>
    <mergeCell ref="O49:P49"/>
    <mergeCell ref="E55:F55"/>
    <mergeCell ref="C56:D56"/>
    <mergeCell ref="U49:V49"/>
    <mergeCell ref="I48:J48"/>
    <mergeCell ref="E53:F53"/>
    <mergeCell ref="E49:F49"/>
    <mergeCell ref="E54:F54"/>
    <mergeCell ref="S56:T56"/>
    <mergeCell ref="I43:J43"/>
    <mergeCell ref="G47:H47"/>
    <mergeCell ref="I47:J47"/>
    <mergeCell ref="G42:H42"/>
    <mergeCell ref="G54:H54"/>
    <mergeCell ref="I54:J54"/>
    <mergeCell ref="K54:L54"/>
    <mergeCell ref="G44:H44"/>
    <mergeCell ref="I44:J44"/>
    <mergeCell ref="G46:H46"/>
    <mergeCell ref="I46:J46"/>
    <mergeCell ref="K46:L46"/>
    <mergeCell ref="K42:L42"/>
    <mergeCell ref="S55:T55"/>
    <mergeCell ref="M48:N48"/>
    <mergeCell ref="O48:P48"/>
    <mergeCell ref="Q48:R48"/>
    <mergeCell ref="G45:J45"/>
    <mergeCell ref="S47:T47"/>
    <mergeCell ref="Q45:R45"/>
    <mergeCell ref="O43:P43"/>
    <mergeCell ref="A36:B36"/>
    <mergeCell ref="C36:D36"/>
    <mergeCell ref="E37:F37"/>
    <mergeCell ref="G41:H41"/>
    <mergeCell ref="I36:J36"/>
    <mergeCell ref="K36:L36"/>
    <mergeCell ref="I41:J41"/>
    <mergeCell ref="K41:L41"/>
    <mergeCell ref="A35:B35"/>
    <mergeCell ref="K37:L37"/>
    <mergeCell ref="E38:F38"/>
    <mergeCell ref="K40:L40"/>
    <mergeCell ref="K30:L30"/>
    <mergeCell ref="C34:D34"/>
    <mergeCell ref="C32:D32"/>
    <mergeCell ref="E35:F35"/>
    <mergeCell ref="K27:L27"/>
    <mergeCell ref="K28:L28"/>
    <mergeCell ref="K26:L26"/>
    <mergeCell ref="C29:D29"/>
    <mergeCell ref="E29:F29"/>
    <mergeCell ref="C35:D35"/>
    <mergeCell ref="K32:L32"/>
    <mergeCell ref="K33:L33"/>
    <mergeCell ref="K35:L35"/>
    <mergeCell ref="K34:L34"/>
    <mergeCell ref="I35:J35"/>
    <mergeCell ref="G32:H32"/>
    <mergeCell ref="G34:H34"/>
    <mergeCell ref="I34:J34"/>
    <mergeCell ref="G35:H35"/>
    <mergeCell ref="K31:L31"/>
    <mergeCell ref="C22:D22"/>
    <mergeCell ref="E22:F22"/>
    <mergeCell ref="G22:H22"/>
    <mergeCell ref="I22:J22"/>
    <mergeCell ref="K22:L22"/>
    <mergeCell ref="G21:J21"/>
    <mergeCell ref="A21:D21"/>
    <mergeCell ref="K23:L23"/>
    <mergeCell ref="I23:J23"/>
    <mergeCell ref="K21:L21"/>
    <mergeCell ref="A20:B20"/>
    <mergeCell ref="C20:D20"/>
    <mergeCell ref="E20:F20"/>
    <mergeCell ref="G20:H20"/>
    <mergeCell ref="I20:J20"/>
    <mergeCell ref="K20:L20"/>
    <mergeCell ref="A17:B17"/>
    <mergeCell ref="C17:D17"/>
    <mergeCell ref="E17:F17"/>
    <mergeCell ref="G19:H19"/>
    <mergeCell ref="I19:J19"/>
    <mergeCell ref="A18:B18"/>
    <mergeCell ref="C18:D18"/>
    <mergeCell ref="E18:F18"/>
    <mergeCell ref="A12:B12"/>
    <mergeCell ref="C12:D12"/>
    <mergeCell ref="E12:F12"/>
    <mergeCell ref="G12:H12"/>
    <mergeCell ref="I12:J12"/>
    <mergeCell ref="K12:L12"/>
    <mergeCell ref="E15:F15"/>
    <mergeCell ref="G17:H17"/>
    <mergeCell ref="I17:J17"/>
    <mergeCell ref="K17:L17"/>
    <mergeCell ref="E16:F16"/>
    <mergeCell ref="G13:J16"/>
    <mergeCell ref="K16:L16"/>
    <mergeCell ref="A5:B5"/>
    <mergeCell ref="C5:D5"/>
    <mergeCell ref="E5:F5"/>
    <mergeCell ref="G7:H7"/>
    <mergeCell ref="I7:J7"/>
    <mergeCell ref="K7:L7"/>
    <mergeCell ref="A6:B6"/>
    <mergeCell ref="C6:D6"/>
    <mergeCell ref="E6:F6"/>
    <mergeCell ref="A7:B7"/>
    <mergeCell ref="C7:D7"/>
    <mergeCell ref="A10:B10"/>
    <mergeCell ref="C10:D10"/>
    <mergeCell ref="E10:F10"/>
    <mergeCell ref="K9:L9"/>
    <mergeCell ref="A9:D9"/>
    <mergeCell ref="E7:F7"/>
    <mergeCell ref="A8:B8"/>
    <mergeCell ref="C8:D8"/>
    <mergeCell ref="E8:F8"/>
    <mergeCell ref="G9:J9"/>
    <mergeCell ref="I10:J10"/>
    <mergeCell ref="K10:L10"/>
    <mergeCell ref="W31:X31"/>
    <mergeCell ref="K2:L2"/>
    <mergeCell ref="E57:F57"/>
    <mergeCell ref="E11:F11"/>
    <mergeCell ref="E3:F3"/>
    <mergeCell ref="G5:H5"/>
    <mergeCell ref="I5:J5"/>
    <mergeCell ref="K5:L5"/>
    <mergeCell ref="E4:F4"/>
    <mergeCell ref="G6:H6"/>
    <mergeCell ref="I6:J6"/>
    <mergeCell ref="K6:L6"/>
    <mergeCell ref="G8:H8"/>
    <mergeCell ref="I8:J8"/>
    <mergeCell ref="K8:L8"/>
    <mergeCell ref="E9:F9"/>
    <mergeCell ref="E13:F13"/>
    <mergeCell ref="K13:L13"/>
    <mergeCell ref="E14:F14"/>
    <mergeCell ref="K14:L14"/>
    <mergeCell ref="G18:H18"/>
    <mergeCell ref="I18:J18"/>
    <mergeCell ref="K18:L18"/>
    <mergeCell ref="K19:L19"/>
    <mergeCell ref="W53:X53"/>
    <mergeCell ref="S21:V21"/>
    <mergeCell ref="W21:X21"/>
    <mergeCell ref="S22:T22"/>
    <mergeCell ref="U22:V22"/>
    <mergeCell ref="Q19:R19"/>
    <mergeCell ref="M18:N18"/>
    <mergeCell ref="O18:P18"/>
    <mergeCell ref="Q18:R18"/>
    <mergeCell ref="Q21:R21"/>
    <mergeCell ref="S49:T49"/>
    <mergeCell ref="W49:X49"/>
    <mergeCell ref="M51:P51"/>
    <mergeCell ref="S52:V52"/>
    <mergeCell ref="Q52:R52"/>
    <mergeCell ref="U53:V53"/>
    <mergeCell ref="S48:T48"/>
    <mergeCell ref="U48:V48"/>
    <mergeCell ref="W48:X48"/>
    <mergeCell ref="Q42:R42"/>
    <mergeCell ref="M45:P45"/>
    <mergeCell ref="W45:X45"/>
    <mergeCell ref="W35:X35"/>
    <mergeCell ref="U46:V46"/>
    <mergeCell ref="Q32:R32"/>
    <mergeCell ref="M34:N34"/>
    <mergeCell ref="M27:P27"/>
    <mergeCell ref="M28:P28"/>
    <mergeCell ref="Q43:R43"/>
    <mergeCell ref="S31:T31"/>
    <mergeCell ref="U31:V31"/>
    <mergeCell ref="S30:T30"/>
    <mergeCell ref="M31:N31"/>
    <mergeCell ref="O31:P31"/>
    <mergeCell ref="U32:V32"/>
    <mergeCell ref="Q34:R34"/>
    <mergeCell ref="O34:P34"/>
    <mergeCell ref="M35:N35"/>
    <mergeCell ref="O35:P35"/>
    <mergeCell ref="Q35:R35"/>
    <mergeCell ref="Q36:R36"/>
    <mergeCell ref="M37:N37"/>
    <mergeCell ref="Q37:R37"/>
    <mergeCell ref="O37:P37"/>
    <mergeCell ref="S37:T37"/>
    <mergeCell ref="M36:N36"/>
    <mergeCell ref="O36:P36"/>
    <mergeCell ref="S34:T34"/>
    <mergeCell ref="O1:P1"/>
    <mergeCell ref="M32:N32"/>
    <mergeCell ref="O32:P32"/>
    <mergeCell ref="Q3:R3"/>
    <mergeCell ref="W3:X3"/>
    <mergeCell ref="M6:N6"/>
    <mergeCell ref="O6:P6"/>
    <mergeCell ref="Q6:R6"/>
    <mergeCell ref="S6:T6"/>
    <mergeCell ref="U6:V6"/>
    <mergeCell ref="W6:X6"/>
    <mergeCell ref="M7:N7"/>
    <mergeCell ref="O7:P7"/>
    <mergeCell ref="Q7:R7"/>
    <mergeCell ref="S7:T7"/>
    <mergeCell ref="U7:V7"/>
    <mergeCell ref="W7:X7"/>
    <mergeCell ref="M30:N30"/>
    <mergeCell ref="O30:P30"/>
    <mergeCell ref="Q31:R31"/>
    <mergeCell ref="O25:P25"/>
    <mergeCell ref="Q16:R16"/>
    <mergeCell ref="M16:P16"/>
    <mergeCell ref="M23:N23"/>
    <mergeCell ref="W42:X42"/>
    <mergeCell ref="S36:T36"/>
    <mergeCell ref="S40:V40"/>
    <mergeCell ref="W41:X41"/>
    <mergeCell ref="W40:X40"/>
    <mergeCell ref="M25:N25"/>
    <mergeCell ref="U36:V36"/>
    <mergeCell ref="M1:N1"/>
    <mergeCell ref="Q1:R1"/>
    <mergeCell ref="S1:T1"/>
    <mergeCell ref="W1:X1"/>
    <mergeCell ref="M5:N5"/>
    <mergeCell ref="O5:P5"/>
    <mergeCell ref="Q5:R5"/>
    <mergeCell ref="S5:T5"/>
    <mergeCell ref="U5:V5"/>
    <mergeCell ref="W5:X5"/>
    <mergeCell ref="Q4:R4"/>
    <mergeCell ref="W4:X4"/>
    <mergeCell ref="U1:V1"/>
    <mergeCell ref="M3:P3"/>
    <mergeCell ref="S3:V3"/>
    <mergeCell ref="M4:P4"/>
    <mergeCell ref="S4:V4"/>
    <mergeCell ref="S33:V33"/>
    <mergeCell ref="W36:X36"/>
    <mergeCell ref="W37:X37"/>
    <mergeCell ref="M44:N44"/>
    <mergeCell ref="O44:P44"/>
    <mergeCell ref="M43:N43"/>
    <mergeCell ref="Q33:R33"/>
    <mergeCell ref="S41:T41"/>
    <mergeCell ref="S35:T35"/>
    <mergeCell ref="U35:V35"/>
    <mergeCell ref="U41:V41"/>
    <mergeCell ref="M41:N41"/>
    <mergeCell ref="O41:P41"/>
    <mergeCell ref="W33:X33"/>
    <mergeCell ref="Q40:R40"/>
    <mergeCell ref="M40:P40"/>
    <mergeCell ref="W43:X43"/>
    <mergeCell ref="S42:T42"/>
    <mergeCell ref="U42:V42"/>
    <mergeCell ref="S44:T44"/>
    <mergeCell ref="U44:V44"/>
    <mergeCell ref="W44:X44"/>
    <mergeCell ref="W39:X39"/>
    <mergeCell ref="Q41:R41"/>
    <mergeCell ref="S60:T60"/>
    <mergeCell ref="U60:V60"/>
    <mergeCell ref="W60:X60"/>
    <mergeCell ref="W58:X58"/>
    <mergeCell ref="W57:X57"/>
    <mergeCell ref="A58:B58"/>
    <mergeCell ref="A55:B55"/>
    <mergeCell ref="M58:N58"/>
    <mergeCell ref="O58:P58"/>
    <mergeCell ref="Q58:R58"/>
    <mergeCell ref="M59:N59"/>
    <mergeCell ref="M57:P57"/>
    <mergeCell ref="Q57:R57"/>
    <mergeCell ref="M56:N56"/>
    <mergeCell ref="O56:P56"/>
    <mergeCell ref="Q56:R56"/>
    <mergeCell ref="W59:X59"/>
    <mergeCell ref="W56:X56"/>
    <mergeCell ref="M55:N55"/>
    <mergeCell ref="C58:D58"/>
    <mergeCell ref="E58:F58"/>
    <mergeCell ref="K57:L57"/>
    <mergeCell ref="K58:L58"/>
    <mergeCell ref="E56:F56"/>
    <mergeCell ref="K60:L60"/>
    <mergeCell ref="K59:L59"/>
    <mergeCell ref="K55:L55"/>
    <mergeCell ref="I60:J60"/>
    <mergeCell ref="M60:N60"/>
    <mergeCell ref="O60:P60"/>
    <mergeCell ref="Q60:R60"/>
    <mergeCell ref="O59:P59"/>
    <mergeCell ref="Q59:R59"/>
    <mergeCell ref="I55:J55"/>
    <mergeCell ref="I56:J56"/>
    <mergeCell ref="O55:P55"/>
    <mergeCell ref="Q55:R55"/>
    <mergeCell ref="A57:D57"/>
    <mergeCell ref="A60:B60"/>
    <mergeCell ref="C55:D55"/>
    <mergeCell ref="C60:D60"/>
    <mergeCell ref="E60:F60"/>
    <mergeCell ref="G57:J57"/>
    <mergeCell ref="G60:H60"/>
    <mergeCell ref="A59:B59"/>
    <mergeCell ref="G55:H55"/>
    <mergeCell ref="G59:H59"/>
    <mergeCell ref="C59:D59"/>
    <mergeCell ref="E59:F59"/>
    <mergeCell ref="G58:H58"/>
    <mergeCell ref="I58:J58"/>
    <mergeCell ref="I59:J59"/>
    <mergeCell ref="A56:B56"/>
    <mergeCell ref="G56:H56"/>
    <mergeCell ref="W51:X51"/>
    <mergeCell ref="M49:N49"/>
    <mergeCell ref="M19:N19"/>
    <mergeCell ref="W24:X24"/>
    <mergeCell ref="S16:V16"/>
    <mergeCell ref="S19:T19"/>
    <mergeCell ref="S20:T20"/>
    <mergeCell ref="M17:N17"/>
    <mergeCell ref="O17:P17"/>
    <mergeCell ref="Q17:R17"/>
    <mergeCell ref="M22:N22"/>
    <mergeCell ref="O22:P22"/>
    <mergeCell ref="Q22:R22"/>
    <mergeCell ref="Q25:R25"/>
    <mergeCell ref="M29:N29"/>
    <mergeCell ref="O29:P29"/>
    <mergeCell ref="Q29:R29"/>
    <mergeCell ref="Q24:R24"/>
    <mergeCell ref="W47:X47"/>
    <mergeCell ref="S46:T46"/>
    <mergeCell ref="M33:P33"/>
    <mergeCell ref="Q44:R44"/>
    <mergeCell ref="W46:X46"/>
    <mergeCell ref="U24:V24"/>
    <mergeCell ref="W8:X8"/>
    <mergeCell ref="Q8:R8"/>
    <mergeCell ref="S9:V9"/>
    <mergeCell ref="W9:X9"/>
    <mergeCell ref="O13:P13"/>
    <mergeCell ref="Q39:R39"/>
    <mergeCell ref="W23:X23"/>
    <mergeCell ref="W22:X22"/>
    <mergeCell ref="S10:T10"/>
    <mergeCell ref="U10:V10"/>
    <mergeCell ref="W25:X25"/>
    <mergeCell ref="U29:V29"/>
    <mergeCell ref="Q27:R27"/>
    <mergeCell ref="Q30:R30"/>
    <mergeCell ref="Q28:R28"/>
    <mergeCell ref="S39:V39"/>
    <mergeCell ref="S27:V27"/>
    <mergeCell ref="S15:V15"/>
    <mergeCell ref="M39:P39"/>
    <mergeCell ref="M15:P15"/>
    <mergeCell ref="M13:N13"/>
    <mergeCell ref="Q23:R23"/>
    <mergeCell ref="Q9:R9"/>
    <mergeCell ref="W32:X32"/>
    <mergeCell ref="M10:N10"/>
    <mergeCell ref="S12:T12"/>
    <mergeCell ref="U12:V12"/>
    <mergeCell ref="O8:P8"/>
    <mergeCell ref="Q11:R11"/>
    <mergeCell ref="O12:P12"/>
    <mergeCell ref="Q12:R12"/>
    <mergeCell ref="Q15:R15"/>
    <mergeCell ref="Q13:R13"/>
    <mergeCell ref="M9:P9"/>
    <mergeCell ref="M12:N12"/>
    <mergeCell ref="M8:N8"/>
    <mergeCell ref="S8:T8"/>
    <mergeCell ref="U8:V8"/>
    <mergeCell ref="G1:J4"/>
    <mergeCell ref="K4:L4"/>
    <mergeCell ref="A1:D4"/>
    <mergeCell ref="A13:D16"/>
    <mergeCell ref="A25:D28"/>
    <mergeCell ref="A37:D40"/>
    <mergeCell ref="A49:D52"/>
    <mergeCell ref="K15:L15"/>
    <mergeCell ref="K3:L3"/>
    <mergeCell ref="K39:L39"/>
    <mergeCell ref="K38:L38"/>
    <mergeCell ref="G25:J28"/>
    <mergeCell ref="G37:J40"/>
    <mergeCell ref="A46:B46"/>
    <mergeCell ref="C46:D46"/>
    <mergeCell ref="E46:F46"/>
    <mergeCell ref="A47:B47"/>
    <mergeCell ref="E1:F1"/>
    <mergeCell ref="K1:L1"/>
    <mergeCell ref="E2:F2"/>
    <mergeCell ref="G48:H48"/>
    <mergeCell ref="C47:D47"/>
    <mergeCell ref="E47:F47"/>
    <mergeCell ref="E52:F52"/>
  </mergeCells>
  <phoneticPr fontId="1" type="noConversion"/>
  <pageMargins left="0.25" right="0.25" top="0.75" bottom="0.75" header="0.3" footer="0.3"/>
  <pageSetup paperSize="9" scale="53" fitToWidth="0" orientation="portrait" horizontalDpi="4294967293" r:id="rId1"/>
  <colBreaks count="2" manualBreakCount="2">
    <brk id="12" max="61" man="1"/>
    <brk id="25" max="61"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2"/>
  <sheetViews>
    <sheetView view="pageBreakPreview" topLeftCell="L1" zoomScale="85" zoomScaleNormal="85" zoomScaleSheetLayoutView="85" workbookViewId="0">
      <selection activeCell="M14" sqref="M14:P14"/>
    </sheetView>
  </sheetViews>
  <sheetFormatPr defaultRowHeight="16.5"/>
  <cols>
    <col min="1" max="1" width="2.875" style="1" customWidth="1"/>
    <col min="2" max="2" width="5.25" style="1" bestFit="1" customWidth="1"/>
    <col min="3" max="3" width="7.125" style="1" bestFit="1" customWidth="1"/>
    <col min="4" max="4" width="5.875" style="1" bestFit="1" customWidth="1"/>
    <col min="5" max="5" width="5.25" style="1" bestFit="1" customWidth="1"/>
    <col min="6" max="6" width="31" style="1" customWidth="1"/>
    <col min="7" max="7" width="9.25" style="1" customWidth="1"/>
    <col min="8" max="8" width="9.75" style="1" customWidth="1"/>
    <col min="9" max="9" width="6.875" style="1" bestFit="1" customWidth="1"/>
    <col min="10" max="10" width="22.875" style="1" customWidth="1"/>
    <col min="11" max="11" width="18" style="1" customWidth="1"/>
    <col min="12" max="12" width="8" style="1" customWidth="1"/>
    <col min="13" max="13" width="15.125" style="1" customWidth="1"/>
    <col min="14" max="14" width="32.125" style="1" customWidth="1"/>
    <col min="15" max="15" width="34.25" style="1" customWidth="1"/>
    <col min="16" max="16" width="11.75" style="1" customWidth="1"/>
    <col min="17" max="16384" width="9" style="1"/>
  </cols>
  <sheetData>
    <row r="1" spans="1:17" ht="34.5">
      <c r="B1" s="9" t="s">
        <v>1</v>
      </c>
      <c r="C1" s="9" t="s">
        <v>52</v>
      </c>
      <c r="D1" s="9" t="s">
        <v>2</v>
      </c>
      <c r="E1" s="9" t="s">
        <v>4</v>
      </c>
      <c r="F1" s="11" t="s">
        <v>5</v>
      </c>
      <c r="G1" s="18" t="s">
        <v>41</v>
      </c>
      <c r="H1" s="11" t="s">
        <v>42</v>
      </c>
      <c r="I1" s="9" t="s">
        <v>6</v>
      </c>
      <c r="J1" s="9" t="s">
        <v>53</v>
      </c>
      <c r="K1" s="10" t="s">
        <v>44</v>
      </c>
      <c r="L1" s="9" t="s">
        <v>3</v>
      </c>
      <c r="M1" s="10" t="s">
        <v>54</v>
      </c>
      <c r="N1" s="18" t="s">
        <v>46</v>
      </c>
      <c r="O1" s="18" t="s">
        <v>47</v>
      </c>
      <c r="P1" s="18" t="s">
        <v>48</v>
      </c>
    </row>
    <row r="2" spans="1:17" ht="18" customHeight="1">
      <c r="A2" s="2"/>
      <c r="B2" s="6" t="s">
        <v>8</v>
      </c>
      <c r="C2" s="19" t="s">
        <v>626</v>
      </c>
      <c r="D2" s="4">
        <v>31</v>
      </c>
      <c r="E2" s="7">
        <v>174</v>
      </c>
      <c r="F2" s="7" t="s">
        <v>627</v>
      </c>
      <c r="G2" s="7" t="s">
        <v>10</v>
      </c>
      <c r="H2" s="7" t="s">
        <v>10</v>
      </c>
      <c r="I2" s="7" t="s">
        <v>37</v>
      </c>
      <c r="J2" s="7" t="s">
        <v>10</v>
      </c>
      <c r="K2" s="7" t="s">
        <v>9</v>
      </c>
      <c r="L2" s="7" t="s">
        <v>29</v>
      </c>
      <c r="M2" s="7" t="s">
        <v>10</v>
      </c>
      <c r="N2" s="28" t="s">
        <v>628</v>
      </c>
      <c r="O2" s="7" t="s">
        <v>629</v>
      </c>
      <c r="P2" s="7" t="s">
        <v>630</v>
      </c>
    </row>
    <row r="3" spans="1:17" ht="17.25">
      <c r="A3" s="2"/>
      <c r="B3" s="6" t="s">
        <v>8</v>
      </c>
      <c r="C3" s="19" t="s">
        <v>1233</v>
      </c>
      <c r="D3" s="4">
        <v>34</v>
      </c>
      <c r="E3" s="7">
        <v>167</v>
      </c>
      <c r="F3" s="7" t="s">
        <v>1234</v>
      </c>
      <c r="G3" s="7" t="s">
        <v>459</v>
      </c>
      <c r="H3" s="7" t="s">
        <v>10</v>
      </c>
      <c r="I3" s="7" t="s">
        <v>66</v>
      </c>
      <c r="J3" s="7" t="s">
        <v>10</v>
      </c>
      <c r="K3" s="7" t="s">
        <v>20</v>
      </c>
      <c r="L3" s="7" t="s">
        <v>10</v>
      </c>
      <c r="M3" s="7" t="s">
        <v>10</v>
      </c>
      <c r="N3" s="7" t="s">
        <v>1235</v>
      </c>
      <c r="O3" s="7" t="s">
        <v>1236</v>
      </c>
      <c r="P3" s="7" t="s">
        <v>1237</v>
      </c>
    </row>
    <row r="4" spans="1:17" ht="17.25">
      <c r="A4" s="2"/>
      <c r="B4" s="6" t="s">
        <v>8</v>
      </c>
      <c r="C4" s="19" t="s">
        <v>1065</v>
      </c>
      <c r="D4" s="4">
        <v>33</v>
      </c>
      <c r="E4" s="7">
        <v>168</v>
      </c>
      <c r="F4" s="7" t="s">
        <v>1067</v>
      </c>
      <c r="G4" s="7" t="s">
        <v>767</v>
      </c>
      <c r="H4" s="7" t="s">
        <v>21</v>
      </c>
      <c r="I4" s="7" t="s">
        <v>66</v>
      </c>
      <c r="J4" s="7" t="s">
        <v>10</v>
      </c>
      <c r="K4" s="7" t="s">
        <v>9</v>
      </c>
      <c r="L4" s="7" t="s">
        <v>10</v>
      </c>
      <c r="M4" s="7" t="s">
        <v>10</v>
      </c>
      <c r="N4" s="7" t="s">
        <v>1698</v>
      </c>
      <c r="O4" s="7" t="s">
        <v>1699</v>
      </c>
      <c r="P4" s="7">
        <v>0</v>
      </c>
    </row>
    <row r="5" spans="1:17" ht="16.5" customHeight="1">
      <c r="A5" s="2"/>
      <c r="B5" s="6" t="s">
        <v>8</v>
      </c>
      <c r="C5" s="19" t="s">
        <v>1939</v>
      </c>
      <c r="D5" s="4">
        <v>36</v>
      </c>
      <c r="E5" s="7">
        <v>174</v>
      </c>
      <c r="F5" s="7" t="s">
        <v>1940</v>
      </c>
      <c r="G5" s="7" t="s">
        <v>25</v>
      </c>
      <c r="H5" s="7" t="s">
        <v>22</v>
      </c>
      <c r="I5" s="7" t="s">
        <v>19</v>
      </c>
      <c r="J5" s="7" t="s">
        <v>10</v>
      </c>
      <c r="K5" s="7" t="s">
        <v>9</v>
      </c>
      <c r="L5" s="7" t="s">
        <v>29</v>
      </c>
      <c r="M5" s="7" t="s">
        <v>10</v>
      </c>
      <c r="N5" s="28" t="s">
        <v>1941</v>
      </c>
      <c r="O5" s="7" t="s">
        <v>1942</v>
      </c>
      <c r="P5" s="7">
        <v>0</v>
      </c>
    </row>
    <row r="6" spans="1:17" ht="17.25">
      <c r="A6" s="2"/>
      <c r="B6" s="6" t="s">
        <v>8</v>
      </c>
      <c r="C6" s="19" t="s">
        <v>1861</v>
      </c>
      <c r="D6" s="4">
        <v>30</v>
      </c>
      <c r="E6" s="7">
        <v>170</v>
      </c>
      <c r="F6" s="7" t="s">
        <v>1862</v>
      </c>
      <c r="G6" s="7" t="s">
        <v>62</v>
      </c>
      <c r="H6" s="7" t="s">
        <v>10</v>
      </c>
      <c r="I6" s="7" t="s">
        <v>37</v>
      </c>
      <c r="J6" s="7" t="s">
        <v>10</v>
      </c>
      <c r="K6" s="7" t="s">
        <v>9</v>
      </c>
      <c r="L6" s="7" t="s">
        <v>10</v>
      </c>
      <c r="M6" s="7" t="s">
        <v>10</v>
      </c>
      <c r="N6" s="7" t="s">
        <v>1863</v>
      </c>
      <c r="O6" s="7">
        <v>0</v>
      </c>
      <c r="P6" s="7">
        <v>0</v>
      </c>
    </row>
    <row r="7" spans="1:17" ht="17.25">
      <c r="A7" s="2"/>
      <c r="B7" s="8" t="s">
        <v>14</v>
      </c>
      <c r="C7" s="19" t="s">
        <v>1654</v>
      </c>
      <c r="D7" s="4">
        <v>35</v>
      </c>
      <c r="E7" s="7">
        <v>160</v>
      </c>
      <c r="F7" s="7" t="s">
        <v>1655</v>
      </c>
      <c r="G7" s="7" t="s">
        <v>36</v>
      </c>
      <c r="H7" s="7" t="s">
        <v>15</v>
      </c>
      <c r="I7" s="7" t="s">
        <v>76</v>
      </c>
      <c r="J7" s="7" t="s">
        <v>10</v>
      </c>
      <c r="K7" s="7" t="s">
        <v>9</v>
      </c>
      <c r="L7" s="7" t="s">
        <v>29</v>
      </c>
      <c r="M7" s="7" t="s">
        <v>73</v>
      </c>
      <c r="N7" s="7" t="s">
        <v>1404</v>
      </c>
      <c r="O7" s="7" t="s">
        <v>1700</v>
      </c>
      <c r="P7" s="7">
        <v>0</v>
      </c>
    </row>
    <row r="8" spans="1:17" ht="18" customHeight="1">
      <c r="A8" s="2"/>
      <c r="B8" s="8" t="s">
        <v>14</v>
      </c>
      <c r="C8" s="19" t="s">
        <v>1943</v>
      </c>
      <c r="D8" s="4">
        <v>31</v>
      </c>
      <c r="E8" s="7">
        <v>153</v>
      </c>
      <c r="F8" s="7" t="s">
        <v>1944</v>
      </c>
      <c r="G8" s="7" t="s">
        <v>462</v>
      </c>
      <c r="H8" s="7" t="s">
        <v>55</v>
      </c>
      <c r="I8" s="7" t="s">
        <v>28</v>
      </c>
      <c r="J8" s="7" t="s">
        <v>10</v>
      </c>
      <c r="K8" s="7" t="s">
        <v>9</v>
      </c>
      <c r="L8" s="7" t="s">
        <v>10</v>
      </c>
      <c r="M8" s="7" t="s">
        <v>1946</v>
      </c>
      <c r="N8" s="28" t="s">
        <v>1945</v>
      </c>
      <c r="O8" s="7">
        <v>0</v>
      </c>
      <c r="P8" s="7">
        <v>0</v>
      </c>
    </row>
    <row r="9" spans="1:17" ht="17.25">
      <c r="A9" s="2"/>
      <c r="B9" s="8" t="s">
        <v>14</v>
      </c>
      <c r="C9" s="19" t="s">
        <v>112</v>
      </c>
      <c r="D9" s="4">
        <v>33</v>
      </c>
      <c r="E9" s="7">
        <v>158</v>
      </c>
      <c r="F9" s="7" t="s">
        <v>113</v>
      </c>
      <c r="G9" s="7" t="s">
        <v>36</v>
      </c>
      <c r="H9" s="7" t="s">
        <v>458</v>
      </c>
      <c r="I9" s="7" t="s">
        <v>28</v>
      </c>
      <c r="J9" s="7" t="s">
        <v>114</v>
      </c>
      <c r="K9" s="7" t="s">
        <v>9</v>
      </c>
      <c r="L9" s="7" t="s">
        <v>29</v>
      </c>
      <c r="M9" s="7" t="s">
        <v>11</v>
      </c>
      <c r="N9" s="7" t="s">
        <v>115</v>
      </c>
      <c r="O9" s="7" t="s">
        <v>116</v>
      </c>
      <c r="P9" s="7">
        <v>0</v>
      </c>
    </row>
    <row r="10" spans="1:17" ht="17.25">
      <c r="A10" s="2"/>
      <c r="B10" s="8" t="s">
        <v>14</v>
      </c>
      <c r="C10" s="19" t="s">
        <v>1652</v>
      </c>
      <c r="D10" s="4">
        <v>26</v>
      </c>
      <c r="E10" s="7">
        <v>168</v>
      </c>
      <c r="F10" s="7" t="s">
        <v>1653</v>
      </c>
      <c r="G10" s="7" t="s">
        <v>62</v>
      </c>
      <c r="H10" s="7" t="s">
        <v>93</v>
      </c>
      <c r="I10" s="7" t="s">
        <v>12</v>
      </c>
      <c r="J10" s="7" t="s">
        <v>10</v>
      </c>
      <c r="K10" s="7" t="s">
        <v>9</v>
      </c>
      <c r="L10" s="7" t="s">
        <v>29</v>
      </c>
      <c r="M10" s="7" t="s">
        <v>646</v>
      </c>
      <c r="N10" s="7" t="s">
        <v>1696</v>
      </c>
      <c r="O10" s="7" t="s">
        <v>1697</v>
      </c>
      <c r="P10" s="7">
        <v>0</v>
      </c>
    </row>
    <row r="11" spans="1:17" ht="17.25">
      <c r="A11" s="2"/>
      <c r="B11" s="8" t="s">
        <v>14</v>
      </c>
      <c r="C11" s="19" t="s">
        <v>595</v>
      </c>
      <c r="D11" s="4">
        <v>33</v>
      </c>
      <c r="E11" s="7">
        <v>175</v>
      </c>
      <c r="F11" s="7" t="s">
        <v>2077</v>
      </c>
      <c r="G11" s="7" t="s">
        <v>465</v>
      </c>
      <c r="H11" s="7" t="s">
        <v>458</v>
      </c>
      <c r="I11" s="7" t="s">
        <v>12</v>
      </c>
      <c r="J11" s="7" t="s">
        <v>10</v>
      </c>
      <c r="K11" s="7" t="s">
        <v>31</v>
      </c>
      <c r="L11" s="7" t="s">
        <v>10</v>
      </c>
      <c r="M11" s="7" t="s">
        <v>10</v>
      </c>
      <c r="N11" s="7" t="s">
        <v>2078</v>
      </c>
      <c r="O11" s="7" t="s">
        <v>2079</v>
      </c>
      <c r="P11" s="7">
        <v>0</v>
      </c>
    </row>
    <row r="12" spans="1:17" ht="17.25">
      <c r="A12" s="67"/>
      <c r="B12" s="9" t="s">
        <v>1</v>
      </c>
      <c r="C12" s="9" t="s">
        <v>0</v>
      </c>
      <c r="D12" s="123" t="s">
        <v>16</v>
      </c>
      <c r="E12" s="123"/>
      <c r="F12" s="123"/>
      <c r="G12" s="123"/>
      <c r="H12" s="123"/>
      <c r="I12" s="123"/>
      <c r="J12" s="123"/>
      <c r="K12" s="123"/>
      <c r="L12" s="123"/>
      <c r="M12" s="125" t="s">
        <v>26</v>
      </c>
      <c r="N12" s="125"/>
      <c r="O12" s="125"/>
      <c r="P12" s="125"/>
    </row>
    <row r="13" spans="1:17" ht="18" customHeight="1">
      <c r="B13" s="6" t="s">
        <v>7</v>
      </c>
      <c r="C13" s="4" t="str">
        <f>C2</f>
        <v>박준형</v>
      </c>
      <c r="D13" s="124" t="str">
        <f>'18L'!N2</f>
        <v>밝게 웃으며 상대를 배려 하는 사람</v>
      </c>
      <c r="E13" s="124"/>
      <c r="F13" s="124"/>
      <c r="G13" s="124"/>
      <c r="H13" s="124"/>
      <c r="I13" s="124"/>
      <c r="J13" s="124"/>
      <c r="K13" s="124"/>
      <c r="L13" s="124"/>
      <c r="M13" s="120" t="str">
        <f>O2</f>
        <v>모자 안경이 잘 어울리는사람</v>
      </c>
      <c r="N13" s="121"/>
      <c r="O13" s="121"/>
      <c r="P13" s="122"/>
      <c r="Q13" s="1" t="s">
        <v>2010</v>
      </c>
    </row>
    <row r="14" spans="1:17" ht="54" customHeight="1">
      <c r="B14" s="6" t="s">
        <v>7</v>
      </c>
      <c r="C14" s="4" t="str">
        <f t="shared" ref="C14:C20" si="0">C3</f>
        <v>강병곤</v>
      </c>
      <c r="D14" s="124" t="str">
        <f>'18L'!N3</f>
        <v>첫인상은 조용하고 T같고 차분하지만 친해지면 재밋는 부분도 어느정도 있고 바운더리에 들어오기 까지 경계를 많이 하지만 들어오고 난 이후로는 무장해제 되는 사람입니다
키가 작아서 그런지 동안인 편이고 생활패턴은 헬스장 직장 학원 간혹 주말에 혼자 재즈공연 보러 혼자 외출해요</v>
      </c>
      <c r="E14" s="124"/>
      <c r="F14" s="124"/>
      <c r="G14" s="124"/>
      <c r="H14" s="124"/>
      <c r="I14" s="124"/>
      <c r="J14" s="124"/>
      <c r="K14" s="124"/>
      <c r="L14" s="124"/>
      <c r="M14" s="120" t="str">
        <f t="shared" ref="M14:M20" si="1">O3</f>
        <v>외적인 부분으로는 스트리머 금휘님 같은 스타일 성격은 긍정적이고 밝은 분</v>
      </c>
      <c r="N14" s="121"/>
      <c r="O14" s="121"/>
      <c r="P14" s="122"/>
      <c r="Q14" s="1" t="s">
        <v>2010</v>
      </c>
    </row>
    <row r="15" spans="1:17" ht="18" customHeight="1">
      <c r="B15" s="6" t="s">
        <v>7</v>
      </c>
      <c r="C15" s="4" t="str">
        <f t="shared" si="0"/>
        <v>박찬우</v>
      </c>
      <c r="D15" s="124" t="str">
        <f>'18L'!N4</f>
        <v>#성실함 #신중함 #안정감 #호기심 많은</v>
      </c>
      <c r="E15" s="124"/>
      <c r="F15" s="124"/>
      <c r="G15" s="124"/>
      <c r="H15" s="124"/>
      <c r="I15" s="124"/>
      <c r="J15" s="124"/>
      <c r="K15" s="124"/>
      <c r="L15" s="124"/>
      <c r="M15" s="120" t="str">
        <f t="shared" si="1"/>
        <v>#다정함 #긍정적 #정돈됨 #주관있는</v>
      </c>
      <c r="N15" s="121"/>
      <c r="O15" s="121"/>
      <c r="P15" s="122"/>
      <c r="Q15" s="1" t="s">
        <v>2011</v>
      </c>
    </row>
    <row r="16" spans="1:17" ht="18" customHeight="1">
      <c r="B16" s="6" t="s">
        <v>8</v>
      </c>
      <c r="C16" s="4" t="str">
        <f t="shared" si="0"/>
        <v>최준혁</v>
      </c>
      <c r="D16" s="124" t="str">
        <f>'18L'!N5</f>
        <v>책임감 강하고 활동적인 것을 좋아함. 
테토/에겐 반반</v>
      </c>
      <c r="E16" s="124"/>
      <c r="F16" s="124"/>
      <c r="G16" s="124"/>
      <c r="H16" s="124"/>
      <c r="I16" s="124"/>
      <c r="J16" s="124"/>
      <c r="K16" s="124"/>
      <c r="L16" s="124"/>
      <c r="M16" s="120" t="str">
        <f t="shared" si="1"/>
        <v>행동이 귀엽고 대화를 잘하는, 웃을 때 예쁘신 분</v>
      </c>
      <c r="N16" s="121"/>
      <c r="O16" s="121"/>
      <c r="P16" s="122"/>
      <c r="Q16" s="1" t="s">
        <v>2008</v>
      </c>
    </row>
    <row r="17" spans="2:17" ht="18" customHeight="1">
      <c r="B17" s="6" t="s">
        <v>8</v>
      </c>
      <c r="C17" s="4" t="str">
        <f t="shared" si="0"/>
        <v>이재형</v>
      </c>
      <c r="D17" s="124" t="str">
        <f>'18L'!N6</f>
        <v>도전적인 사람</v>
      </c>
      <c r="E17" s="124"/>
      <c r="F17" s="124"/>
      <c r="G17" s="124"/>
      <c r="H17" s="124"/>
      <c r="I17" s="124"/>
      <c r="J17" s="124"/>
      <c r="K17" s="124"/>
      <c r="L17" s="124"/>
      <c r="M17" s="120">
        <f t="shared" si="1"/>
        <v>0</v>
      </c>
      <c r="N17" s="121"/>
      <c r="O17" s="121"/>
      <c r="P17" s="122"/>
      <c r="Q17" s="1" t="s">
        <v>2009</v>
      </c>
    </row>
    <row r="18" spans="2:17" ht="18" customHeight="1">
      <c r="B18" s="8" t="s">
        <v>14</v>
      </c>
      <c r="C18" s="4" t="str">
        <f t="shared" si="0"/>
        <v>최정아</v>
      </c>
      <c r="D18" s="124" t="str">
        <f>N7</f>
        <v>밝고 긍정적</v>
      </c>
      <c r="E18" s="124"/>
      <c r="F18" s="124"/>
      <c r="G18" s="124"/>
      <c r="H18" s="124"/>
      <c r="I18" s="124"/>
      <c r="J18" s="124"/>
      <c r="K18" s="124"/>
      <c r="L18" s="124"/>
      <c r="M18" s="120" t="str">
        <f t="shared" si="1"/>
        <v>다정하신분</v>
      </c>
      <c r="N18" s="121"/>
      <c r="O18" s="121"/>
      <c r="P18" s="122"/>
      <c r="Q18" s="1" t="s">
        <v>2012</v>
      </c>
    </row>
    <row r="19" spans="2:17" ht="65.25" customHeight="1">
      <c r="B19" s="8" t="s">
        <v>14</v>
      </c>
      <c r="C19" s="4" t="str">
        <f t="shared" si="0"/>
        <v>최유미</v>
      </c>
      <c r="D19" s="124" t="str">
        <f>'18L'!N8</f>
        <v>항상 밝고 긍정적인 태도를 가지려고 노력하는 사람! 야구를 좋아해서 실제로 직관을 챙겨서 가기도 하고 무언가 만드는 걸 좋아해 공방 원데이 클래스도 참여하며 활동적인 것도 좋아하고 커피를 좋아해서 카페 투어도 다니기도 하며 내가 좋아하는 걸 꾸준히 이어가려고 하는 사람입니다.</v>
      </c>
      <c r="E19" s="124"/>
      <c r="F19" s="124"/>
      <c r="G19" s="124"/>
      <c r="H19" s="124"/>
      <c r="I19" s="124"/>
      <c r="J19" s="124"/>
      <c r="K19" s="124"/>
      <c r="L19" s="124"/>
      <c r="M19" s="120">
        <f t="shared" si="1"/>
        <v>0</v>
      </c>
      <c r="N19" s="121"/>
      <c r="O19" s="121"/>
      <c r="P19" s="122"/>
      <c r="Q19" s="1" t="s">
        <v>2013</v>
      </c>
    </row>
    <row r="20" spans="2:17" ht="17.25">
      <c r="B20" s="8" t="s">
        <v>14</v>
      </c>
      <c r="C20" s="4" t="str">
        <f t="shared" si="0"/>
        <v>조시연</v>
      </c>
      <c r="D20" s="124" t="str">
        <f>'18L'!N9</f>
        <v>따뜻하지만 야무지고 귀여운 사람 🙂</v>
      </c>
      <c r="E20" s="124"/>
      <c r="F20" s="124"/>
      <c r="G20" s="124"/>
      <c r="H20" s="124"/>
      <c r="I20" s="124"/>
      <c r="J20" s="124"/>
      <c r="K20" s="124"/>
      <c r="L20" s="124"/>
      <c r="M20" s="120" t="str">
        <f t="shared" si="1"/>
        <v>책임감 있고, 성실하며 안정적인 사람</v>
      </c>
      <c r="N20" s="121"/>
      <c r="O20" s="121"/>
      <c r="P20" s="122"/>
      <c r="Q20" s="1" t="s">
        <v>2014</v>
      </c>
    </row>
    <row r="21" spans="2:17" ht="18" customHeight="1">
      <c r="B21" s="8" t="s">
        <v>14</v>
      </c>
      <c r="C21" s="4" t="str">
        <f>C10</f>
        <v>박서영</v>
      </c>
      <c r="D21" s="124" t="str">
        <f>'18L'!N10</f>
        <v>밝고 웃음이 많은 사람입니다 ◡̈</v>
      </c>
      <c r="E21" s="124"/>
      <c r="F21" s="124"/>
      <c r="G21" s="124"/>
      <c r="H21" s="124"/>
      <c r="I21" s="124"/>
      <c r="J21" s="124"/>
      <c r="K21" s="124"/>
      <c r="L21" s="124"/>
      <c r="M21" s="120" t="str">
        <f>O10</f>
        <v>키 크고 얘기가 잘 통하며 예의바르고 다정다감한 사람</v>
      </c>
      <c r="N21" s="121"/>
      <c r="O21" s="121"/>
      <c r="P21" s="122"/>
      <c r="Q21" s="1" t="s">
        <v>2016</v>
      </c>
    </row>
    <row r="22" spans="2:17" ht="63.75" customHeight="1">
      <c r="B22" s="8" t="s">
        <v>14</v>
      </c>
      <c r="C22" s="4" t="str">
        <f>C11</f>
        <v>이상희</v>
      </c>
      <c r="D22" s="124" t="str">
        <f>'18L'!N11</f>
        <v>첫인상은 내향인이지만 시간이 지나면 금방 외향인이 됩니다. 챙겨줌을 잘하며 호감의 표시가 사소한 챙겨줌으로 나타납니다. 여행, 체험같은 활동적인 시간을 좋아하고 맛집 여행 좋아합니다. 감정 기복이 심하지 않아 잔잔하게 유지하지만 F라서 무심함에는 선운함을 크게 느끼어 다정한 사람, 표현을 잘해주는 사람을좋아합니다.</v>
      </c>
      <c r="E22" s="124"/>
      <c r="F22" s="124"/>
      <c r="G22" s="124"/>
      <c r="H22" s="124"/>
      <c r="I22" s="124"/>
      <c r="J22" s="124"/>
      <c r="K22" s="124"/>
      <c r="L22" s="124"/>
      <c r="M22" s="120" t="str">
        <f>O11</f>
        <v>비흡연자</v>
      </c>
      <c r="N22" s="121"/>
      <c r="O22" s="121"/>
      <c r="P22" s="122"/>
      <c r="Q22" s="1" t="s">
        <v>2015</v>
      </c>
    </row>
  </sheetData>
  <mergeCells count="22">
    <mergeCell ref="D21:L21"/>
    <mergeCell ref="M21:P21"/>
    <mergeCell ref="D22:L22"/>
    <mergeCell ref="M22:P22"/>
    <mergeCell ref="D18:L18"/>
    <mergeCell ref="M18:P18"/>
    <mergeCell ref="D19:L19"/>
    <mergeCell ref="M19:P19"/>
    <mergeCell ref="D20:L20"/>
    <mergeCell ref="M20:P20"/>
    <mergeCell ref="D15:L15"/>
    <mergeCell ref="M15:P15"/>
    <mergeCell ref="D16:L16"/>
    <mergeCell ref="M16:P16"/>
    <mergeCell ref="D17:L17"/>
    <mergeCell ref="M17:P17"/>
    <mergeCell ref="D12:L12"/>
    <mergeCell ref="M12:P12"/>
    <mergeCell ref="D13:L13"/>
    <mergeCell ref="M13:P13"/>
    <mergeCell ref="D14:L14"/>
    <mergeCell ref="M14:P14"/>
  </mergeCells>
  <phoneticPr fontId="1" type="noConversion"/>
  <pageMargins left="0.25" right="0.25" top="0.75" bottom="0.75" header="0.3" footer="0.3"/>
  <pageSetup paperSize="9" scale="59" fitToHeight="0" orientation="landscape"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61"/>
  <sheetViews>
    <sheetView view="pageBreakPreview" zoomScale="55" zoomScaleNormal="100" zoomScaleSheetLayoutView="55" workbookViewId="0">
      <selection activeCell="U8" sqref="U8:V8"/>
    </sheetView>
  </sheetViews>
  <sheetFormatPr defaultRowHeight="16.5"/>
  <cols>
    <col min="1" max="12" width="12.625" style="67" customWidth="1"/>
    <col min="13" max="24" width="12.625" style="1" customWidth="1"/>
    <col min="25" max="25" width="9.625" style="1" customWidth="1"/>
    <col min="26" max="26" width="6.75" style="1" customWidth="1"/>
    <col min="27" max="41" width="9" style="1"/>
    <col min="42" max="42" width="5.5" style="1" customWidth="1"/>
    <col min="43" max="16384" width="9" style="1"/>
  </cols>
  <sheetData>
    <row r="1" spans="1:41" ht="21.95" customHeight="1" thickBot="1">
      <c r="A1" s="126" t="str">
        <f>Q1</f>
        <v>스콘</v>
      </c>
      <c r="B1" s="127"/>
      <c r="C1" s="127"/>
      <c r="D1" s="128"/>
      <c r="E1" s="143" t="str">
        <f>O1</f>
        <v>ENFP</v>
      </c>
      <c r="F1" s="190"/>
      <c r="G1" s="126" t="str">
        <f>W1</f>
        <v>푸딩</v>
      </c>
      <c r="H1" s="127"/>
      <c r="I1" s="127"/>
      <c r="J1" s="128"/>
      <c r="K1" s="143" t="str">
        <f>U1</f>
        <v>ESFP</v>
      </c>
      <c r="L1" s="190"/>
      <c r="M1" s="180" t="str">
        <f>'18L'!C2</f>
        <v>박준형</v>
      </c>
      <c r="N1" s="171"/>
      <c r="O1" s="182" t="str">
        <f>'18L'!I2</f>
        <v>ENFP</v>
      </c>
      <c r="P1" s="183"/>
      <c r="Q1" s="154" t="s">
        <v>1455</v>
      </c>
      <c r="R1" s="155"/>
      <c r="S1" s="180" t="str">
        <f>'18L'!C7</f>
        <v>최정아</v>
      </c>
      <c r="T1" s="171"/>
      <c r="U1" s="162" t="str">
        <f>'18L'!I7</f>
        <v>ESFP</v>
      </c>
      <c r="V1" s="163"/>
      <c r="W1" s="152" t="s">
        <v>2329</v>
      </c>
      <c r="X1" s="153"/>
      <c r="AA1" s="192" t="str">
        <f>Q1</f>
        <v>스콘</v>
      </c>
      <c r="AB1" s="193"/>
      <c r="AC1" s="194"/>
      <c r="AD1" s="64"/>
      <c r="AE1" s="64"/>
      <c r="AF1" s="64"/>
      <c r="AG1" s="64"/>
      <c r="AH1" s="64"/>
      <c r="AI1" s="64"/>
      <c r="AJ1" s="60"/>
      <c r="AK1" s="64"/>
      <c r="AL1" s="59"/>
      <c r="AM1" s="192" t="str">
        <f>W1</f>
        <v>푸딩</v>
      </c>
      <c r="AN1" s="193"/>
      <c r="AO1" s="194"/>
    </row>
    <row r="2" spans="1:41" ht="21.95" customHeight="1" thickBot="1">
      <c r="A2" s="129"/>
      <c r="B2" s="130"/>
      <c r="C2" s="130"/>
      <c r="D2" s="131"/>
      <c r="E2" s="137">
        <f>M2</f>
        <v>31</v>
      </c>
      <c r="F2" s="139"/>
      <c r="G2" s="129"/>
      <c r="H2" s="130"/>
      <c r="I2" s="130"/>
      <c r="J2" s="131"/>
      <c r="K2" s="137">
        <f>S2</f>
        <v>35</v>
      </c>
      <c r="L2" s="139"/>
      <c r="M2" s="13">
        <f>'18L'!D2</f>
        <v>31</v>
      </c>
      <c r="N2" s="13">
        <f>'18L'!E2</f>
        <v>174</v>
      </c>
      <c r="O2" s="15" t="str">
        <f>'18L'!K2</f>
        <v>무교</v>
      </c>
      <c r="P2" s="15" t="str">
        <f>'18L'!L2</f>
        <v>동일</v>
      </c>
      <c r="Q2" s="65"/>
      <c r="R2" s="66" t="s">
        <v>2001</v>
      </c>
      <c r="S2" s="13">
        <f>'18L'!D7</f>
        <v>35</v>
      </c>
      <c r="T2" s="16">
        <f>'18L'!E7</f>
        <v>160</v>
      </c>
      <c r="U2" s="20" t="str">
        <f>'18L'!K7</f>
        <v>무교</v>
      </c>
      <c r="V2" s="20" t="str">
        <f>'18L'!L7</f>
        <v>동일</v>
      </c>
      <c r="W2" s="65"/>
      <c r="X2" s="66" t="s">
        <v>2001</v>
      </c>
      <c r="AA2" s="195"/>
      <c r="AB2" s="196"/>
      <c r="AC2" s="197"/>
      <c r="AD2" s="64"/>
      <c r="AE2" s="64"/>
      <c r="AF2" s="64"/>
      <c r="AG2" s="64"/>
      <c r="AH2" s="64"/>
      <c r="AI2" s="64"/>
      <c r="AJ2" s="60"/>
      <c r="AK2" s="64"/>
      <c r="AL2" s="59"/>
      <c r="AM2" s="195"/>
      <c r="AN2" s="196"/>
      <c r="AO2" s="197"/>
    </row>
    <row r="3" spans="1:41" ht="21.95" customHeight="1" thickBot="1">
      <c r="A3" s="129"/>
      <c r="B3" s="130"/>
      <c r="C3" s="130"/>
      <c r="D3" s="131"/>
      <c r="E3" s="137" t="str">
        <f>O2</f>
        <v>무교</v>
      </c>
      <c r="F3" s="139"/>
      <c r="G3" s="129"/>
      <c r="H3" s="130"/>
      <c r="I3" s="130"/>
      <c r="J3" s="131"/>
      <c r="K3" s="137" t="str">
        <f>U2</f>
        <v>무교</v>
      </c>
      <c r="L3" s="139"/>
      <c r="M3" s="181" t="str">
        <f>'18L'!F2</f>
        <v>패션마케터</v>
      </c>
      <c r="N3" s="168"/>
      <c r="O3" s="168"/>
      <c r="P3" s="169"/>
      <c r="Q3" s="152" t="str">
        <f>'18L'!G2</f>
        <v>무관</v>
      </c>
      <c r="R3" s="153"/>
      <c r="S3" s="165" t="str">
        <f>'18L'!F7</f>
        <v>삼성디스플레이 연구원</v>
      </c>
      <c r="T3" s="166"/>
      <c r="U3" s="166"/>
      <c r="V3" s="167"/>
      <c r="W3" s="152" t="str">
        <f>'18L'!G7</f>
        <v>31~38</v>
      </c>
      <c r="X3" s="153"/>
      <c r="AA3" s="198" t="str">
        <f>M1</f>
        <v>박준형</v>
      </c>
      <c r="AB3" s="199"/>
      <c r="AC3" s="200"/>
      <c r="AD3" s="68"/>
      <c r="AE3" s="68"/>
      <c r="AF3" s="68"/>
      <c r="AG3" s="68"/>
      <c r="AH3" s="68"/>
      <c r="AI3" s="68"/>
      <c r="AJ3" s="69"/>
      <c r="AK3" s="70"/>
      <c r="AL3" s="59"/>
      <c r="AM3" s="198" t="str">
        <f>S1</f>
        <v>최정아</v>
      </c>
      <c r="AN3" s="199"/>
      <c r="AO3" s="200"/>
    </row>
    <row r="4" spans="1:41" ht="21.95" customHeight="1" thickBot="1">
      <c r="A4" s="132"/>
      <c r="B4" s="133"/>
      <c r="C4" s="133"/>
      <c r="D4" s="134"/>
      <c r="E4" s="135" t="str">
        <f>R2</f>
        <v>I.A</v>
      </c>
      <c r="F4" s="149"/>
      <c r="G4" s="132"/>
      <c r="H4" s="133"/>
      <c r="I4" s="133"/>
      <c r="J4" s="134"/>
      <c r="K4" s="135" t="str">
        <f>X2</f>
        <v>I.A</v>
      </c>
      <c r="L4" s="149"/>
      <c r="M4" s="156" t="str">
        <f>'18L'!M2</f>
        <v>무관</v>
      </c>
      <c r="N4" s="157"/>
      <c r="O4" s="157"/>
      <c r="P4" s="158"/>
      <c r="Q4" s="141" t="str">
        <f>'18L'!H2</f>
        <v>무관</v>
      </c>
      <c r="R4" s="142"/>
      <c r="S4" s="156" t="str">
        <f>'18L'!M7</f>
        <v>자영업, 무관</v>
      </c>
      <c r="T4" s="157"/>
      <c r="U4" s="157"/>
      <c r="V4" s="158"/>
      <c r="W4" s="164" t="str">
        <f>'18L'!H7</f>
        <v>170~</v>
      </c>
      <c r="X4" s="179"/>
      <c r="Y4" s="58" t="str">
        <f>R2</f>
        <v>I.A</v>
      </c>
      <c r="AA4" s="60"/>
      <c r="AB4" s="60"/>
      <c r="AC4" s="60"/>
      <c r="AD4" s="60"/>
      <c r="AE4" s="60"/>
      <c r="AF4" s="60"/>
      <c r="AG4" s="60"/>
      <c r="AH4" s="60"/>
      <c r="AI4" s="60"/>
      <c r="AJ4" s="60"/>
      <c r="AK4" s="64"/>
      <c r="AL4" s="59"/>
      <c r="AM4" s="60"/>
      <c r="AN4" s="60"/>
      <c r="AO4" s="60"/>
    </row>
    <row r="5" spans="1:41" ht="21.95" customHeight="1">
      <c r="A5" s="188" t="str">
        <f>M5</f>
        <v>밝은 웃음</v>
      </c>
      <c r="B5" s="144"/>
      <c r="C5" s="144" t="str">
        <f>O5</f>
        <v>배려</v>
      </c>
      <c r="D5" s="144"/>
      <c r="E5" s="144"/>
      <c r="F5" s="145"/>
      <c r="G5" s="188" t="str">
        <f>S5</f>
        <v>밝은</v>
      </c>
      <c r="H5" s="144"/>
      <c r="I5" s="144" t="str">
        <f>U5</f>
        <v>긍정적</v>
      </c>
      <c r="J5" s="144"/>
      <c r="K5" s="144"/>
      <c r="L5" s="145"/>
      <c r="M5" s="140" t="s">
        <v>2170</v>
      </c>
      <c r="N5" s="141"/>
      <c r="O5" s="141" t="s">
        <v>2082</v>
      </c>
      <c r="P5" s="141"/>
      <c r="Q5" s="141"/>
      <c r="R5" s="142"/>
      <c r="S5" s="140" t="s">
        <v>2108</v>
      </c>
      <c r="T5" s="141"/>
      <c r="U5" s="141" t="s">
        <v>2138</v>
      </c>
      <c r="V5" s="141"/>
      <c r="W5" s="141"/>
      <c r="X5" s="142"/>
      <c r="Y5" s="58" t="str">
        <f>R14</f>
        <v>I.A</v>
      </c>
      <c r="AA5" s="192" t="str">
        <f>Q13</f>
        <v>소금빵</v>
      </c>
      <c r="AB5" s="193"/>
      <c r="AC5" s="194"/>
      <c r="AD5" s="64"/>
      <c r="AE5" s="64"/>
      <c r="AF5" s="64"/>
      <c r="AG5" s="64"/>
      <c r="AH5" s="64"/>
      <c r="AI5" s="64"/>
      <c r="AJ5" s="59"/>
      <c r="AK5" s="59"/>
      <c r="AL5" s="59"/>
      <c r="AM5" s="192" t="str">
        <f>W13</f>
        <v>피낭시에</v>
      </c>
      <c r="AN5" s="193"/>
      <c r="AO5" s="194"/>
    </row>
    <row r="6" spans="1:41" ht="21.95" customHeight="1">
      <c r="A6" s="150"/>
      <c r="B6" s="146"/>
      <c r="C6" s="146"/>
      <c r="D6" s="146"/>
      <c r="E6" s="146"/>
      <c r="F6" s="138"/>
      <c r="G6" s="150"/>
      <c r="H6" s="146"/>
      <c r="I6" s="146"/>
      <c r="J6" s="146"/>
      <c r="K6" s="146"/>
      <c r="L6" s="138"/>
      <c r="M6" s="140"/>
      <c r="N6" s="141"/>
      <c r="O6" s="141"/>
      <c r="P6" s="141"/>
      <c r="Q6" s="141"/>
      <c r="R6" s="142"/>
      <c r="S6" s="140"/>
      <c r="T6" s="141"/>
      <c r="U6" s="141"/>
      <c r="V6" s="141"/>
      <c r="W6" s="141"/>
      <c r="X6" s="142"/>
      <c r="Y6" s="58" t="str">
        <f>R26</f>
        <v>I.A</v>
      </c>
      <c r="AA6" s="195"/>
      <c r="AB6" s="196"/>
      <c r="AC6" s="197"/>
      <c r="AD6" s="64"/>
      <c r="AE6" s="64"/>
      <c r="AF6" s="64"/>
      <c r="AG6" s="64"/>
      <c r="AH6" s="64"/>
      <c r="AI6" s="64"/>
      <c r="AJ6" s="60"/>
      <c r="AK6" s="59"/>
      <c r="AL6" s="59"/>
      <c r="AM6" s="195"/>
      <c r="AN6" s="196"/>
      <c r="AO6" s="197"/>
    </row>
    <row r="7" spans="1:41" ht="21.95" customHeight="1" thickBot="1">
      <c r="A7" s="150"/>
      <c r="B7" s="146"/>
      <c r="C7" s="146"/>
      <c r="D7" s="146"/>
      <c r="E7" s="146"/>
      <c r="F7" s="138"/>
      <c r="G7" s="150"/>
      <c r="H7" s="146"/>
      <c r="I7" s="146"/>
      <c r="J7" s="146"/>
      <c r="K7" s="146"/>
      <c r="L7" s="138"/>
      <c r="M7" s="140"/>
      <c r="N7" s="141"/>
      <c r="O7" s="141"/>
      <c r="P7" s="141"/>
      <c r="Q7" s="141"/>
      <c r="R7" s="142"/>
      <c r="S7" s="140"/>
      <c r="T7" s="141"/>
      <c r="U7" s="141"/>
      <c r="V7" s="141"/>
      <c r="W7" s="141"/>
      <c r="X7" s="142"/>
      <c r="Y7" s="58" t="str">
        <f>R38</f>
        <v>W</v>
      </c>
      <c r="AA7" s="198" t="str">
        <f>M13</f>
        <v>강병곤</v>
      </c>
      <c r="AB7" s="199"/>
      <c r="AC7" s="200"/>
      <c r="AD7" s="68"/>
      <c r="AE7" s="68"/>
      <c r="AF7" s="68"/>
      <c r="AG7" s="68"/>
      <c r="AH7" s="68"/>
      <c r="AI7" s="68"/>
      <c r="AJ7" s="69"/>
      <c r="AK7" s="59"/>
      <c r="AL7" s="59"/>
      <c r="AM7" s="198" t="str">
        <f>S13</f>
        <v>최유미</v>
      </c>
      <c r="AN7" s="199"/>
      <c r="AO7" s="200"/>
    </row>
    <row r="8" spans="1:41" ht="21.95" customHeight="1" thickBot="1">
      <c r="A8" s="150"/>
      <c r="B8" s="146"/>
      <c r="C8" s="146"/>
      <c r="D8" s="146"/>
      <c r="E8" s="146"/>
      <c r="F8" s="138"/>
      <c r="G8" s="150"/>
      <c r="H8" s="146"/>
      <c r="I8" s="146"/>
      <c r="J8" s="146"/>
      <c r="K8" s="146"/>
      <c r="L8" s="138"/>
      <c r="M8" s="140"/>
      <c r="N8" s="141"/>
      <c r="O8" s="141"/>
      <c r="P8" s="141"/>
      <c r="Q8" s="141"/>
      <c r="R8" s="142"/>
      <c r="S8" s="140"/>
      <c r="T8" s="141"/>
      <c r="U8" s="141"/>
      <c r="V8" s="141"/>
      <c r="W8" s="160"/>
      <c r="X8" s="161"/>
      <c r="Y8" s="58" t="str">
        <f>R50</f>
        <v>I.A</v>
      </c>
      <c r="AA8" s="59"/>
      <c r="AB8" s="59"/>
      <c r="AC8" s="59"/>
      <c r="AD8" s="59"/>
      <c r="AE8" s="59"/>
      <c r="AF8" s="59"/>
      <c r="AG8" s="59"/>
      <c r="AH8" s="59"/>
      <c r="AI8" s="59"/>
      <c r="AJ8" s="60"/>
      <c r="AK8" s="59"/>
      <c r="AL8" s="59"/>
      <c r="AM8" s="59"/>
      <c r="AN8" s="59"/>
      <c r="AO8" s="59"/>
    </row>
    <row r="9" spans="1:41" ht="21.95" customHeight="1">
      <c r="A9" s="172" t="str">
        <f>M9</f>
        <v>러브 액츄얼리</v>
      </c>
      <c r="B9" s="173"/>
      <c r="C9" s="173"/>
      <c r="D9" s="174"/>
      <c r="E9" s="177" t="str">
        <f>Q9</f>
        <v>로마</v>
      </c>
      <c r="F9" s="178"/>
      <c r="G9" s="172"/>
      <c r="H9" s="173"/>
      <c r="I9" s="173"/>
      <c r="J9" s="174"/>
      <c r="K9" s="177" t="str">
        <f>W9</f>
        <v>필리핀 보홀</v>
      </c>
      <c r="L9" s="178"/>
      <c r="M9" s="156" t="s">
        <v>2210</v>
      </c>
      <c r="N9" s="157"/>
      <c r="O9" s="157"/>
      <c r="P9" s="158"/>
      <c r="Q9" s="141" t="s">
        <v>2211</v>
      </c>
      <c r="R9" s="142"/>
      <c r="S9" s="156"/>
      <c r="T9" s="157"/>
      <c r="U9" s="157"/>
      <c r="V9" s="158"/>
      <c r="W9" s="141" t="s">
        <v>2220</v>
      </c>
      <c r="X9" s="142"/>
      <c r="Y9" s="58" t="str">
        <f>X2</f>
        <v>I.A</v>
      </c>
      <c r="AA9" s="192" t="str">
        <f>Q25</f>
        <v>크루아상</v>
      </c>
      <c r="AB9" s="193"/>
      <c r="AC9" s="194"/>
      <c r="AD9" s="64"/>
      <c r="AE9" s="64"/>
      <c r="AF9" s="64"/>
      <c r="AG9" s="64"/>
      <c r="AH9" s="64"/>
      <c r="AI9" s="64"/>
      <c r="AJ9" s="60"/>
      <c r="AK9" s="60"/>
      <c r="AL9" s="60"/>
      <c r="AM9" s="192" t="str">
        <f>W25</f>
        <v>티라미수</v>
      </c>
      <c r="AN9" s="193"/>
      <c r="AO9" s="194"/>
    </row>
    <row r="10" spans="1:41" ht="21.95" customHeight="1">
      <c r="A10" s="140" t="str">
        <f>M10</f>
        <v>배려</v>
      </c>
      <c r="B10" s="141"/>
      <c r="C10" s="141" t="str">
        <f>O10</f>
        <v>소통</v>
      </c>
      <c r="D10" s="141"/>
      <c r="E10" s="141" t="str">
        <f>Q10</f>
        <v>히키니쿠토코메도산</v>
      </c>
      <c r="F10" s="142"/>
      <c r="G10" s="140" t="str">
        <f>S10</f>
        <v>대화코드</v>
      </c>
      <c r="H10" s="141"/>
      <c r="I10" s="141" t="str">
        <f>U10</f>
        <v>티키타카</v>
      </c>
      <c r="J10" s="141"/>
      <c r="K10" s="141" t="str">
        <f>W10</f>
        <v>부산 인해</v>
      </c>
      <c r="L10" s="142"/>
      <c r="M10" s="150" t="s">
        <v>2082</v>
      </c>
      <c r="N10" s="146"/>
      <c r="O10" s="146" t="s">
        <v>2212</v>
      </c>
      <c r="P10" s="146"/>
      <c r="Q10" s="146" t="s">
        <v>2213</v>
      </c>
      <c r="R10" s="138"/>
      <c r="S10" s="150" t="s">
        <v>2221</v>
      </c>
      <c r="T10" s="146"/>
      <c r="U10" s="146" t="s">
        <v>2093</v>
      </c>
      <c r="V10" s="146"/>
      <c r="W10" s="146" t="s">
        <v>2222</v>
      </c>
      <c r="X10" s="138"/>
      <c r="Y10" s="58" t="str">
        <f>X14</f>
        <v>I.A</v>
      </c>
      <c r="AA10" s="195"/>
      <c r="AB10" s="196"/>
      <c r="AC10" s="197"/>
      <c r="AD10" s="64"/>
      <c r="AE10" s="64"/>
      <c r="AF10" s="64"/>
      <c r="AG10" s="64"/>
      <c r="AH10" s="64"/>
      <c r="AI10" s="64"/>
      <c r="AJ10" s="59"/>
      <c r="AK10" s="59"/>
      <c r="AL10" s="59"/>
      <c r="AM10" s="195"/>
      <c r="AN10" s="196"/>
      <c r="AO10" s="197"/>
    </row>
    <row r="11" spans="1:41" ht="21.95" customHeight="1" thickBot="1">
      <c r="A11" s="140" t="str">
        <f>M11</f>
        <v>모자</v>
      </c>
      <c r="B11" s="141"/>
      <c r="C11" s="141" t="str">
        <f>O11</f>
        <v>안경</v>
      </c>
      <c r="D11" s="141"/>
      <c r="E11" s="141"/>
      <c r="F11" s="142"/>
      <c r="G11" s="140" t="str">
        <f>S11</f>
        <v>다정한</v>
      </c>
      <c r="H11" s="141"/>
      <c r="I11" s="141"/>
      <c r="J11" s="141"/>
      <c r="K11" s="141"/>
      <c r="L11" s="142"/>
      <c r="M11" s="150" t="s">
        <v>2171</v>
      </c>
      <c r="N11" s="146"/>
      <c r="O11" s="146" t="s">
        <v>2172</v>
      </c>
      <c r="P11" s="146"/>
      <c r="Q11" s="139"/>
      <c r="R11" s="185"/>
      <c r="S11" s="150" t="s">
        <v>2188</v>
      </c>
      <c r="T11" s="146"/>
      <c r="U11" s="146"/>
      <c r="V11" s="146"/>
      <c r="W11" s="146"/>
      <c r="X11" s="138"/>
      <c r="Y11" s="58" t="str">
        <f>X26</f>
        <v>H.A</v>
      </c>
      <c r="AA11" s="198" t="str">
        <f>M25</f>
        <v>박찬우</v>
      </c>
      <c r="AB11" s="199"/>
      <c r="AC11" s="200"/>
      <c r="AD11" s="68"/>
      <c r="AE11" s="68"/>
      <c r="AF11" s="68"/>
      <c r="AG11" s="68"/>
      <c r="AH11" s="68"/>
      <c r="AI11" s="68"/>
      <c r="AJ11" s="69"/>
      <c r="AK11" s="59"/>
      <c r="AL11" s="59"/>
      <c r="AM11" s="198" t="str">
        <f>S25</f>
        <v>조시연</v>
      </c>
      <c r="AN11" s="199"/>
      <c r="AO11" s="200"/>
    </row>
    <row r="12" spans="1:41" ht="21.95" customHeight="1" thickBot="1">
      <c r="A12" s="147"/>
      <c r="B12" s="148"/>
      <c r="C12" s="148"/>
      <c r="D12" s="148"/>
      <c r="E12" s="148"/>
      <c r="F12" s="175"/>
      <c r="G12" s="147"/>
      <c r="H12" s="148"/>
      <c r="I12" s="148"/>
      <c r="J12" s="148"/>
      <c r="K12" s="148"/>
      <c r="L12" s="175"/>
      <c r="M12" s="159"/>
      <c r="N12" s="135"/>
      <c r="O12" s="149"/>
      <c r="P12" s="135"/>
      <c r="Q12" s="149"/>
      <c r="R12" s="151"/>
      <c r="S12" s="159"/>
      <c r="T12" s="135"/>
      <c r="U12" s="149"/>
      <c r="V12" s="135"/>
      <c r="W12" s="149"/>
      <c r="X12" s="151"/>
      <c r="Y12" s="58" t="str">
        <f>X38</f>
        <v>deff.I.A</v>
      </c>
      <c r="AA12" s="59"/>
      <c r="AB12" s="59"/>
      <c r="AC12" s="59"/>
      <c r="AD12" s="59"/>
      <c r="AE12" s="59"/>
      <c r="AF12" s="59"/>
      <c r="AG12" s="59"/>
      <c r="AH12" s="59"/>
      <c r="AI12" s="59"/>
      <c r="AJ12" s="60"/>
      <c r="AK12" s="59"/>
      <c r="AL12" s="59"/>
      <c r="AM12" s="59"/>
      <c r="AN12" s="59"/>
      <c r="AO12" s="59"/>
    </row>
    <row r="13" spans="1:41" ht="21.95" customHeight="1">
      <c r="A13" s="126" t="str">
        <f>Q13</f>
        <v>소금빵</v>
      </c>
      <c r="B13" s="127"/>
      <c r="C13" s="127"/>
      <c r="D13" s="128"/>
      <c r="E13" s="143" t="str">
        <f>O13</f>
        <v>ISTJ</v>
      </c>
      <c r="F13" s="190"/>
      <c r="G13" s="126" t="str">
        <f>W13</f>
        <v>피낭시에</v>
      </c>
      <c r="H13" s="127"/>
      <c r="I13" s="127"/>
      <c r="J13" s="128"/>
      <c r="K13" s="143" t="str">
        <f>U13</f>
        <v>ESTJ</v>
      </c>
      <c r="L13" s="190"/>
      <c r="M13" s="180" t="str">
        <f>'18L'!C3</f>
        <v>강병곤</v>
      </c>
      <c r="N13" s="171"/>
      <c r="O13" s="162" t="str">
        <f>'18L'!I3</f>
        <v>ISTJ</v>
      </c>
      <c r="P13" s="163"/>
      <c r="Q13" s="154" t="s">
        <v>2332</v>
      </c>
      <c r="R13" s="155"/>
      <c r="S13" s="180" t="str">
        <f>'18L'!C8</f>
        <v>최유미</v>
      </c>
      <c r="T13" s="171"/>
      <c r="U13" s="162" t="str">
        <f>'18L'!I8</f>
        <v>ESTJ</v>
      </c>
      <c r="V13" s="163"/>
      <c r="W13" s="152" t="s">
        <v>2328</v>
      </c>
      <c r="X13" s="153"/>
      <c r="Y13" s="58" t="str">
        <f>X50</f>
        <v>I.A</v>
      </c>
      <c r="AA13" s="192" t="str">
        <f>Q37</f>
        <v>단팥빵</v>
      </c>
      <c r="AB13" s="193"/>
      <c r="AC13" s="194"/>
      <c r="AD13" s="64"/>
      <c r="AE13" s="64"/>
      <c r="AF13" s="64"/>
      <c r="AG13" s="64"/>
      <c r="AH13" s="64"/>
      <c r="AI13" s="64"/>
      <c r="AJ13" s="60"/>
      <c r="AK13" s="59"/>
      <c r="AL13" s="59"/>
      <c r="AM13" s="192" t="str">
        <f>W37</f>
        <v>에그타르트</v>
      </c>
      <c r="AN13" s="193"/>
      <c r="AO13" s="194"/>
    </row>
    <row r="14" spans="1:41" ht="21.95" customHeight="1" thickBot="1">
      <c r="A14" s="129"/>
      <c r="B14" s="130"/>
      <c r="C14" s="130"/>
      <c r="D14" s="131"/>
      <c r="E14" s="137">
        <f>M14</f>
        <v>34</v>
      </c>
      <c r="F14" s="139"/>
      <c r="G14" s="129"/>
      <c r="H14" s="130"/>
      <c r="I14" s="130"/>
      <c r="J14" s="131"/>
      <c r="K14" s="137">
        <f>S14</f>
        <v>31</v>
      </c>
      <c r="L14" s="139"/>
      <c r="M14" s="13">
        <f>'18L'!D3</f>
        <v>34</v>
      </c>
      <c r="N14" s="13">
        <f>'18L'!E3</f>
        <v>167</v>
      </c>
      <c r="O14" s="15" t="str">
        <f>'18L'!K3</f>
        <v>천주교</v>
      </c>
      <c r="P14" s="15" t="str">
        <f>'18L'!L3</f>
        <v>무관</v>
      </c>
      <c r="Q14" s="65"/>
      <c r="R14" s="102" t="s">
        <v>2001</v>
      </c>
      <c r="S14" s="13">
        <f>'18L'!D8</f>
        <v>31</v>
      </c>
      <c r="T14" s="16">
        <f>'18L'!E8</f>
        <v>153</v>
      </c>
      <c r="U14" s="15" t="str">
        <f>'18L'!K8</f>
        <v>무교</v>
      </c>
      <c r="V14" s="15" t="str">
        <f>'18L'!L8</f>
        <v>무관</v>
      </c>
      <c r="W14" s="65"/>
      <c r="X14" s="94" t="s">
        <v>2001</v>
      </c>
      <c r="AA14" s="195"/>
      <c r="AB14" s="196"/>
      <c r="AC14" s="197"/>
      <c r="AD14" s="64"/>
      <c r="AE14" s="64"/>
      <c r="AF14" s="64"/>
      <c r="AG14" s="64"/>
      <c r="AH14" s="64"/>
      <c r="AI14" s="64"/>
      <c r="AJ14" s="60"/>
      <c r="AK14" s="60"/>
      <c r="AL14" s="60"/>
      <c r="AM14" s="195"/>
      <c r="AN14" s="196"/>
      <c r="AO14" s="197"/>
    </row>
    <row r="15" spans="1:41" ht="21.95" customHeight="1" thickBot="1">
      <c r="A15" s="129"/>
      <c r="B15" s="130"/>
      <c r="C15" s="130"/>
      <c r="D15" s="131"/>
      <c r="E15" s="137" t="str">
        <f>O14</f>
        <v>천주교</v>
      </c>
      <c r="F15" s="139"/>
      <c r="G15" s="129"/>
      <c r="H15" s="130"/>
      <c r="I15" s="130"/>
      <c r="J15" s="131"/>
      <c r="K15" s="137" t="str">
        <f>U14</f>
        <v>무교</v>
      </c>
      <c r="L15" s="139"/>
      <c r="M15" s="181" t="str">
        <f>'18L'!F3</f>
        <v>LBhunet(lg고객센터) 사원</v>
      </c>
      <c r="N15" s="168"/>
      <c r="O15" s="168"/>
      <c r="P15" s="169"/>
      <c r="Q15" s="152" t="str">
        <f>'18L'!G3</f>
        <v>28~31</v>
      </c>
      <c r="R15" s="153"/>
      <c r="S15" s="165" t="str">
        <f>'18L'!F8</f>
        <v>삼성서울병원 신생아중환자실</v>
      </c>
      <c r="T15" s="166"/>
      <c r="U15" s="166"/>
      <c r="V15" s="167"/>
      <c r="W15" s="152" t="str">
        <f>'18L'!G8</f>
        <v>28~38</v>
      </c>
      <c r="X15" s="153"/>
      <c r="Y15" s="67"/>
      <c r="AA15" s="198" t="str">
        <f>M37</f>
        <v>최준혁</v>
      </c>
      <c r="AB15" s="199"/>
      <c r="AC15" s="200"/>
      <c r="AD15" s="68"/>
      <c r="AE15" s="68"/>
      <c r="AF15" s="68"/>
      <c r="AG15" s="68"/>
      <c r="AH15" s="68"/>
      <c r="AI15" s="68"/>
      <c r="AJ15" s="59"/>
      <c r="AK15" s="59"/>
      <c r="AL15" s="59"/>
      <c r="AM15" s="198" t="str">
        <f>S37</f>
        <v>박서영</v>
      </c>
      <c r="AN15" s="199"/>
      <c r="AO15" s="200"/>
    </row>
    <row r="16" spans="1:41" ht="21.95" customHeight="1" thickBot="1">
      <c r="A16" s="132"/>
      <c r="B16" s="133"/>
      <c r="C16" s="133"/>
      <c r="D16" s="134"/>
      <c r="E16" s="135" t="str">
        <f>R14</f>
        <v>I.A</v>
      </c>
      <c r="F16" s="149"/>
      <c r="G16" s="132"/>
      <c r="H16" s="133"/>
      <c r="I16" s="133"/>
      <c r="J16" s="134"/>
      <c r="K16" s="135" t="str">
        <f>X14</f>
        <v>I.A</v>
      </c>
      <c r="L16" s="149"/>
      <c r="M16" s="156" t="str">
        <f>'18L'!M3</f>
        <v>무관</v>
      </c>
      <c r="N16" s="157"/>
      <c r="O16" s="157"/>
      <c r="P16" s="158"/>
      <c r="Q16" s="141" t="str">
        <f>'18L'!H3</f>
        <v>무관</v>
      </c>
      <c r="R16" s="142"/>
      <c r="S16" s="156" t="str">
        <f>'18L'!M8</f>
        <v>병원직군, 자영업, 연구직, 회사원</v>
      </c>
      <c r="T16" s="157"/>
      <c r="U16" s="157"/>
      <c r="V16" s="158"/>
      <c r="W16" s="164" t="str">
        <f>'18L'!H8</f>
        <v>170~180</v>
      </c>
      <c r="X16" s="179"/>
      <c r="Y16" s="67"/>
      <c r="AA16" s="59"/>
      <c r="AB16" s="59"/>
      <c r="AC16" s="59"/>
      <c r="AD16" s="59"/>
      <c r="AE16" s="59"/>
      <c r="AF16" s="59"/>
      <c r="AG16" s="59"/>
      <c r="AH16" s="59"/>
      <c r="AI16" s="59"/>
      <c r="AJ16" s="60"/>
      <c r="AK16" s="59"/>
      <c r="AL16" s="59"/>
      <c r="AM16" s="59"/>
      <c r="AN16" s="59"/>
      <c r="AO16" s="59"/>
    </row>
    <row r="17" spans="1:41" ht="21.95" customHeight="1">
      <c r="A17" s="188" t="str">
        <f>M17</f>
        <v xml:space="preserve">T </v>
      </c>
      <c r="B17" s="144"/>
      <c r="C17" s="144" t="str">
        <f>O17</f>
        <v>but</v>
      </c>
      <c r="D17" s="144"/>
      <c r="E17" s="144" t="str">
        <f>Q17</f>
        <v>친해지기까지</v>
      </c>
      <c r="F17" s="145"/>
      <c r="G17" s="188" t="str">
        <f>S17</f>
        <v>밝고</v>
      </c>
      <c r="H17" s="144"/>
      <c r="I17" s="144" t="str">
        <f>U17</f>
        <v>긍정적</v>
      </c>
      <c r="J17" s="144"/>
      <c r="K17" s="144" t="str">
        <f>W17</f>
        <v>야구직관</v>
      </c>
      <c r="L17" s="145"/>
      <c r="M17" s="140" t="s">
        <v>2173</v>
      </c>
      <c r="N17" s="141"/>
      <c r="O17" s="141" t="s">
        <v>2174</v>
      </c>
      <c r="P17" s="141"/>
      <c r="Q17" s="141" t="s">
        <v>2177</v>
      </c>
      <c r="R17" s="142"/>
      <c r="S17" s="158" t="s">
        <v>2189</v>
      </c>
      <c r="T17" s="164"/>
      <c r="U17" s="141" t="s">
        <v>2138</v>
      </c>
      <c r="V17" s="141"/>
      <c r="W17" s="141" t="s">
        <v>2190</v>
      </c>
      <c r="X17" s="142"/>
      <c r="AA17" s="192" t="str">
        <f>Q49</f>
        <v>초콜릿</v>
      </c>
      <c r="AB17" s="193"/>
      <c r="AC17" s="194"/>
      <c r="AD17" s="64"/>
      <c r="AE17" s="64"/>
      <c r="AF17" s="64"/>
      <c r="AG17" s="64"/>
      <c r="AH17" s="64"/>
      <c r="AI17" s="64"/>
      <c r="AJ17" s="60"/>
      <c r="AK17" s="59"/>
      <c r="AL17" s="59"/>
      <c r="AM17" s="192" t="str">
        <f>W49</f>
        <v>마들렌</v>
      </c>
      <c r="AN17" s="193"/>
      <c r="AO17" s="194"/>
    </row>
    <row r="18" spans="1:41" ht="21.95" customHeight="1">
      <c r="A18" s="150" t="str">
        <f t="shared" ref="A18" si="0">M18</f>
        <v>경계</v>
      </c>
      <c r="B18" s="146"/>
      <c r="C18" s="146" t="str">
        <f t="shared" ref="C18" si="1">O18</f>
        <v>넘어오면</v>
      </c>
      <c r="D18" s="146"/>
      <c r="E18" s="146" t="str">
        <f t="shared" ref="E18" si="2">Q18</f>
        <v>무장해제</v>
      </c>
      <c r="F18" s="138"/>
      <c r="G18" s="150" t="str">
        <f t="shared" ref="G18:G19" si="3">S18</f>
        <v>손재주</v>
      </c>
      <c r="H18" s="146"/>
      <c r="I18" s="146" t="str">
        <f t="shared" ref="I18:I19" si="4">U18</f>
        <v>활동적</v>
      </c>
      <c r="J18" s="146"/>
      <c r="K18" s="146" t="str">
        <f t="shared" ref="K18" si="5">W18</f>
        <v>카페투어</v>
      </c>
      <c r="L18" s="138"/>
      <c r="M18" s="140" t="s">
        <v>2176</v>
      </c>
      <c r="N18" s="141"/>
      <c r="O18" s="141" t="s">
        <v>2178</v>
      </c>
      <c r="P18" s="141"/>
      <c r="Q18" s="141" t="s">
        <v>2175</v>
      </c>
      <c r="R18" s="142"/>
      <c r="S18" s="140" t="s">
        <v>2191</v>
      </c>
      <c r="T18" s="141"/>
      <c r="U18" s="141" t="s">
        <v>2186</v>
      </c>
      <c r="V18" s="141"/>
      <c r="W18" s="141" t="s">
        <v>2192</v>
      </c>
      <c r="X18" s="142"/>
      <c r="AA18" s="195"/>
      <c r="AB18" s="196"/>
      <c r="AC18" s="197"/>
      <c r="AD18" s="64"/>
      <c r="AE18" s="64"/>
      <c r="AF18" s="64"/>
      <c r="AG18" s="64"/>
      <c r="AH18" s="64"/>
      <c r="AI18" s="64"/>
      <c r="AJ18" s="60"/>
      <c r="AK18" s="59"/>
      <c r="AL18" s="59"/>
      <c r="AM18" s="195"/>
      <c r="AN18" s="196"/>
      <c r="AO18" s="197"/>
    </row>
    <row r="19" spans="1:41" ht="21.95" customHeight="1" thickBot="1">
      <c r="A19" s="150"/>
      <c r="B19" s="146"/>
      <c r="C19" s="146"/>
      <c r="D19" s="146"/>
      <c r="E19" s="146"/>
      <c r="F19" s="138"/>
      <c r="G19" s="150" t="str">
        <f t="shared" si="3"/>
        <v>좋아하는걸</v>
      </c>
      <c r="H19" s="146"/>
      <c r="I19" s="146" t="str">
        <f t="shared" si="4"/>
        <v>꾸준히</v>
      </c>
      <c r="J19" s="146"/>
      <c r="K19" s="146"/>
      <c r="L19" s="138"/>
      <c r="M19" s="140"/>
      <c r="N19" s="141"/>
      <c r="O19" s="141"/>
      <c r="P19" s="141"/>
      <c r="Q19" s="141"/>
      <c r="R19" s="142"/>
      <c r="S19" s="140" t="s">
        <v>2193</v>
      </c>
      <c r="T19" s="141"/>
      <c r="U19" s="141" t="s">
        <v>2194</v>
      </c>
      <c r="V19" s="141"/>
      <c r="W19" s="141"/>
      <c r="X19" s="142"/>
      <c r="AA19" s="198" t="str">
        <f>M49</f>
        <v>이재형</v>
      </c>
      <c r="AB19" s="199"/>
      <c r="AC19" s="200"/>
      <c r="AD19" s="68"/>
      <c r="AE19" s="68"/>
      <c r="AF19" s="68"/>
      <c r="AG19" s="68"/>
      <c r="AH19" s="68"/>
      <c r="AI19" s="68"/>
      <c r="AJ19" s="69"/>
      <c r="AK19" s="69"/>
      <c r="AL19" s="69"/>
      <c r="AM19" s="198" t="str">
        <f>S49</f>
        <v>이상희</v>
      </c>
      <c r="AN19" s="199"/>
      <c r="AO19" s="200"/>
    </row>
    <row r="20" spans="1:41" ht="21.95" customHeight="1" thickBot="1">
      <c r="A20" s="150"/>
      <c r="B20" s="146"/>
      <c r="C20" s="146"/>
      <c r="D20" s="146"/>
      <c r="E20" s="146"/>
      <c r="F20" s="138"/>
      <c r="G20" s="150"/>
      <c r="H20" s="146"/>
      <c r="I20" s="146"/>
      <c r="J20" s="146"/>
      <c r="K20" s="146"/>
      <c r="L20" s="138"/>
      <c r="M20" s="140"/>
      <c r="N20" s="141"/>
      <c r="O20" s="141"/>
      <c r="P20" s="141"/>
      <c r="Q20" s="141"/>
      <c r="R20" s="142"/>
      <c r="S20" s="140"/>
      <c r="T20" s="141"/>
      <c r="U20" s="141"/>
      <c r="V20" s="141"/>
      <c r="W20" s="160"/>
      <c r="X20" s="161"/>
      <c r="Z20" s="62"/>
      <c r="AA20" s="63"/>
      <c r="AB20" s="63"/>
      <c r="AC20" s="63"/>
      <c r="AD20" s="63"/>
      <c r="AE20" s="63"/>
      <c r="AF20" s="63"/>
      <c r="AG20" s="63"/>
      <c r="AH20" s="63"/>
      <c r="AI20" s="63"/>
      <c r="AJ20" s="61"/>
      <c r="AK20" s="63"/>
      <c r="AL20" s="63"/>
      <c r="AM20" s="63"/>
      <c r="AN20" s="63"/>
      <c r="AO20" s="63"/>
    </row>
    <row r="21" spans="1:41" ht="21.95" customHeight="1" thickBot="1">
      <c r="A21" s="172" t="str">
        <f>M21</f>
        <v>이터널 선샤인</v>
      </c>
      <c r="B21" s="173"/>
      <c r="C21" s="173"/>
      <c r="D21" s="174"/>
      <c r="E21" s="177" t="str">
        <f>Q21</f>
        <v>여수</v>
      </c>
      <c r="F21" s="178"/>
      <c r="G21" s="172" t="str">
        <f>S21</f>
        <v>리틀 포레스트</v>
      </c>
      <c r="H21" s="173"/>
      <c r="I21" s="173"/>
      <c r="J21" s="174"/>
      <c r="K21" s="177" t="str">
        <f>W21</f>
        <v>파리</v>
      </c>
      <c r="L21" s="178"/>
      <c r="M21" s="156" t="s">
        <v>2302</v>
      </c>
      <c r="N21" s="157"/>
      <c r="O21" s="157"/>
      <c r="P21" s="158"/>
      <c r="Q21" s="141" t="s">
        <v>2303</v>
      </c>
      <c r="R21" s="142"/>
      <c r="S21" s="156" t="s">
        <v>2223</v>
      </c>
      <c r="T21" s="157"/>
      <c r="U21" s="157"/>
      <c r="V21" s="158"/>
      <c r="W21" s="141" t="s">
        <v>2224</v>
      </c>
      <c r="X21" s="142"/>
      <c r="AA21" s="59"/>
      <c r="AB21" s="59"/>
      <c r="AC21" s="59"/>
      <c r="AD21" s="59"/>
      <c r="AE21" s="59"/>
      <c r="AF21" s="59"/>
      <c r="AG21" s="59"/>
      <c r="AH21" s="59"/>
      <c r="AI21" s="59"/>
      <c r="AJ21" s="60"/>
      <c r="AK21" s="59"/>
      <c r="AL21" s="59"/>
      <c r="AM21" s="59"/>
      <c r="AN21" s="59"/>
      <c r="AO21" s="59"/>
    </row>
    <row r="22" spans="1:41" ht="21.95" customHeight="1">
      <c r="A22" s="140" t="str">
        <f>M22</f>
        <v>신뢰</v>
      </c>
      <c r="B22" s="141"/>
      <c r="C22" s="141"/>
      <c r="D22" s="141"/>
      <c r="E22" s="141" t="str">
        <f>Q22</f>
        <v>생오리돌판구이집</v>
      </c>
      <c r="F22" s="142"/>
      <c r="G22" s="140" t="str">
        <f>S22</f>
        <v>대화</v>
      </c>
      <c r="H22" s="141"/>
      <c r="I22" s="141"/>
      <c r="J22" s="141"/>
      <c r="K22" s="141" t="str">
        <f>W22</f>
        <v>식물원김밥</v>
      </c>
      <c r="L22" s="142"/>
      <c r="M22" s="150" t="s">
        <v>2304</v>
      </c>
      <c r="N22" s="146"/>
      <c r="O22" s="146"/>
      <c r="P22" s="146"/>
      <c r="Q22" s="146" t="s">
        <v>2305</v>
      </c>
      <c r="R22" s="138"/>
      <c r="S22" s="150" t="s">
        <v>2094</v>
      </c>
      <c r="T22" s="146"/>
      <c r="U22" s="141"/>
      <c r="V22" s="141"/>
      <c r="W22" s="146" t="s">
        <v>2225</v>
      </c>
      <c r="X22" s="138"/>
      <c r="AA22" s="192" t="str">
        <f>AA1</f>
        <v>스콘</v>
      </c>
      <c r="AB22" s="193"/>
      <c r="AC22" s="194"/>
      <c r="AD22" s="64"/>
      <c r="AE22" s="64"/>
      <c r="AF22" s="64"/>
      <c r="AG22" s="64"/>
      <c r="AH22" s="64"/>
      <c r="AI22" s="64"/>
      <c r="AJ22" s="60"/>
      <c r="AK22" s="59"/>
      <c r="AL22" s="59"/>
      <c r="AM22" s="192" t="str">
        <f>AM1</f>
        <v>푸딩</v>
      </c>
      <c r="AN22" s="193"/>
      <c r="AO22" s="194"/>
    </row>
    <row r="23" spans="1:41" ht="21.95" customHeight="1">
      <c r="A23" s="140" t="str">
        <f>M23</f>
        <v>긍정적</v>
      </c>
      <c r="B23" s="141"/>
      <c r="C23" s="141" t="str">
        <f>O23</f>
        <v>밝은</v>
      </c>
      <c r="D23" s="141"/>
      <c r="E23" s="141" t="str">
        <f>Q23</f>
        <v>금휘</v>
      </c>
      <c r="F23" s="142"/>
      <c r="G23" s="140"/>
      <c r="H23" s="141"/>
      <c r="I23" s="141"/>
      <c r="J23" s="141"/>
      <c r="K23" s="141"/>
      <c r="L23" s="142"/>
      <c r="M23" s="150" t="s">
        <v>2138</v>
      </c>
      <c r="N23" s="146"/>
      <c r="O23" s="146" t="s">
        <v>2108</v>
      </c>
      <c r="P23" s="146"/>
      <c r="Q23" s="146" t="s">
        <v>2179</v>
      </c>
      <c r="R23" s="138"/>
      <c r="S23" s="150"/>
      <c r="T23" s="146"/>
      <c r="U23" s="146"/>
      <c r="V23" s="146"/>
      <c r="W23" s="146"/>
      <c r="X23" s="138"/>
      <c r="AA23" s="195"/>
      <c r="AB23" s="196"/>
      <c r="AC23" s="197"/>
      <c r="AD23" s="64"/>
      <c r="AE23" s="64"/>
      <c r="AF23" s="64"/>
      <c r="AG23" s="64"/>
      <c r="AH23" s="64"/>
      <c r="AI23" s="64"/>
      <c r="AJ23" s="60"/>
      <c r="AK23" s="64"/>
      <c r="AL23" s="59"/>
      <c r="AM23" s="195"/>
      <c r="AN23" s="196"/>
      <c r="AO23" s="197"/>
    </row>
    <row r="24" spans="1:41" ht="21.95" customHeight="1" thickBot="1">
      <c r="A24" s="147"/>
      <c r="B24" s="148"/>
      <c r="C24" s="148"/>
      <c r="D24" s="148"/>
      <c r="E24" s="148"/>
      <c r="F24" s="175"/>
      <c r="G24" s="147"/>
      <c r="H24" s="148"/>
      <c r="I24" s="148"/>
      <c r="J24" s="148"/>
      <c r="K24" s="148"/>
      <c r="L24" s="175"/>
      <c r="M24" s="159"/>
      <c r="N24" s="135"/>
      <c r="O24" s="149"/>
      <c r="P24" s="135"/>
      <c r="Q24" s="149"/>
      <c r="R24" s="151"/>
      <c r="S24" s="159"/>
      <c r="T24" s="135"/>
      <c r="U24" s="149"/>
      <c r="V24" s="135"/>
      <c r="W24" s="149"/>
      <c r="X24" s="151"/>
      <c r="AA24" s="198" t="str">
        <f>AA3</f>
        <v>박준형</v>
      </c>
      <c r="AB24" s="199"/>
      <c r="AC24" s="200"/>
      <c r="AD24" s="70"/>
      <c r="AE24" s="70"/>
      <c r="AF24" s="70"/>
      <c r="AG24" s="70"/>
      <c r="AH24" s="70"/>
      <c r="AI24" s="70"/>
      <c r="AJ24" s="59"/>
      <c r="AK24" s="59"/>
      <c r="AL24" s="59"/>
      <c r="AM24" s="198" t="str">
        <f>AM3</f>
        <v>최정아</v>
      </c>
      <c r="AN24" s="199"/>
      <c r="AO24" s="200"/>
    </row>
    <row r="25" spans="1:41" ht="21.95" customHeight="1" thickBot="1">
      <c r="A25" s="126" t="str">
        <f>Q25</f>
        <v>크루아상</v>
      </c>
      <c r="B25" s="127"/>
      <c r="C25" s="127"/>
      <c r="D25" s="128"/>
      <c r="E25" s="143" t="str">
        <f>O25</f>
        <v>ISTJ</v>
      </c>
      <c r="F25" s="190"/>
      <c r="G25" s="126" t="str">
        <f>W25</f>
        <v>티라미수</v>
      </c>
      <c r="H25" s="127"/>
      <c r="I25" s="127"/>
      <c r="J25" s="128"/>
      <c r="K25" s="143" t="str">
        <f>U25</f>
        <v>ESTJ</v>
      </c>
      <c r="L25" s="190"/>
      <c r="M25" s="180" t="str">
        <f>'18L'!C4</f>
        <v>박찬우</v>
      </c>
      <c r="N25" s="171"/>
      <c r="O25" s="182" t="str">
        <f>'18L'!I4</f>
        <v>ISTJ</v>
      </c>
      <c r="P25" s="183"/>
      <c r="Q25" s="152" t="s">
        <v>1456</v>
      </c>
      <c r="R25" s="153"/>
      <c r="S25" s="180" t="str">
        <f>'18L'!C9</f>
        <v>조시연</v>
      </c>
      <c r="T25" s="171"/>
      <c r="U25" s="162" t="str">
        <f>'18L'!I9</f>
        <v>ESTJ</v>
      </c>
      <c r="V25" s="163"/>
      <c r="W25" s="152" t="s">
        <v>2330</v>
      </c>
      <c r="X25" s="153"/>
      <c r="AA25" s="60"/>
      <c r="AB25" s="60"/>
      <c r="AC25" s="60"/>
      <c r="AD25" s="60"/>
      <c r="AE25" s="60"/>
      <c r="AF25" s="60"/>
      <c r="AG25" s="60"/>
      <c r="AH25" s="60"/>
      <c r="AI25" s="60"/>
      <c r="AJ25" s="59"/>
      <c r="AK25" s="59"/>
      <c r="AL25" s="59"/>
      <c r="AM25" s="60"/>
      <c r="AN25" s="60"/>
      <c r="AO25" s="60"/>
    </row>
    <row r="26" spans="1:41" ht="21.95" customHeight="1" thickBot="1">
      <c r="A26" s="129"/>
      <c r="B26" s="130"/>
      <c r="C26" s="130"/>
      <c r="D26" s="131"/>
      <c r="E26" s="137">
        <f>M26</f>
        <v>33</v>
      </c>
      <c r="F26" s="139"/>
      <c r="G26" s="129"/>
      <c r="H26" s="130"/>
      <c r="I26" s="130"/>
      <c r="J26" s="131"/>
      <c r="K26" s="137">
        <f>S26</f>
        <v>33</v>
      </c>
      <c r="L26" s="139"/>
      <c r="M26" s="13">
        <f>'18L'!D4</f>
        <v>33</v>
      </c>
      <c r="N26" s="14">
        <f>'18L'!E4</f>
        <v>168</v>
      </c>
      <c r="O26" s="15" t="str">
        <f>'18L'!K4</f>
        <v>무교</v>
      </c>
      <c r="P26" s="15" t="str">
        <f>'18L'!L4</f>
        <v>무관</v>
      </c>
      <c r="Q26" s="65"/>
      <c r="R26" s="66" t="s">
        <v>2001</v>
      </c>
      <c r="S26" s="13">
        <f>'18L'!D9</f>
        <v>33</v>
      </c>
      <c r="T26" s="16">
        <f>'18L'!E9</f>
        <v>158</v>
      </c>
      <c r="U26" s="15" t="str">
        <f>'18L'!K9</f>
        <v>무교</v>
      </c>
      <c r="V26" s="15" t="str">
        <f>'18L'!L9</f>
        <v>동일</v>
      </c>
      <c r="W26" s="65"/>
      <c r="X26" s="66" t="s">
        <v>2003</v>
      </c>
      <c r="AA26" s="192" t="str">
        <f>AA5</f>
        <v>소금빵</v>
      </c>
      <c r="AB26" s="193"/>
      <c r="AC26" s="194"/>
      <c r="AD26" s="64"/>
      <c r="AE26" s="64"/>
      <c r="AF26" s="64"/>
      <c r="AG26" s="64"/>
      <c r="AH26" s="64"/>
      <c r="AI26" s="64"/>
      <c r="AJ26" s="59"/>
      <c r="AK26" s="59"/>
      <c r="AL26" s="59"/>
      <c r="AM26" s="192" t="str">
        <f>AM5</f>
        <v>피낭시에</v>
      </c>
      <c r="AN26" s="193"/>
      <c r="AO26" s="194"/>
    </row>
    <row r="27" spans="1:41" ht="21.95" customHeight="1">
      <c r="A27" s="129"/>
      <c r="B27" s="130"/>
      <c r="C27" s="130"/>
      <c r="D27" s="131"/>
      <c r="E27" s="137" t="str">
        <f>O26</f>
        <v>무교</v>
      </c>
      <c r="F27" s="139"/>
      <c r="G27" s="129"/>
      <c r="H27" s="130"/>
      <c r="I27" s="130"/>
      <c r="J27" s="131"/>
      <c r="K27" s="137" t="str">
        <f>U26</f>
        <v>무교</v>
      </c>
      <c r="L27" s="139"/>
      <c r="M27" s="165" t="str">
        <f>'18L'!F4</f>
        <v>한국원자력의학원 / 연구원</v>
      </c>
      <c r="N27" s="166"/>
      <c r="O27" s="166"/>
      <c r="P27" s="167"/>
      <c r="Q27" s="152" t="str">
        <f>'18L'!G4</f>
        <v>20~34</v>
      </c>
      <c r="R27" s="153"/>
      <c r="S27" s="165" t="str">
        <f>'18L'!F9</f>
        <v>공무원(연구직, 7급)</v>
      </c>
      <c r="T27" s="166"/>
      <c r="U27" s="166"/>
      <c r="V27" s="167"/>
      <c r="W27" s="152" t="str">
        <f>'18L'!G9</f>
        <v>31~38</v>
      </c>
      <c r="X27" s="153"/>
      <c r="AA27" s="195"/>
      <c r="AB27" s="196"/>
      <c r="AC27" s="197"/>
      <c r="AD27" s="64"/>
      <c r="AE27" s="64"/>
      <c r="AF27" s="64"/>
      <c r="AG27" s="64"/>
      <c r="AH27" s="64"/>
      <c r="AI27" s="64"/>
      <c r="AJ27" s="60"/>
      <c r="AK27" s="59"/>
      <c r="AL27" s="59"/>
      <c r="AM27" s="195"/>
      <c r="AN27" s="196"/>
      <c r="AO27" s="197"/>
    </row>
    <row r="28" spans="1:41" ht="21.95" customHeight="1" thickBot="1">
      <c r="A28" s="132"/>
      <c r="B28" s="133"/>
      <c r="C28" s="133"/>
      <c r="D28" s="134"/>
      <c r="E28" s="135" t="str">
        <f>R26</f>
        <v>I.A</v>
      </c>
      <c r="F28" s="149"/>
      <c r="G28" s="132"/>
      <c r="H28" s="133"/>
      <c r="I28" s="133"/>
      <c r="J28" s="134"/>
      <c r="K28" s="135" t="str">
        <f>X26</f>
        <v>H.A</v>
      </c>
      <c r="L28" s="149"/>
      <c r="M28" s="156" t="str">
        <f>'18L'!M4</f>
        <v>무관</v>
      </c>
      <c r="N28" s="157"/>
      <c r="O28" s="157"/>
      <c r="P28" s="158"/>
      <c r="Q28" s="164" t="str">
        <f>'18L'!H4</f>
        <v>~170</v>
      </c>
      <c r="R28" s="179"/>
      <c r="S28" s="156" t="str">
        <f>'18L'!M9</f>
        <v>자영업</v>
      </c>
      <c r="T28" s="157"/>
      <c r="U28" s="157"/>
      <c r="V28" s="158"/>
      <c r="W28" s="164" t="str">
        <f>'18L'!H9</f>
        <v>175~180</v>
      </c>
      <c r="X28" s="179"/>
      <c r="AA28" s="198" t="str">
        <f>AA7</f>
        <v>강병곤</v>
      </c>
      <c r="AB28" s="199"/>
      <c r="AC28" s="200"/>
      <c r="AD28" s="70"/>
      <c r="AE28" s="70"/>
      <c r="AF28" s="70"/>
      <c r="AG28" s="70"/>
      <c r="AH28" s="70"/>
      <c r="AI28" s="70"/>
      <c r="AJ28" s="69"/>
      <c r="AK28" s="59"/>
      <c r="AL28" s="59"/>
      <c r="AM28" s="198" t="str">
        <f>AM7</f>
        <v>최유미</v>
      </c>
      <c r="AN28" s="199"/>
      <c r="AO28" s="200"/>
    </row>
    <row r="29" spans="1:41" ht="21.95" customHeight="1" thickBot="1">
      <c r="A29" s="188" t="str">
        <f>M29</f>
        <v>성실함</v>
      </c>
      <c r="B29" s="144"/>
      <c r="C29" s="144" t="str">
        <f>O29</f>
        <v>신중함</v>
      </c>
      <c r="D29" s="144"/>
      <c r="E29" s="144" t="str">
        <f>Q29</f>
        <v>안정감</v>
      </c>
      <c r="F29" s="145"/>
      <c r="G29" s="188" t="str">
        <f>S29</f>
        <v>따뜻한</v>
      </c>
      <c r="H29" s="144"/>
      <c r="I29" s="144" t="str">
        <f>U29</f>
        <v>야무진</v>
      </c>
      <c r="J29" s="144"/>
      <c r="K29" s="144" t="str">
        <f>W29</f>
        <v>CUTE</v>
      </c>
      <c r="L29" s="145"/>
      <c r="M29" s="140" t="s">
        <v>2180</v>
      </c>
      <c r="N29" s="141"/>
      <c r="O29" s="141" t="s">
        <v>2181</v>
      </c>
      <c r="P29" s="141"/>
      <c r="Q29" s="141" t="s">
        <v>2143</v>
      </c>
      <c r="R29" s="142"/>
      <c r="S29" s="140" t="s">
        <v>2195</v>
      </c>
      <c r="T29" s="141"/>
      <c r="U29" s="141" t="s">
        <v>2196</v>
      </c>
      <c r="V29" s="141"/>
      <c r="W29" s="141" t="s">
        <v>2091</v>
      </c>
      <c r="X29" s="142"/>
      <c r="AA29" s="59"/>
      <c r="AB29" s="59"/>
      <c r="AC29" s="59"/>
      <c r="AD29" s="59"/>
      <c r="AE29" s="59"/>
      <c r="AF29" s="59"/>
      <c r="AG29" s="59"/>
      <c r="AH29" s="59"/>
      <c r="AI29" s="59"/>
      <c r="AJ29" s="60"/>
      <c r="AK29" s="59"/>
      <c r="AL29" s="59"/>
      <c r="AM29" s="59"/>
      <c r="AN29" s="59"/>
      <c r="AO29" s="59"/>
    </row>
    <row r="30" spans="1:41" ht="21.95" customHeight="1">
      <c r="A30" s="150" t="str">
        <f t="shared" ref="A30" si="6">M30</f>
        <v>호기심</v>
      </c>
      <c r="B30" s="146"/>
      <c r="C30" s="146"/>
      <c r="D30" s="146"/>
      <c r="E30" s="146"/>
      <c r="F30" s="138"/>
      <c r="G30" s="150"/>
      <c r="H30" s="146"/>
      <c r="I30" s="146"/>
      <c r="J30" s="146"/>
      <c r="K30" s="146"/>
      <c r="L30" s="138"/>
      <c r="M30" s="140" t="s">
        <v>2182</v>
      </c>
      <c r="N30" s="141"/>
      <c r="O30" s="141"/>
      <c r="P30" s="141"/>
      <c r="Q30" s="141"/>
      <c r="R30" s="142"/>
      <c r="S30" s="140"/>
      <c r="T30" s="141"/>
      <c r="U30" s="141"/>
      <c r="V30" s="141"/>
      <c r="W30" s="141"/>
      <c r="X30" s="142"/>
      <c r="AA30" s="192" t="str">
        <f>AA9</f>
        <v>크루아상</v>
      </c>
      <c r="AB30" s="193"/>
      <c r="AC30" s="194"/>
      <c r="AD30" s="64"/>
      <c r="AE30" s="64"/>
      <c r="AF30" s="64"/>
      <c r="AG30" s="64"/>
      <c r="AH30" s="64"/>
      <c r="AI30" s="64"/>
      <c r="AJ30" s="60"/>
      <c r="AK30" s="64"/>
      <c r="AL30" s="59"/>
      <c r="AM30" s="192" t="str">
        <f>AM9</f>
        <v>티라미수</v>
      </c>
      <c r="AN30" s="193"/>
      <c r="AO30" s="194"/>
    </row>
    <row r="31" spans="1:41" ht="21.95" customHeight="1">
      <c r="A31" s="150"/>
      <c r="B31" s="146"/>
      <c r="C31" s="146"/>
      <c r="D31" s="146"/>
      <c r="E31" s="146"/>
      <c r="F31" s="138"/>
      <c r="G31" s="150"/>
      <c r="H31" s="146"/>
      <c r="I31" s="146"/>
      <c r="J31" s="146"/>
      <c r="K31" s="146"/>
      <c r="L31" s="138"/>
      <c r="M31" s="140"/>
      <c r="N31" s="141"/>
      <c r="O31" s="141"/>
      <c r="P31" s="141"/>
      <c r="Q31" s="141"/>
      <c r="R31" s="142"/>
      <c r="S31" s="140"/>
      <c r="T31" s="141"/>
      <c r="U31" s="141"/>
      <c r="V31" s="141"/>
      <c r="W31" s="141"/>
      <c r="X31" s="142"/>
      <c r="AA31" s="195"/>
      <c r="AB31" s="196"/>
      <c r="AC31" s="197"/>
      <c r="AD31" s="64"/>
      <c r="AE31" s="64"/>
      <c r="AF31" s="64"/>
      <c r="AG31" s="64"/>
      <c r="AH31" s="64"/>
      <c r="AI31" s="64"/>
      <c r="AJ31" s="59"/>
      <c r="AK31" s="59"/>
      <c r="AL31" s="59"/>
      <c r="AM31" s="195"/>
      <c r="AN31" s="196"/>
      <c r="AO31" s="197"/>
    </row>
    <row r="32" spans="1:41" ht="21.95" customHeight="1" thickBot="1">
      <c r="A32" s="150"/>
      <c r="B32" s="146"/>
      <c r="C32" s="146"/>
      <c r="D32" s="146"/>
      <c r="E32" s="146"/>
      <c r="F32" s="138"/>
      <c r="G32" s="150"/>
      <c r="H32" s="146"/>
      <c r="I32" s="146"/>
      <c r="J32" s="146"/>
      <c r="K32" s="146"/>
      <c r="L32" s="138"/>
      <c r="M32" s="140"/>
      <c r="N32" s="141"/>
      <c r="O32" s="141"/>
      <c r="P32" s="141"/>
      <c r="Q32" s="141"/>
      <c r="R32" s="142"/>
      <c r="S32" s="140"/>
      <c r="T32" s="141"/>
      <c r="U32" s="141"/>
      <c r="V32" s="141"/>
      <c r="W32" s="160"/>
      <c r="X32" s="161"/>
      <c r="AA32" s="198" t="str">
        <f>AA11</f>
        <v>박찬우</v>
      </c>
      <c r="AB32" s="199"/>
      <c r="AC32" s="200"/>
      <c r="AD32" s="70"/>
      <c r="AE32" s="70"/>
      <c r="AF32" s="70"/>
      <c r="AG32" s="70"/>
      <c r="AH32" s="70"/>
      <c r="AI32" s="70"/>
      <c r="AJ32" s="69"/>
      <c r="AK32" s="70"/>
      <c r="AL32" s="59"/>
      <c r="AM32" s="198" t="str">
        <f>AM11</f>
        <v>조시연</v>
      </c>
      <c r="AN32" s="199"/>
      <c r="AO32" s="200"/>
    </row>
    <row r="33" spans="1:41" ht="21.95" customHeight="1" thickBot="1">
      <c r="A33" s="172" t="str">
        <f>M33</f>
        <v>인터스텔라</v>
      </c>
      <c r="B33" s="173"/>
      <c r="C33" s="173"/>
      <c r="D33" s="174"/>
      <c r="E33" s="177" t="str">
        <f>Q33</f>
        <v>호주</v>
      </c>
      <c r="F33" s="178"/>
      <c r="G33" s="172" t="str">
        <f>S33</f>
        <v>어바웃 타임</v>
      </c>
      <c r="H33" s="173"/>
      <c r="I33" s="173"/>
      <c r="J33" s="174"/>
      <c r="K33" s="177" t="str">
        <f>W33</f>
        <v>삿포로</v>
      </c>
      <c r="L33" s="178"/>
      <c r="M33" s="156" t="s">
        <v>2214</v>
      </c>
      <c r="N33" s="157"/>
      <c r="O33" s="157"/>
      <c r="P33" s="158"/>
      <c r="Q33" s="141" t="s">
        <v>2215</v>
      </c>
      <c r="R33" s="142"/>
      <c r="S33" s="156" t="s">
        <v>2144</v>
      </c>
      <c r="T33" s="157"/>
      <c r="U33" s="157"/>
      <c r="V33" s="158"/>
      <c r="W33" s="141" t="s">
        <v>2226</v>
      </c>
      <c r="X33" s="142"/>
      <c r="AA33" s="59"/>
      <c r="AB33" s="59"/>
      <c r="AC33" s="59"/>
      <c r="AD33" s="59"/>
      <c r="AE33" s="59"/>
      <c r="AF33" s="59"/>
      <c r="AG33" s="59"/>
      <c r="AH33" s="59"/>
      <c r="AI33" s="59"/>
      <c r="AJ33" s="60"/>
      <c r="AK33" s="64"/>
      <c r="AL33" s="59"/>
      <c r="AM33" s="59"/>
      <c r="AN33" s="59"/>
      <c r="AO33" s="59"/>
    </row>
    <row r="34" spans="1:41" ht="21.95" customHeight="1">
      <c r="A34" s="140" t="str">
        <f>M34</f>
        <v>신뢰</v>
      </c>
      <c r="B34" s="141"/>
      <c r="C34" s="141"/>
      <c r="D34" s="141"/>
      <c r="E34" s="141" t="str">
        <f>Q34</f>
        <v>오므라이스</v>
      </c>
      <c r="F34" s="142"/>
      <c r="G34" s="140" t="str">
        <f>S34</f>
        <v>책임감</v>
      </c>
      <c r="H34" s="141"/>
      <c r="I34" s="141"/>
      <c r="J34" s="141"/>
      <c r="K34" s="141" t="str">
        <f>W34</f>
        <v>갯마을횟집</v>
      </c>
      <c r="L34" s="142"/>
      <c r="M34" s="184" t="s">
        <v>2159</v>
      </c>
      <c r="N34" s="137"/>
      <c r="O34" s="146"/>
      <c r="P34" s="146"/>
      <c r="Q34" s="137" t="s">
        <v>2216</v>
      </c>
      <c r="R34" s="146"/>
      <c r="S34" s="150" t="s">
        <v>2084</v>
      </c>
      <c r="T34" s="146"/>
      <c r="U34" s="139"/>
      <c r="V34" s="137"/>
      <c r="W34" s="146" t="s">
        <v>2227</v>
      </c>
      <c r="X34" s="138"/>
      <c r="AA34" s="192" t="str">
        <f>AA13</f>
        <v>단팥빵</v>
      </c>
      <c r="AB34" s="193"/>
      <c r="AC34" s="194"/>
      <c r="AD34" s="64"/>
      <c r="AE34" s="64"/>
      <c r="AF34" s="64"/>
      <c r="AG34" s="64"/>
      <c r="AH34" s="64"/>
      <c r="AI34" s="64"/>
      <c r="AJ34" s="60"/>
      <c r="AK34" s="64"/>
      <c r="AL34" s="59"/>
      <c r="AM34" s="192" t="str">
        <f>AM13</f>
        <v>에그타르트</v>
      </c>
      <c r="AN34" s="193"/>
      <c r="AO34" s="194"/>
    </row>
    <row r="35" spans="1:41" ht="21.95" customHeight="1">
      <c r="A35" s="140" t="str">
        <f>M35</f>
        <v>다저함</v>
      </c>
      <c r="B35" s="141"/>
      <c r="C35" s="141" t="str">
        <f>O35</f>
        <v>긍정적</v>
      </c>
      <c r="D35" s="141"/>
      <c r="E35" s="141" t="str">
        <f>Q35</f>
        <v>정돈됨</v>
      </c>
      <c r="F35" s="142"/>
      <c r="G35" s="140" t="str">
        <f>S35</f>
        <v>책임감</v>
      </c>
      <c r="H35" s="141"/>
      <c r="I35" s="141" t="str">
        <f>U35</f>
        <v>성실</v>
      </c>
      <c r="J35" s="141"/>
      <c r="K35" s="141" t="str">
        <f>W35</f>
        <v>안정적</v>
      </c>
      <c r="L35" s="142"/>
      <c r="M35" s="184" t="s">
        <v>2183</v>
      </c>
      <c r="N35" s="137"/>
      <c r="O35" s="139" t="s">
        <v>2138</v>
      </c>
      <c r="P35" s="137"/>
      <c r="Q35" s="139" t="s">
        <v>2184</v>
      </c>
      <c r="R35" s="185"/>
      <c r="S35" s="150" t="s">
        <v>2084</v>
      </c>
      <c r="T35" s="146"/>
      <c r="U35" s="146" t="s">
        <v>2197</v>
      </c>
      <c r="V35" s="146"/>
      <c r="W35" s="146" t="s">
        <v>2198</v>
      </c>
      <c r="X35" s="138"/>
      <c r="AA35" s="195"/>
      <c r="AB35" s="196"/>
      <c r="AC35" s="197"/>
      <c r="AD35" s="64"/>
      <c r="AE35" s="64"/>
      <c r="AF35" s="64"/>
      <c r="AG35" s="64"/>
      <c r="AH35" s="64"/>
      <c r="AI35" s="64"/>
      <c r="AJ35" s="60"/>
      <c r="AK35" s="64"/>
      <c r="AL35" s="59"/>
      <c r="AM35" s="195"/>
      <c r="AN35" s="196"/>
      <c r="AO35" s="197"/>
    </row>
    <row r="36" spans="1:41" ht="21.95" customHeight="1" thickBot="1">
      <c r="A36" s="147" t="str">
        <f>M36</f>
        <v>주관있는</v>
      </c>
      <c r="B36" s="148"/>
      <c r="C36" s="148"/>
      <c r="D36" s="148"/>
      <c r="E36" s="148"/>
      <c r="F36" s="175"/>
      <c r="G36" s="147"/>
      <c r="H36" s="148"/>
      <c r="I36" s="148"/>
      <c r="J36" s="148"/>
      <c r="K36" s="148"/>
      <c r="L36" s="175"/>
      <c r="M36" s="159" t="s">
        <v>2185</v>
      </c>
      <c r="N36" s="135"/>
      <c r="O36" s="149"/>
      <c r="P36" s="135"/>
      <c r="Q36" s="149"/>
      <c r="R36" s="151"/>
      <c r="S36" s="159"/>
      <c r="T36" s="135"/>
      <c r="U36" s="149"/>
      <c r="V36" s="135"/>
      <c r="W36" s="149"/>
      <c r="X36" s="151"/>
      <c r="AA36" s="198" t="str">
        <f>AA15</f>
        <v>최준혁</v>
      </c>
      <c r="AB36" s="199"/>
      <c r="AC36" s="200"/>
      <c r="AD36" s="70"/>
      <c r="AE36" s="70"/>
      <c r="AF36" s="70"/>
      <c r="AG36" s="70"/>
      <c r="AH36" s="70"/>
      <c r="AI36" s="70"/>
      <c r="AJ36" s="59"/>
      <c r="AK36" s="59"/>
      <c r="AL36" s="59"/>
      <c r="AM36" s="198" t="str">
        <f>AM15</f>
        <v>박서영</v>
      </c>
      <c r="AN36" s="199"/>
      <c r="AO36" s="200"/>
    </row>
    <row r="37" spans="1:41" ht="21.95" customHeight="1" thickBot="1">
      <c r="A37" s="126" t="str">
        <f>Q37</f>
        <v>단팥빵</v>
      </c>
      <c r="B37" s="127"/>
      <c r="C37" s="127"/>
      <c r="D37" s="128"/>
      <c r="E37" s="143" t="str">
        <f>O37</f>
        <v>ISTP</v>
      </c>
      <c r="F37" s="190"/>
      <c r="G37" s="126" t="str">
        <f>W37</f>
        <v>에그타르트</v>
      </c>
      <c r="H37" s="127"/>
      <c r="I37" s="127"/>
      <c r="J37" s="128"/>
      <c r="K37" s="143" t="str">
        <f>U37</f>
        <v>ISFJ</v>
      </c>
      <c r="L37" s="190"/>
      <c r="M37" s="180" t="str">
        <f>'18L'!C5</f>
        <v>최준혁</v>
      </c>
      <c r="N37" s="171"/>
      <c r="O37" s="182" t="str">
        <f>'18L'!I5</f>
        <v>ISTP</v>
      </c>
      <c r="P37" s="183"/>
      <c r="Q37" s="186" t="s">
        <v>2321</v>
      </c>
      <c r="R37" s="187"/>
      <c r="S37" s="180" t="str">
        <f>'18L'!C10</f>
        <v>박서영</v>
      </c>
      <c r="T37" s="171"/>
      <c r="U37" s="162" t="str">
        <f>'18L'!I10</f>
        <v>ISFJ</v>
      </c>
      <c r="V37" s="163"/>
      <c r="W37" s="152" t="s">
        <v>2327</v>
      </c>
      <c r="X37" s="153"/>
      <c r="AA37" s="59"/>
      <c r="AB37" s="59"/>
      <c r="AC37" s="59"/>
      <c r="AD37" s="59"/>
      <c r="AE37" s="59"/>
      <c r="AF37" s="59"/>
      <c r="AG37" s="59"/>
      <c r="AH37" s="59"/>
      <c r="AI37" s="59"/>
      <c r="AJ37" s="59"/>
      <c r="AK37" s="59"/>
      <c r="AL37" s="59"/>
      <c r="AM37" s="59"/>
      <c r="AN37" s="59"/>
      <c r="AO37" s="59"/>
    </row>
    <row r="38" spans="1:41" ht="21.95" customHeight="1" thickBot="1">
      <c r="A38" s="129"/>
      <c r="B38" s="130"/>
      <c r="C38" s="130"/>
      <c r="D38" s="131"/>
      <c r="E38" s="137">
        <f>M38</f>
        <v>36</v>
      </c>
      <c r="F38" s="139"/>
      <c r="G38" s="129"/>
      <c r="H38" s="130"/>
      <c r="I38" s="130"/>
      <c r="J38" s="131"/>
      <c r="K38" s="137">
        <f>S38</f>
        <v>26</v>
      </c>
      <c r="L38" s="139"/>
      <c r="M38" s="13">
        <f>'18L'!D5</f>
        <v>36</v>
      </c>
      <c r="N38" s="14">
        <f>'18L'!E5</f>
        <v>174</v>
      </c>
      <c r="O38" s="15" t="str">
        <f>'18L'!K5</f>
        <v>무교</v>
      </c>
      <c r="P38" s="15" t="str">
        <f>'18L'!L5</f>
        <v>동일</v>
      </c>
      <c r="Q38" s="65"/>
      <c r="R38" s="66" t="s">
        <v>2006</v>
      </c>
      <c r="S38" s="13">
        <f>'18L'!D10</f>
        <v>26</v>
      </c>
      <c r="T38" s="16">
        <f>'18L'!E10</f>
        <v>168</v>
      </c>
      <c r="U38" s="15" t="str">
        <f>'18L'!K10</f>
        <v>무교</v>
      </c>
      <c r="V38" s="15" t="str">
        <f>'18L'!L10</f>
        <v>동일</v>
      </c>
      <c r="W38" s="65"/>
      <c r="X38" s="102" t="s">
        <v>2307</v>
      </c>
      <c r="AA38" s="192" t="str">
        <f>AA17</f>
        <v>초콜릿</v>
      </c>
      <c r="AB38" s="193"/>
      <c r="AC38" s="194"/>
      <c r="AD38" s="64"/>
      <c r="AE38" s="64"/>
      <c r="AF38" s="64"/>
      <c r="AG38" s="64"/>
      <c r="AH38" s="64"/>
      <c r="AI38" s="64"/>
      <c r="AJ38" s="59"/>
      <c r="AK38" s="59"/>
      <c r="AL38" s="59"/>
      <c r="AM38" s="192" t="str">
        <f>AM17</f>
        <v>마들렌</v>
      </c>
      <c r="AN38" s="193"/>
      <c r="AO38" s="194"/>
    </row>
    <row r="39" spans="1:41" ht="21.95" customHeight="1">
      <c r="A39" s="129"/>
      <c r="B39" s="130"/>
      <c r="C39" s="130"/>
      <c r="D39" s="131"/>
      <c r="E39" s="137" t="str">
        <f>O38</f>
        <v>무교</v>
      </c>
      <c r="F39" s="139"/>
      <c r="G39" s="129"/>
      <c r="H39" s="130"/>
      <c r="I39" s="130"/>
      <c r="J39" s="131"/>
      <c r="K39" s="137" t="str">
        <f>U38</f>
        <v>무교</v>
      </c>
      <c r="L39" s="139"/>
      <c r="M39" s="165" t="str">
        <f>'18L'!F5</f>
        <v>백화점 MD</v>
      </c>
      <c r="N39" s="166"/>
      <c r="O39" s="166"/>
      <c r="P39" s="167"/>
      <c r="Q39" s="152" t="str">
        <f>'18L'!G5</f>
        <v>28~34</v>
      </c>
      <c r="R39" s="153"/>
      <c r="S39" s="165" t="str">
        <f>'18L'!F10</f>
        <v>삼성서울병원 별관동 수술실</v>
      </c>
      <c r="T39" s="166"/>
      <c r="U39" s="166"/>
      <c r="V39" s="167"/>
      <c r="W39" s="152" t="str">
        <f>'18L'!G10</f>
        <v>24~31</v>
      </c>
      <c r="X39" s="153"/>
      <c r="AA39" s="195"/>
      <c r="AB39" s="196"/>
      <c r="AC39" s="197"/>
      <c r="AD39" s="64"/>
      <c r="AE39" s="64"/>
      <c r="AF39" s="64"/>
      <c r="AG39" s="64"/>
      <c r="AH39" s="64"/>
      <c r="AI39" s="64"/>
      <c r="AJ39" s="60"/>
      <c r="AK39" s="64"/>
      <c r="AL39" s="59"/>
      <c r="AM39" s="195"/>
      <c r="AN39" s="196"/>
      <c r="AO39" s="197"/>
    </row>
    <row r="40" spans="1:41" ht="21.95" customHeight="1" thickBot="1">
      <c r="A40" s="132"/>
      <c r="B40" s="133"/>
      <c r="C40" s="133"/>
      <c r="D40" s="134"/>
      <c r="E40" s="135" t="str">
        <f>R38</f>
        <v>W</v>
      </c>
      <c r="F40" s="149"/>
      <c r="G40" s="132"/>
      <c r="H40" s="133"/>
      <c r="I40" s="133"/>
      <c r="J40" s="134"/>
      <c r="K40" s="135" t="str">
        <f>X38</f>
        <v>deff.I.A</v>
      </c>
      <c r="L40" s="149"/>
      <c r="M40" s="156" t="str">
        <f>'18L'!M5</f>
        <v>무관</v>
      </c>
      <c r="N40" s="157"/>
      <c r="O40" s="157"/>
      <c r="P40" s="158"/>
      <c r="Q40" s="164" t="str">
        <f>'18L'!H5</f>
        <v>~165</v>
      </c>
      <c r="R40" s="179"/>
      <c r="S40" s="156" t="str">
        <f>'18L'!M10</f>
        <v>병원직군</v>
      </c>
      <c r="T40" s="157"/>
      <c r="U40" s="157"/>
      <c r="V40" s="158"/>
      <c r="W40" s="164" t="str">
        <f>'18L'!H10</f>
        <v>175~</v>
      </c>
      <c r="X40" s="179"/>
      <c r="AA40" s="198" t="str">
        <f>AA19</f>
        <v>이재형</v>
      </c>
      <c r="AB40" s="199"/>
      <c r="AC40" s="200"/>
      <c r="AD40" s="70"/>
      <c r="AE40" s="70"/>
      <c r="AF40" s="70"/>
      <c r="AG40" s="70"/>
      <c r="AH40" s="70"/>
      <c r="AI40" s="70"/>
      <c r="AJ40" s="59"/>
      <c r="AK40" s="59"/>
      <c r="AL40" s="59"/>
      <c r="AM40" s="198" t="str">
        <f>AM19</f>
        <v>이상희</v>
      </c>
      <c r="AN40" s="199"/>
      <c r="AO40" s="200"/>
    </row>
    <row r="41" spans="1:41" ht="21.95" customHeight="1" thickBot="1">
      <c r="A41" s="188" t="str">
        <f>M41</f>
        <v>책임감</v>
      </c>
      <c r="B41" s="144"/>
      <c r="C41" s="144" t="str">
        <f>O41</f>
        <v>활동적</v>
      </c>
      <c r="D41" s="144"/>
      <c r="E41" s="144"/>
      <c r="F41" s="145"/>
      <c r="G41" s="188" t="str">
        <f>S41</f>
        <v>밝은</v>
      </c>
      <c r="H41" s="144"/>
      <c r="I41" s="144" t="str">
        <f>U41</f>
        <v>웃음</v>
      </c>
      <c r="J41" s="144"/>
      <c r="K41" s="144"/>
      <c r="L41" s="145"/>
      <c r="M41" s="140" t="s">
        <v>2084</v>
      </c>
      <c r="N41" s="141"/>
      <c r="O41" s="141" t="s">
        <v>2186</v>
      </c>
      <c r="P41" s="141"/>
      <c r="Q41" s="141"/>
      <c r="R41" s="142"/>
      <c r="S41" s="140" t="s">
        <v>2108</v>
      </c>
      <c r="T41" s="141"/>
      <c r="U41" s="141" t="s">
        <v>2199</v>
      </c>
      <c r="V41" s="141"/>
      <c r="W41" s="141"/>
      <c r="X41" s="142"/>
      <c r="Z41" s="62"/>
      <c r="AA41" s="63"/>
      <c r="AB41" s="63"/>
      <c r="AC41" s="63"/>
      <c r="AD41" s="63"/>
      <c r="AE41" s="63"/>
      <c r="AF41" s="63"/>
      <c r="AG41" s="63"/>
      <c r="AH41" s="63"/>
      <c r="AI41" s="63"/>
      <c r="AJ41" s="61"/>
      <c r="AK41" s="63"/>
      <c r="AL41" s="63"/>
      <c r="AM41" s="63"/>
      <c r="AN41" s="63"/>
      <c r="AO41" s="63"/>
    </row>
    <row r="42" spans="1:41" ht="21.95" customHeight="1" thickBot="1">
      <c r="A42" s="150"/>
      <c r="B42" s="146"/>
      <c r="C42" s="146"/>
      <c r="D42" s="146"/>
      <c r="E42" s="146"/>
      <c r="F42" s="138"/>
      <c r="G42" s="150"/>
      <c r="H42" s="146"/>
      <c r="I42" s="146"/>
      <c r="J42" s="146"/>
      <c r="K42" s="146"/>
      <c r="L42" s="138"/>
      <c r="M42" s="140"/>
      <c r="N42" s="141"/>
      <c r="O42" s="141"/>
      <c r="P42" s="141"/>
      <c r="Q42" s="141"/>
      <c r="R42" s="142"/>
      <c r="S42" s="140"/>
      <c r="T42" s="141"/>
      <c r="U42" s="141"/>
      <c r="V42" s="141"/>
      <c r="W42" s="141"/>
      <c r="X42" s="142"/>
      <c r="AA42" s="59"/>
      <c r="AB42" s="59"/>
      <c r="AC42" s="59"/>
      <c r="AD42" s="59"/>
      <c r="AE42" s="59"/>
      <c r="AF42" s="59"/>
      <c r="AG42" s="59"/>
      <c r="AH42" s="59"/>
      <c r="AI42" s="59"/>
      <c r="AJ42" s="60"/>
      <c r="AK42" s="59"/>
      <c r="AL42" s="59"/>
      <c r="AM42" s="59"/>
      <c r="AN42" s="59"/>
      <c r="AO42" s="59"/>
    </row>
    <row r="43" spans="1:41" ht="21.95" customHeight="1">
      <c r="A43" s="150"/>
      <c r="B43" s="146"/>
      <c r="C43" s="146"/>
      <c r="D43" s="146"/>
      <c r="E43" s="146"/>
      <c r="F43" s="138"/>
      <c r="G43" s="150"/>
      <c r="H43" s="146"/>
      <c r="I43" s="146"/>
      <c r="J43" s="146"/>
      <c r="K43" s="146"/>
      <c r="L43" s="138"/>
      <c r="M43" s="140"/>
      <c r="N43" s="141"/>
      <c r="O43" s="141"/>
      <c r="P43" s="141"/>
      <c r="Q43" s="141"/>
      <c r="R43" s="142"/>
      <c r="S43" s="140"/>
      <c r="T43" s="141"/>
      <c r="U43" s="141"/>
      <c r="V43" s="141"/>
      <c r="W43" s="141"/>
      <c r="X43" s="142"/>
      <c r="AA43" s="192" t="str">
        <f>AA22</f>
        <v>스콘</v>
      </c>
      <c r="AB43" s="193"/>
      <c r="AC43" s="194"/>
      <c r="AD43" s="64"/>
      <c r="AE43" s="64"/>
      <c r="AF43" s="64"/>
      <c r="AG43" s="64"/>
      <c r="AH43" s="64"/>
      <c r="AI43" s="64"/>
      <c r="AJ43" s="60"/>
      <c r="AK43" s="59"/>
      <c r="AL43" s="59"/>
      <c r="AM43" s="192" t="str">
        <f>AM22</f>
        <v>푸딩</v>
      </c>
      <c r="AN43" s="193"/>
      <c r="AO43" s="194"/>
    </row>
    <row r="44" spans="1:41" ht="21.95" customHeight="1">
      <c r="A44" s="150"/>
      <c r="B44" s="146"/>
      <c r="C44" s="146"/>
      <c r="D44" s="146"/>
      <c r="E44" s="146"/>
      <c r="F44" s="138"/>
      <c r="G44" s="150"/>
      <c r="H44" s="146"/>
      <c r="I44" s="146"/>
      <c r="J44" s="146"/>
      <c r="K44" s="146"/>
      <c r="L44" s="138"/>
      <c r="M44" s="140"/>
      <c r="N44" s="141"/>
      <c r="O44" s="141"/>
      <c r="P44" s="141"/>
      <c r="Q44" s="141"/>
      <c r="R44" s="142"/>
      <c r="S44" s="140"/>
      <c r="T44" s="141"/>
      <c r="U44" s="141"/>
      <c r="V44" s="141"/>
      <c r="W44" s="160"/>
      <c r="X44" s="161"/>
      <c r="AA44" s="195"/>
      <c r="AB44" s="196"/>
      <c r="AC44" s="197"/>
      <c r="AD44" s="64"/>
      <c r="AE44" s="64"/>
      <c r="AF44" s="64"/>
      <c r="AG44" s="64"/>
      <c r="AH44" s="64"/>
      <c r="AI44" s="64"/>
      <c r="AJ44" s="60"/>
      <c r="AK44" s="64"/>
      <c r="AL44" s="59"/>
      <c r="AM44" s="195"/>
      <c r="AN44" s="196"/>
      <c r="AO44" s="197"/>
    </row>
    <row r="45" spans="1:41" ht="21.95" customHeight="1" thickBot="1">
      <c r="A45" s="172" t="str">
        <f>M45</f>
        <v>리틀포레스트</v>
      </c>
      <c r="B45" s="173"/>
      <c r="C45" s="173"/>
      <c r="D45" s="174"/>
      <c r="E45" s="177" t="str">
        <f>Q45</f>
        <v>서안</v>
      </c>
      <c r="F45" s="178"/>
      <c r="G45" s="172" t="str">
        <f>S45</f>
        <v>클래식</v>
      </c>
      <c r="H45" s="173"/>
      <c r="I45" s="173"/>
      <c r="J45" s="174"/>
      <c r="K45" s="177" t="str">
        <f>W45</f>
        <v>파리</v>
      </c>
      <c r="L45" s="178"/>
      <c r="M45" s="156" t="s">
        <v>2217</v>
      </c>
      <c r="N45" s="157"/>
      <c r="O45" s="157"/>
      <c r="P45" s="158"/>
      <c r="Q45" s="141" t="s">
        <v>2218</v>
      </c>
      <c r="R45" s="142"/>
      <c r="S45" s="201" t="s">
        <v>2306</v>
      </c>
      <c r="T45" s="202"/>
      <c r="U45" s="202"/>
      <c r="V45" s="203"/>
      <c r="W45" s="141" t="s">
        <v>2308</v>
      </c>
      <c r="X45" s="142"/>
      <c r="AA45" s="198" t="str">
        <f>AA24</f>
        <v>박준형</v>
      </c>
      <c r="AB45" s="199"/>
      <c r="AC45" s="200"/>
      <c r="AD45" s="70"/>
      <c r="AE45" s="70"/>
      <c r="AF45" s="70"/>
      <c r="AG45" s="70"/>
      <c r="AH45" s="70"/>
      <c r="AI45" s="70"/>
      <c r="AJ45" s="59"/>
      <c r="AK45" s="59"/>
      <c r="AL45" s="59"/>
      <c r="AM45" s="198" t="str">
        <f>AM24</f>
        <v>최정아</v>
      </c>
      <c r="AN45" s="199"/>
      <c r="AO45" s="200"/>
    </row>
    <row r="46" spans="1:41" ht="21.95" customHeight="1" thickBot="1">
      <c r="A46" s="140" t="str">
        <f>M46</f>
        <v>편안함</v>
      </c>
      <c r="B46" s="141"/>
      <c r="C46" s="141"/>
      <c r="D46" s="141"/>
      <c r="E46" s="141" t="str">
        <f>Q46</f>
        <v>칸다소바</v>
      </c>
      <c r="F46" s="142"/>
      <c r="G46" s="140" t="str">
        <f>S46</f>
        <v>배려</v>
      </c>
      <c r="H46" s="141"/>
      <c r="I46" s="141"/>
      <c r="J46" s="141"/>
      <c r="K46" s="141" t="str">
        <f>W46</f>
        <v>신동궁 숯불뼈구이</v>
      </c>
      <c r="L46" s="142"/>
      <c r="M46" s="150" t="s">
        <v>2090</v>
      </c>
      <c r="N46" s="146"/>
      <c r="O46" s="146"/>
      <c r="P46" s="146"/>
      <c r="Q46" s="146" t="s">
        <v>2219</v>
      </c>
      <c r="R46" s="138"/>
      <c r="S46" s="150" t="s">
        <v>2309</v>
      </c>
      <c r="T46" s="146"/>
      <c r="U46" s="146"/>
      <c r="V46" s="146"/>
      <c r="W46" s="146" t="s">
        <v>2310</v>
      </c>
      <c r="X46" s="138"/>
      <c r="AA46" s="60"/>
      <c r="AB46" s="60"/>
      <c r="AC46" s="60"/>
      <c r="AD46" s="60"/>
      <c r="AE46" s="60"/>
      <c r="AF46" s="60"/>
      <c r="AG46" s="60"/>
      <c r="AH46" s="60"/>
      <c r="AI46" s="60"/>
      <c r="AJ46" s="59"/>
      <c r="AK46" s="59"/>
      <c r="AL46" s="59"/>
      <c r="AM46" s="60"/>
      <c r="AN46" s="60"/>
      <c r="AO46" s="60"/>
    </row>
    <row r="47" spans="1:41" ht="21.95" customHeight="1">
      <c r="A47" s="140" t="str">
        <f>M47</f>
        <v>CUTE</v>
      </c>
      <c r="B47" s="141"/>
      <c r="C47" s="141" t="str">
        <f>O47</f>
        <v>대화</v>
      </c>
      <c r="D47" s="141"/>
      <c r="E47" s="141" t="str">
        <f>Q47</f>
        <v>예쁜미소</v>
      </c>
      <c r="F47" s="142"/>
      <c r="G47" s="140" t="str">
        <f>S47</f>
        <v>대화</v>
      </c>
      <c r="H47" s="141"/>
      <c r="I47" s="141" t="str">
        <f>U47</f>
        <v>다정다감</v>
      </c>
      <c r="J47" s="141"/>
      <c r="K47" s="141"/>
      <c r="L47" s="142"/>
      <c r="M47" s="150" t="s">
        <v>2091</v>
      </c>
      <c r="N47" s="146"/>
      <c r="O47" s="146" t="s">
        <v>2094</v>
      </c>
      <c r="P47" s="146"/>
      <c r="Q47" s="146" t="s">
        <v>2187</v>
      </c>
      <c r="R47" s="138"/>
      <c r="S47" s="150" t="s">
        <v>2094</v>
      </c>
      <c r="T47" s="146"/>
      <c r="U47" s="146" t="s">
        <v>2123</v>
      </c>
      <c r="V47" s="146"/>
      <c r="W47" s="146"/>
      <c r="X47" s="138"/>
      <c r="AA47" s="192" t="str">
        <f>AA26</f>
        <v>소금빵</v>
      </c>
      <c r="AB47" s="193"/>
      <c r="AC47" s="194"/>
      <c r="AD47" s="64"/>
      <c r="AE47" s="64"/>
      <c r="AF47" s="64"/>
      <c r="AG47" s="64"/>
      <c r="AH47" s="64"/>
      <c r="AI47" s="64"/>
      <c r="AJ47" s="59"/>
      <c r="AK47" s="59"/>
      <c r="AL47" s="59"/>
      <c r="AM47" s="192" t="str">
        <f>AM26</f>
        <v>피낭시에</v>
      </c>
      <c r="AN47" s="193"/>
      <c r="AO47" s="194"/>
    </row>
    <row r="48" spans="1:41" ht="21.95" customHeight="1" thickBot="1">
      <c r="A48" s="147"/>
      <c r="B48" s="148"/>
      <c r="C48" s="148"/>
      <c r="D48" s="148"/>
      <c r="E48" s="148"/>
      <c r="F48" s="175"/>
      <c r="G48" s="147"/>
      <c r="H48" s="148"/>
      <c r="I48" s="148"/>
      <c r="J48" s="148"/>
      <c r="K48" s="148"/>
      <c r="L48" s="175"/>
      <c r="M48" s="159"/>
      <c r="N48" s="135"/>
      <c r="O48" s="149"/>
      <c r="P48" s="135"/>
      <c r="Q48" s="149"/>
      <c r="R48" s="151"/>
      <c r="S48" s="159"/>
      <c r="T48" s="135"/>
      <c r="U48" s="149"/>
      <c r="V48" s="135"/>
      <c r="W48" s="149"/>
      <c r="X48" s="151"/>
      <c r="AA48" s="195"/>
      <c r="AB48" s="196"/>
      <c r="AC48" s="197"/>
      <c r="AD48" s="64"/>
      <c r="AE48" s="64"/>
      <c r="AF48" s="64"/>
      <c r="AG48" s="64"/>
      <c r="AH48" s="64"/>
      <c r="AI48" s="64"/>
      <c r="AJ48" s="60"/>
      <c r="AK48" s="59"/>
      <c r="AL48" s="59"/>
      <c r="AM48" s="195"/>
      <c r="AN48" s="196"/>
      <c r="AO48" s="197"/>
    </row>
    <row r="49" spans="1:41" ht="21.95" customHeight="1" thickBot="1">
      <c r="A49" s="126" t="str">
        <f>Q49</f>
        <v>초콜릿</v>
      </c>
      <c r="B49" s="127"/>
      <c r="C49" s="127"/>
      <c r="D49" s="128"/>
      <c r="E49" s="143" t="str">
        <f>O49</f>
        <v>ENFP</v>
      </c>
      <c r="F49" s="190"/>
      <c r="G49" s="126" t="str">
        <f>W49</f>
        <v>마들렌</v>
      </c>
      <c r="H49" s="127"/>
      <c r="I49" s="127"/>
      <c r="J49" s="128"/>
      <c r="K49" s="143" t="str">
        <f>U49</f>
        <v>ISFJ</v>
      </c>
      <c r="L49" s="190"/>
      <c r="M49" s="180" t="str">
        <f>'18L'!C6</f>
        <v>이재형</v>
      </c>
      <c r="N49" s="171"/>
      <c r="O49" s="182" t="str">
        <f>'18L'!I6</f>
        <v>ENFP</v>
      </c>
      <c r="P49" s="183"/>
      <c r="Q49" s="152" t="s">
        <v>2333</v>
      </c>
      <c r="R49" s="153"/>
      <c r="S49" s="180" t="str">
        <f>'18L'!C11</f>
        <v>이상희</v>
      </c>
      <c r="T49" s="171"/>
      <c r="U49" s="162" t="str">
        <f>'18L'!I11</f>
        <v>ISFJ</v>
      </c>
      <c r="V49" s="163"/>
      <c r="W49" s="152" t="s">
        <v>2331</v>
      </c>
      <c r="X49" s="153"/>
      <c r="AA49" s="198" t="str">
        <f>AA28</f>
        <v>강병곤</v>
      </c>
      <c r="AB49" s="199"/>
      <c r="AC49" s="200"/>
      <c r="AD49" s="70"/>
      <c r="AE49" s="70"/>
      <c r="AF49" s="70"/>
      <c r="AG49" s="70"/>
      <c r="AH49" s="70"/>
      <c r="AI49" s="70"/>
      <c r="AJ49" s="69"/>
      <c r="AK49" s="59"/>
      <c r="AL49" s="59"/>
      <c r="AM49" s="198" t="str">
        <f>AM28</f>
        <v>최유미</v>
      </c>
      <c r="AN49" s="199"/>
      <c r="AO49" s="200"/>
    </row>
    <row r="50" spans="1:41" ht="21.95" customHeight="1" thickBot="1">
      <c r="A50" s="129"/>
      <c r="B50" s="130"/>
      <c r="C50" s="130"/>
      <c r="D50" s="131"/>
      <c r="E50" s="137">
        <f>M50</f>
        <v>30</v>
      </c>
      <c r="F50" s="139"/>
      <c r="G50" s="129"/>
      <c r="H50" s="130"/>
      <c r="I50" s="130"/>
      <c r="J50" s="131"/>
      <c r="K50" s="137">
        <f>S50</f>
        <v>33</v>
      </c>
      <c r="L50" s="139"/>
      <c r="M50" s="13">
        <f>'18L'!D6</f>
        <v>30</v>
      </c>
      <c r="N50" s="14">
        <f>'18L'!E6</f>
        <v>170</v>
      </c>
      <c r="O50" s="15" t="str">
        <f>'18L'!K6</f>
        <v>무교</v>
      </c>
      <c r="P50" s="15" t="str">
        <f>'18L'!L6</f>
        <v>무관</v>
      </c>
      <c r="Q50" s="65"/>
      <c r="R50" s="66" t="s">
        <v>2001</v>
      </c>
      <c r="S50" s="13">
        <f>'18L'!D11</f>
        <v>33</v>
      </c>
      <c r="T50" s="16">
        <f>'18L'!E11</f>
        <v>175</v>
      </c>
      <c r="U50" s="15" t="str">
        <f>'18L'!K11</f>
        <v>기독교</v>
      </c>
      <c r="V50" s="15" t="str">
        <f>'18L'!L11</f>
        <v>무관</v>
      </c>
      <c r="W50" s="65"/>
      <c r="X50" s="66" t="s">
        <v>2047</v>
      </c>
      <c r="AA50" s="59"/>
      <c r="AB50" s="59"/>
      <c r="AC50" s="59"/>
      <c r="AD50" s="59"/>
      <c r="AE50" s="59"/>
      <c r="AF50" s="59"/>
      <c r="AG50" s="59"/>
      <c r="AH50" s="59"/>
      <c r="AI50" s="59"/>
      <c r="AJ50" s="60"/>
      <c r="AK50" s="59"/>
      <c r="AL50" s="59"/>
      <c r="AM50" s="59"/>
      <c r="AN50" s="59"/>
      <c r="AO50" s="59"/>
    </row>
    <row r="51" spans="1:41" ht="21.95" customHeight="1">
      <c r="A51" s="129"/>
      <c r="B51" s="130"/>
      <c r="C51" s="130"/>
      <c r="D51" s="131"/>
      <c r="E51" s="137" t="str">
        <f>O50</f>
        <v>무교</v>
      </c>
      <c r="F51" s="139"/>
      <c r="G51" s="129"/>
      <c r="H51" s="130"/>
      <c r="I51" s="130"/>
      <c r="J51" s="131"/>
      <c r="K51" s="137" t="str">
        <f>U50</f>
        <v>기독교</v>
      </c>
      <c r="L51" s="139"/>
      <c r="M51" s="165" t="str">
        <f>'18L'!F6</f>
        <v>에스원, FM파트</v>
      </c>
      <c r="N51" s="166"/>
      <c r="O51" s="166"/>
      <c r="P51" s="167"/>
      <c r="Q51" s="152" t="str">
        <f>'18L'!G6</f>
        <v>24~31</v>
      </c>
      <c r="R51" s="153"/>
      <c r="S51" s="204" t="str">
        <f>'18L'!F11</f>
        <v>커피 프랜차이즈 구매팀</v>
      </c>
      <c r="T51" s="205"/>
      <c r="U51" s="205"/>
      <c r="V51" s="206"/>
      <c r="W51" s="152" t="str">
        <f>'18L'!G11</f>
        <v>35~38</v>
      </c>
      <c r="X51" s="153"/>
      <c r="AA51" s="192" t="str">
        <f>AA30</f>
        <v>크루아상</v>
      </c>
      <c r="AB51" s="193"/>
      <c r="AC51" s="194"/>
      <c r="AD51" s="64"/>
      <c r="AE51" s="64"/>
      <c r="AF51" s="64"/>
      <c r="AG51" s="64"/>
      <c r="AH51" s="64"/>
      <c r="AI51" s="64"/>
      <c r="AJ51" s="60"/>
      <c r="AK51" s="64"/>
      <c r="AL51" s="59"/>
      <c r="AM51" s="192" t="str">
        <f>AM30</f>
        <v>티라미수</v>
      </c>
      <c r="AN51" s="193"/>
      <c r="AO51" s="194"/>
    </row>
    <row r="52" spans="1:41" ht="21.95" customHeight="1" thickBot="1">
      <c r="A52" s="132"/>
      <c r="B52" s="133"/>
      <c r="C52" s="133"/>
      <c r="D52" s="134"/>
      <c r="E52" s="135" t="str">
        <f>R50</f>
        <v>I.A</v>
      </c>
      <c r="F52" s="149"/>
      <c r="G52" s="132"/>
      <c r="H52" s="133"/>
      <c r="I52" s="133"/>
      <c r="J52" s="134"/>
      <c r="K52" s="135" t="str">
        <f>X50</f>
        <v>I.A</v>
      </c>
      <c r="L52" s="149"/>
      <c r="M52" s="156" t="str">
        <f>'18L'!M6</f>
        <v>무관</v>
      </c>
      <c r="N52" s="157"/>
      <c r="O52" s="157"/>
      <c r="P52" s="158"/>
      <c r="Q52" s="164" t="str">
        <f>'18L'!H6</f>
        <v>무관</v>
      </c>
      <c r="R52" s="179"/>
      <c r="S52" s="156" t="str">
        <f>'18L'!M11</f>
        <v>무관</v>
      </c>
      <c r="T52" s="157"/>
      <c r="U52" s="157"/>
      <c r="V52" s="158"/>
      <c r="W52" s="164" t="str">
        <f>'18L'!H11</f>
        <v>175~180</v>
      </c>
      <c r="X52" s="179"/>
      <c r="AA52" s="195"/>
      <c r="AB52" s="196"/>
      <c r="AC52" s="197"/>
      <c r="AD52" s="64"/>
      <c r="AE52" s="64"/>
      <c r="AF52" s="64"/>
      <c r="AG52" s="64"/>
      <c r="AH52" s="64"/>
      <c r="AI52" s="64"/>
      <c r="AJ52" s="59"/>
      <c r="AK52" s="59"/>
      <c r="AL52" s="59"/>
      <c r="AM52" s="195"/>
      <c r="AN52" s="196"/>
      <c r="AO52" s="197"/>
    </row>
    <row r="53" spans="1:41" ht="21.95" customHeight="1" thickBot="1">
      <c r="A53" s="188" t="str">
        <f>M53</f>
        <v>도전적</v>
      </c>
      <c r="B53" s="144"/>
      <c r="C53" s="144"/>
      <c r="D53" s="144"/>
      <c r="E53" s="144"/>
      <c r="F53" s="145"/>
      <c r="G53" s="188" t="str">
        <f>S53</f>
        <v>내향인</v>
      </c>
      <c r="H53" s="144"/>
      <c r="I53" s="144" t="str">
        <f>U53</f>
        <v>외향인</v>
      </c>
      <c r="J53" s="144"/>
      <c r="K53" s="144" t="str">
        <f>W53</f>
        <v>챙겨줌</v>
      </c>
      <c r="L53" s="145"/>
      <c r="M53" s="140" t="s">
        <v>2103</v>
      </c>
      <c r="N53" s="141"/>
      <c r="O53" s="141"/>
      <c r="P53" s="141"/>
      <c r="Q53" s="141"/>
      <c r="R53" s="142"/>
      <c r="S53" s="140" t="s">
        <v>2200</v>
      </c>
      <c r="T53" s="141"/>
      <c r="U53" s="141" t="s">
        <v>2201</v>
      </c>
      <c r="V53" s="141"/>
      <c r="W53" s="141" t="s">
        <v>2202</v>
      </c>
      <c r="X53" s="142"/>
      <c r="AA53" s="198" t="str">
        <f>AA32</f>
        <v>박찬우</v>
      </c>
      <c r="AB53" s="199"/>
      <c r="AC53" s="200"/>
      <c r="AD53" s="70"/>
      <c r="AE53" s="70"/>
      <c r="AF53" s="70"/>
      <c r="AG53" s="70"/>
      <c r="AH53" s="70"/>
      <c r="AI53" s="70"/>
      <c r="AJ53" s="69"/>
      <c r="AK53" s="70"/>
      <c r="AL53" s="59"/>
      <c r="AM53" s="198" t="str">
        <f>AM32</f>
        <v>조시연</v>
      </c>
      <c r="AN53" s="199"/>
      <c r="AO53" s="200"/>
    </row>
    <row r="54" spans="1:41" ht="21.95" customHeight="1" thickBot="1">
      <c r="A54" s="150"/>
      <c r="B54" s="146"/>
      <c r="C54" s="146"/>
      <c r="D54" s="146"/>
      <c r="E54" s="146"/>
      <c r="F54" s="138"/>
      <c r="G54" s="150" t="str">
        <f t="shared" ref="G54:G55" si="7">S54</f>
        <v>여행</v>
      </c>
      <c r="H54" s="146"/>
      <c r="I54" s="146" t="str">
        <f t="shared" ref="I54:I55" si="8">U54</f>
        <v>체험</v>
      </c>
      <c r="J54" s="146"/>
      <c r="K54" s="146" t="str">
        <f t="shared" ref="K54:K55" si="9">W54</f>
        <v>맛집여행</v>
      </c>
      <c r="L54" s="138"/>
      <c r="M54" s="140"/>
      <c r="N54" s="141"/>
      <c r="O54" s="141"/>
      <c r="P54" s="141"/>
      <c r="Q54" s="141"/>
      <c r="R54" s="142"/>
      <c r="S54" s="140" t="s">
        <v>2203</v>
      </c>
      <c r="T54" s="141"/>
      <c r="U54" s="141" t="s">
        <v>2105</v>
      </c>
      <c r="V54" s="141"/>
      <c r="W54" s="141" t="s">
        <v>2204</v>
      </c>
      <c r="X54" s="142"/>
      <c r="AA54" s="59"/>
      <c r="AB54" s="59"/>
      <c r="AC54" s="59"/>
      <c r="AD54" s="59"/>
      <c r="AE54" s="59"/>
      <c r="AF54" s="59"/>
      <c r="AG54" s="59"/>
      <c r="AH54" s="59"/>
      <c r="AI54" s="59"/>
      <c r="AJ54" s="60"/>
      <c r="AK54" s="64"/>
      <c r="AL54" s="59"/>
      <c r="AM54" s="59"/>
      <c r="AN54" s="59"/>
      <c r="AO54" s="59"/>
    </row>
    <row r="55" spans="1:41" ht="21.95" customHeight="1">
      <c r="A55" s="150"/>
      <c r="B55" s="146"/>
      <c r="C55" s="146"/>
      <c r="D55" s="146"/>
      <c r="E55" s="146"/>
      <c r="F55" s="138"/>
      <c r="G55" s="150" t="str">
        <f t="shared" si="7"/>
        <v>잔잔한 감정</v>
      </c>
      <c r="H55" s="146"/>
      <c r="I55" s="146" t="str">
        <f t="shared" si="8"/>
        <v xml:space="preserve">무심함에 </v>
      </c>
      <c r="J55" s="146"/>
      <c r="K55" s="146" t="str">
        <f t="shared" si="9"/>
        <v>서운</v>
      </c>
      <c r="L55" s="138"/>
      <c r="M55" s="140"/>
      <c r="N55" s="141"/>
      <c r="O55" s="141"/>
      <c r="P55" s="141"/>
      <c r="Q55" s="141"/>
      <c r="R55" s="142"/>
      <c r="S55" s="140" t="s">
        <v>2205</v>
      </c>
      <c r="T55" s="141"/>
      <c r="U55" s="141" t="s">
        <v>2206</v>
      </c>
      <c r="V55" s="141"/>
      <c r="W55" s="141" t="s">
        <v>2207</v>
      </c>
      <c r="X55" s="142"/>
      <c r="AA55" s="192" t="str">
        <f>AA34</f>
        <v>단팥빵</v>
      </c>
      <c r="AB55" s="193"/>
      <c r="AC55" s="194"/>
      <c r="AD55" s="64"/>
      <c r="AE55" s="64"/>
      <c r="AF55" s="64"/>
      <c r="AG55" s="64"/>
      <c r="AH55" s="64"/>
      <c r="AI55" s="64"/>
      <c r="AJ55" s="60"/>
      <c r="AK55" s="64"/>
      <c r="AL55" s="59"/>
      <c r="AM55" s="192" t="str">
        <f>AM34</f>
        <v>에그타르트</v>
      </c>
      <c r="AN55" s="193"/>
      <c r="AO55" s="194"/>
    </row>
    <row r="56" spans="1:41" ht="21.95" customHeight="1">
      <c r="A56" s="150"/>
      <c r="B56" s="146"/>
      <c r="C56" s="146"/>
      <c r="D56" s="146"/>
      <c r="E56" s="146"/>
      <c r="F56" s="138"/>
      <c r="G56" s="150"/>
      <c r="H56" s="146"/>
      <c r="I56" s="146"/>
      <c r="J56" s="146"/>
      <c r="K56" s="146"/>
      <c r="L56" s="138"/>
      <c r="M56" s="140"/>
      <c r="N56" s="141"/>
      <c r="O56" s="141"/>
      <c r="P56" s="141"/>
      <c r="Q56" s="141"/>
      <c r="R56" s="142"/>
      <c r="S56" s="140"/>
      <c r="T56" s="141"/>
      <c r="U56" s="141"/>
      <c r="V56" s="141"/>
      <c r="W56" s="141"/>
      <c r="X56" s="142"/>
      <c r="AA56" s="195"/>
      <c r="AB56" s="196"/>
      <c r="AC56" s="197"/>
      <c r="AD56" s="64"/>
      <c r="AE56" s="64"/>
      <c r="AF56" s="64"/>
      <c r="AG56" s="64"/>
      <c r="AH56" s="64"/>
      <c r="AI56" s="64"/>
      <c r="AJ56" s="60"/>
      <c r="AK56" s="64"/>
      <c r="AL56" s="59"/>
      <c r="AM56" s="195"/>
      <c r="AN56" s="196"/>
      <c r="AO56" s="197"/>
    </row>
    <row r="57" spans="1:41" ht="21.95" customHeight="1" thickBot="1">
      <c r="A57" s="172" t="str">
        <f>M57</f>
        <v>극한직업</v>
      </c>
      <c r="B57" s="173"/>
      <c r="C57" s="173"/>
      <c r="D57" s="174"/>
      <c r="E57" s="177" t="str">
        <f>Q57</f>
        <v>오사카</v>
      </c>
      <c r="F57" s="178"/>
      <c r="G57" s="172" t="str">
        <f>S57</f>
        <v>위대한 쇼맨</v>
      </c>
      <c r="H57" s="173"/>
      <c r="I57" s="173"/>
      <c r="J57" s="174"/>
      <c r="K57" s="177" t="str">
        <f>W57</f>
        <v>제주도</v>
      </c>
      <c r="L57" s="178"/>
      <c r="M57" s="156" t="s">
        <v>2311</v>
      </c>
      <c r="N57" s="157"/>
      <c r="O57" s="157"/>
      <c r="P57" s="158"/>
      <c r="Q57" s="141" t="s">
        <v>2312</v>
      </c>
      <c r="R57" s="142"/>
      <c r="S57" s="156" t="s">
        <v>2228</v>
      </c>
      <c r="T57" s="157"/>
      <c r="U57" s="157"/>
      <c r="V57" s="158"/>
      <c r="W57" s="141" t="s">
        <v>2145</v>
      </c>
      <c r="X57" s="142"/>
      <c r="AA57" s="198" t="str">
        <f>AA36</f>
        <v>최준혁</v>
      </c>
      <c r="AB57" s="199"/>
      <c r="AC57" s="200"/>
      <c r="AD57" s="70"/>
      <c r="AE57" s="70"/>
      <c r="AF57" s="70"/>
      <c r="AG57" s="70"/>
      <c r="AH57" s="70"/>
      <c r="AI57" s="70"/>
      <c r="AJ57" s="59"/>
      <c r="AK57" s="59"/>
      <c r="AL57" s="59"/>
      <c r="AM57" s="198" t="str">
        <f>AM36</f>
        <v>박서영</v>
      </c>
      <c r="AN57" s="199"/>
      <c r="AO57" s="200"/>
    </row>
    <row r="58" spans="1:41" ht="21.95" customHeight="1" thickBot="1">
      <c r="A58" s="140" t="str">
        <f>M58</f>
        <v>편안함</v>
      </c>
      <c r="B58" s="141"/>
      <c r="C58" s="141"/>
      <c r="D58" s="141"/>
      <c r="E58" s="141" t="str">
        <f>Q58</f>
        <v>온센</v>
      </c>
      <c r="F58" s="142"/>
      <c r="G58" s="140" t="str">
        <f>S58</f>
        <v>연락</v>
      </c>
      <c r="H58" s="141"/>
      <c r="I58" s="141"/>
      <c r="J58" s="141"/>
      <c r="K58" s="141" t="str">
        <f>W58</f>
        <v>제주도 고등어횟집</v>
      </c>
      <c r="L58" s="142"/>
      <c r="M58" s="150" t="s">
        <v>2313</v>
      </c>
      <c r="N58" s="146"/>
      <c r="O58" s="146"/>
      <c r="P58" s="146"/>
      <c r="Q58" s="146" t="s">
        <v>2314</v>
      </c>
      <c r="R58" s="138"/>
      <c r="S58" s="150" t="s">
        <v>2146</v>
      </c>
      <c r="T58" s="146"/>
      <c r="U58" s="146"/>
      <c r="V58" s="146"/>
      <c r="W58" s="146" t="s">
        <v>2229</v>
      </c>
      <c r="X58" s="138"/>
      <c r="AA58" s="59"/>
      <c r="AB58" s="59"/>
      <c r="AC58" s="59"/>
      <c r="AD58" s="59"/>
      <c r="AE58" s="59"/>
      <c r="AF58" s="59"/>
      <c r="AG58" s="59"/>
      <c r="AH58" s="59"/>
      <c r="AI58" s="59"/>
      <c r="AJ58" s="59"/>
      <c r="AK58" s="59"/>
      <c r="AL58" s="59"/>
      <c r="AM58" s="59"/>
      <c r="AN58" s="59"/>
      <c r="AO58" s="59"/>
    </row>
    <row r="59" spans="1:41" ht="21.95" customHeight="1">
      <c r="A59" s="140"/>
      <c r="B59" s="141"/>
      <c r="C59" s="141"/>
      <c r="D59" s="141"/>
      <c r="E59" s="141"/>
      <c r="F59" s="142"/>
      <c r="G59" s="140" t="str">
        <f>S59</f>
        <v>비흡연자</v>
      </c>
      <c r="H59" s="141"/>
      <c r="I59" s="141" t="str">
        <f>U59</f>
        <v>표현러</v>
      </c>
      <c r="J59" s="141"/>
      <c r="K59" s="141"/>
      <c r="L59" s="142"/>
      <c r="M59" s="150"/>
      <c r="N59" s="146"/>
      <c r="O59" s="146"/>
      <c r="P59" s="146"/>
      <c r="Q59" s="146"/>
      <c r="R59" s="138"/>
      <c r="S59" s="150" t="s">
        <v>2208</v>
      </c>
      <c r="T59" s="146"/>
      <c r="U59" s="146" t="s">
        <v>2209</v>
      </c>
      <c r="V59" s="146"/>
      <c r="W59" s="146"/>
      <c r="X59" s="138"/>
      <c r="AA59" s="192" t="str">
        <f>AA38</f>
        <v>초콜릿</v>
      </c>
      <c r="AB59" s="193"/>
      <c r="AC59" s="194"/>
      <c r="AD59" s="64"/>
      <c r="AE59" s="64"/>
      <c r="AF59" s="64"/>
      <c r="AG59" s="64"/>
      <c r="AH59" s="64"/>
      <c r="AI59" s="64"/>
      <c r="AJ59" s="59"/>
      <c r="AK59" s="59"/>
      <c r="AL59" s="59"/>
      <c r="AM59" s="192" t="str">
        <f>AM38</f>
        <v>마들렌</v>
      </c>
      <c r="AN59" s="193"/>
      <c r="AO59" s="194"/>
    </row>
    <row r="60" spans="1:41" ht="21.95" customHeight="1" thickBot="1">
      <c r="A60" s="147"/>
      <c r="B60" s="148"/>
      <c r="C60" s="148"/>
      <c r="D60" s="148"/>
      <c r="E60" s="148"/>
      <c r="F60" s="175"/>
      <c r="G60" s="147"/>
      <c r="H60" s="148"/>
      <c r="I60" s="148"/>
      <c r="J60" s="148"/>
      <c r="K60" s="148"/>
      <c r="L60" s="175"/>
      <c r="M60" s="159"/>
      <c r="N60" s="135"/>
      <c r="O60" s="149"/>
      <c r="P60" s="135"/>
      <c r="Q60" s="149"/>
      <c r="R60" s="151"/>
      <c r="S60" s="159"/>
      <c r="T60" s="135"/>
      <c r="U60" s="149"/>
      <c r="V60" s="135"/>
      <c r="W60" s="149"/>
      <c r="X60" s="151"/>
      <c r="AA60" s="195"/>
      <c r="AB60" s="196"/>
      <c r="AC60" s="197"/>
      <c r="AD60" s="64"/>
      <c r="AE60" s="64"/>
      <c r="AF60" s="64"/>
      <c r="AG60" s="64"/>
      <c r="AH60" s="64"/>
      <c r="AI60" s="64"/>
      <c r="AJ60" s="60"/>
      <c r="AK60" s="64"/>
      <c r="AL60" s="59"/>
      <c r="AM60" s="195"/>
      <c r="AN60" s="196"/>
      <c r="AO60" s="197"/>
    </row>
    <row r="61" spans="1:41" ht="21.95" customHeight="1" thickBot="1">
      <c r="AA61" s="198" t="str">
        <f>AA40</f>
        <v>이재형</v>
      </c>
      <c r="AB61" s="199"/>
      <c r="AC61" s="200"/>
      <c r="AD61" s="70"/>
      <c r="AE61" s="70"/>
      <c r="AF61" s="70"/>
      <c r="AG61" s="70"/>
      <c r="AH61" s="70"/>
      <c r="AI61" s="70"/>
      <c r="AJ61" s="59"/>
      <c r="AK61" s="59"/>
      <c r="AL61" s="59"/>
      <c r="AM61" s="198" t="str">
        <f>AM40</f>
        <v>이상희</v>
      </c>
      <c r="AN61" s="199"/>
      <c r="AO61" s="200"/>
    </row>
  </sheetData>
  <mergeCells count="640">
    <mergeCell ref="AA61:AC61"/>
    <mergeCell ref="AM61:AO61"/>
    <mergeCell ref="W24:X24"/>
    <mergeCell ref="AA55:AC56"/>
    <mergeCell ref="AM55:AO56"/>
    <mergeCell ref="AA57:AC57"/>
    <mergeCell ref="AM57:AO57"/>
    <mergeCell ref="AA59:AC60"/>
    <mergeCell ref="AM59:AO60"/>
    <mergeCell ref="AA49:AC49"/>
    <mergeCell ref="AM49:AO49"/>
    <mergeCell ref="AA51:AC52"/>
    <mergeCell ref="AM51:AO52"/>
    <mergeCell ref="AA53:AC53"/>
    <mergeCell ref="AM53:AO53"/>
    <mergeCell ref="AA43:AC44"/>
    <mergeCell ref="AM43:AO44"/>
    <mergeCell ref="AA45:AC45"/>
    <mergeCell ref="AM45:AO45"/>
    <mergeCell ref="AA47:AC48"/>
    <mergeCell ref="AM47:AO48"/>
    <mergeCell ref="AA38:AC39"/>
    <mergeCell ref="AA40:AC40"/>
    <mergeCell ref="AM38:AO39"/>
    <mergeCell ref="AM22:AO23"/>
    <mergeCell ref="AM24:AO24"/>
    <mergeCell ref="AM26:AO27"/>
    <mergeCell ref="AM28:AO28"/>
    <mergeCell ref="AM30:AO31"/>
    <mergeCell ref="AM32:AO32"/>
    <mergeCell ref="AA22:AC23"/>
    <mergeCell ref="AA24:AC24"/>
    <mergeCell ref="AA26:AC27"/>
    <mergeCell ref="AA28:AC28"/>
    <mergeCell ref="AA30:AC31"/>
    <mergeCell ref="AA32:AC32"/>
    <mergeCell ref="AM40:AO40"/>
    <mergeCell ref="AA34:AC35"/>
    <mergeCell ref="AA36:AC36"/>
    <mergeCell ref="AM34:AO35"/>
    <mergeCell ref="AM36:AO36"/>
    <mergeCell ref="M60:N60"/>
    <mergeCell ref="O60:P60"/>
    <mergeCell ref="Q60:R60"/>
    <mergeCell ref="S60:T60"/>
    <mergeCell ref="U60:V60"/>
    <mergeCell ref="W60:X60"/>
    <mergeCell ref="S59:T59"/>
    <mergeCell ref="U59:V59"/>
    <mergeCell ref="W59:X59"/>
    <mergeCell ref="M58:N58"/>
    <mergeCell ref="O58:P58"/>
    <mergeCell ref="Q58:R58"/>
    <mergeCell ref="S58:T58"/>
    <mergeCell ref="U58:V58"/>
    <mergeCell ref="W58:X58"/>
    <mergeCell ref="M57:P57"/>
    <mergeCell ref="Q57:R57"/>
    <mergeCell ref="S57:V57"/>
    <mergeCell ref="W57:X57"/>
    <mergeCell ref="A60:B60"/>
    <mergeCell ref="C60:D60"/>
    <mergeCell ref="E60:F60"/>
    <mergeCell ref="G60:H60"/>
    <mergeCell ref="I60:J60"/>
    <mergeCell ref="K60:L60"/>
    <mergeCell ref="M59:N59"/>
    <mergeCell ref="O59:P59"/>
    <mergeCell ref="Q59:R59"/>
    <mergeCell ref="A59:B59"/>
    <mergeCell ref="C59:D59"/>
    <mergeCell ref="E59:F59"/>
    <mergeCell ref="G59:H59"/>
    <mergeCell ref="I59:J59"/>
    <mergeCell ref="K59:L59"/>
    <mergeCell ref="A58:B58"/>
    <mergeCell ref="C58:D58"/>
    <mergeCell ref="E58:F58"/>
    <mergeCell ref="G58:H58"/>
    <mergeCell ref="I58:J58"/>
    <mergeCell ref="K58:L58"/>
    <mergeCell ref="A57:D57"/>
    <mergeCell ref="E57:F57"/>
    <mergeCell ref="G57:J57"/>
    <mergeCell ref="K57:L57"/>
    <mergeCell ref="M56:N56"/>
    <mergeCell ref="O56:P56"/>
    <mergeCell ref="Q56:R56"/>
    <mergeCell ref="S56:T56"/>
    <mergeCell ref="U56:V56"/>
    <mergeCell ref="W56:X56"/>
    <mergeCell ref="A56:B56"/>
    <mergeCell ref="C56:D56"/>
    <mergeCell ref="E56:F56"/>
    <mergeCell ref="G56:H56"/>
    <mergeCell ref="I56:J56"/>
    <mergeCell ref="K56:L56"/>
    <mergeCell ref="M55:N55"/>
    <mergeCell ref="O55:P55"/>
    <mergeCell ref="Q55:R55"/>
    <mergeCell ref="S55:T55"/>
    <mergeCell ref="U55:V55"/>
    <mergeCell ref="W55:X55"/>
    <mergeCell ref="A55:B55"/>
    <mergeCell ref="C55:D55"/>
    <mergeCell ref="E55:F55"/>
    <mergeCell ref="G55:H55"/>
    <mergeCell ref="I55:J55"/>
    <mergeCell ref="K55:L55"/>
    <mergeCell ref="M54:N54"/>
    <mergeCell ref="O54:P54"/>
    <mergeCell ref="Q54:R54"/>
    <mergeCell ref="S54:T54"/>
    <mergeCell ref="U54:V54"/>
    <mergeCell ref="W54:X54"/>
    <mergeCell ref="Q53:R53"/>
    <mergeCell ref="S53:T53"/>
    <mergeCell ref="U53:V53"/>
    <mergeCell ref="W53:X53"/>
    <mergeCell ref="M53:N53"/>
    <mergeCell ref="O53:P53"/>
    <mergeCell ref="A54:B54"/>
    <mergeCell ref="C54:D54"/>
    <mergeCell ref="E54:F54"/>
    <mergeCell ref="G54:H54"/>
    <mergeCell ref="I54:J54"/>
    <mergeCell ref="K54:L54"/>
    <mergeCell ref="A53:B53"/>
    <mergeCell ref="C53:D53"/>
    <mergeCell ref="E53:F53"/>
    <mergeCell ref="G53:H53"/>
    <mergeCell ref="I53:J53"/>
    <mergeCell ref="K53:L53"/>
    <mergeCell ref="W52:X52"/>
    <mergeCell ref="U49:V49"/>
    <mergeCell ref="W49:X49"/>
    <mergeCell ref="E50:F50"/>
    <mergeCell ref="K50:L50"/>
    <mergeCell ref="E51:F51"/>
    <mergeCell ref="K51:L51"/>
    <mergeCell ref="M51:P51"/>
    <mergeCell ref="Q51:R51"/>
    <mergeCell ref="S51:V51"/>
    <mergeCell ref="W51:X51"/>
    <mergeCell ref="A49:D52"/>
    <mergeCell ref="E49:F49"/>
    <mergeCell ref="G49:J52"/>
    <mergeCell ref="K49:L49"/>
    <mergeCell ref="M49:N49"/>
    <mergeCell ref="O49:P49"/>
    <mergeCell ref="Q49:R49"/>
    <mergeCell ref="S49:T49"/>
    <mergeCell ref="M48:N48"/>
    <mergeCell ref="O48:P48"/>
    <mergeCell ref="Q48:R48"/>
    <mergeCell ref="S48:T48"/>
    <mergeCell ref="E52:F52"/>
    <mergeCell ref="K52:L52"/>
    <mergeCell ref="M52:P52"/>
    <mergeCell ref="Q52:R52"/>
    <mergeCell ref="S52:V52"/>
    <mergeCell ref="U48:V48"/>
    <mergeCell ref="W48:X48"/>
    <mergeCell ref="A48:B48"/>
    <mergeCell ref="C48:D48"/>
    <mergeCell ref="E48:F48"/>
    <mergeCell ref="G48:H48"/>
    <mergeCell ref="I48:J48"/>
    <mergeCell ref="K48:L48"/>
    <mergeCell ref="M47:N47"/>
    <mergeCell ref="O47:P47"/>
    <mergeCell ref="Q47:R47"/>
    <mergeCell ref="S47:T47"/>
    <mergeCell ref="U47:V47"/>
    <mergeCell ref="W47:X47"/>
    <mergeCell ref="A47:B47"/>
    <mergeCell ref="C47:D47"/>
    <mergeCell ref="E47:F47"/>
    <mergeCell ref="G47:H47"/>
    <mergeCell ref="I47:J47"/>
    <mergeCell ref="K47:L47"/>
    <mergeCell ref="M46:N46"/>
    <mergeCell ref="O46:P46"/>
    <mergeCell ref="Q46:R46"/>
    <mergeCell ref="S46:T46"/>
    <mergeCell ref="U46:V46"/>
    <mergeCell ref="W46:X46"/>
    <mergeCell ref="A46:B46"/>
    <mergeCell ref="C46:D46"/>
    <mergeCell ref="E46:F46"/>
    <mergeCell ref="G46:H46"/>
    <mergeCell ref="I46:J46"/>
    <mergeCell ref="K46:L46"/>
    <mergeCell ref="A45:D45"/>
    <mergeCell ref="E45:F45"/>
    <mergeCell ref="G45:J45"/>
    <mergeCell ref="K45:L45"/>
    <mergeCell ref="M45:P45"/>
    <mergeCell ref="Q45:R45"/>
    <mergeCell ref="S45:V45"/>
    <mergeCell ref="W45:X45"/>
    <mergeCell ref="M44:N44"/>
    <mergeCell ref="O44:P44"/>
    <mergeCell ref="Q44:R44"/>
    <mergeCell ref="S44:T44"/>
    <mergeCell ref="U44:V44"/>
    <mergeCell ref="W44:X44"/>
    <mergeCell ref="A44:B44"/>
    <mergeCell ref="C44:D44"/>
    <mergeCell ref="E44:F44"/>
    <mergeCell ref="G44:H44"/>
    <mergeCell ref="I44:J44"/>
    <mergeCell ref="K44:L44"/>
    <mergeCell ref="M43:N43"/>
    <mergeCell ref="O43:P43"/>
    <mergeCell ref="Q43:R43"/>
    <mergeCell ref="S43:T43"/>
    <mergeCell ref="U43:V43"/>
    <mergeCell ref="W43:X43"/>
    <mergeCell ref="A43:B43"/>
    <mergeCell ref="C43:D43"/>
    <mergeCell ref="E43:F43"/>
    <mergeCell ref="G43:H43"/>
    <mergeCell ref="I43:J43"/>
    <mergeCell ref="K43:L43"/>
    <mergeCell ref="M42:N42"/>
    <mergeCell ref="O42:P42"/>
    <mergeCell ref="Q42:R42"/>
    <mergeCell ref="S42:T42"/>
    <mergeCell ref="U42:V42"/>
    <mergeCell ref="W42:X42"/>
    <mergeCell ref="Q41:R41"/>
    <mergeCell ref="S41:T41"/>
    <mergeCell ref="U41:V41"/>
    <mergeCell ref="W41:X41"/>
    <mergeCell ref="A42:B42"/>
    <mergeCell ref="C42:D42"/>
    <mergeCell ref="E42:F42"/>
    <mergeCell ref="G42:H42"/>
    <mergeCell ref="I42:J42"/>
    <mergeCell ref="K42:L42"/>
    <mergeCell ref="A41:B41"/>
    <mergeCell ref="C41:D41"/>
    <mergeCell ref="E41:F41"/>
    <mergeCell ref="G41:H41"/>
    <mergeCell ref="I41:J41"/>
    <mergeCell ref="K41:L41"/>
    <mergeCell ref="Q40:R40"/>
    <mergeCell ref="S40:V40"/>
    <mergeCell ref="W40:X40"/>
    <mergeCell ref="M41:N41"/>
    <mergeCell ref="O41:P41"/>
    <mergeCell ref="E39:F39"/>
    <mergeCell ref="K39:L39"/>
    <mergeCell ref="M39:P39"/>
    <mergeCell ref="Q39:R39"/>
    <mergeCell ref="S39:V39"/>
    <mergeCell ref="W39:X39"/>
    <mergeCell ref="A37:D40"/>
    <mergeCell ref="E37:F37"/>
    <mergeCell ref="G37:J40"/>
    <mergeCell ref="K37:L37"/>
    <mergeCell ref="M37:N37"/>
    <mergeCell ref="O37:P37"/>
    <mergeCell ref="A36:B36"/>
    <mergeCell ref="C36:D36"/>
    <mergeCell ref="E36:F36"/>
    <mergeCell ref="G36:H36"/>
    <mergeCell ref="I36:J36"/>
    <mergeCell ref="K36:L36"/>
    <mergeCell ref="M36:N36"/>
    <mergeCell ref="O36:P36"/>
    <mergeCell ref="E40:F40"/>
    <mergeCell ref="K40:L40"/>
    <mergeCell ref="M40:P40"/>
    <mergeCell ref="U34:V34"/>
    <mergeCell ref="W34:X34"/>
    <mergeCell ref="Q37:R37"/>
    <mergeCell ref="S37:T37"/>
    <mergeCell ref="U37:V37"/>
    <mergeCell ref="W37:X37"/>
    <mergeCell ref="E38:F38"/>
    <mergeCell ref="K38:L38"/>
    <mergeCell ref="Q36:R36"/>
    <mergeCell ref="S36:T36"/>
    <mergeCell ref="W36:X36"/>
    <mergeCell ref="U36:V36"/>
    <mergeCell ref="A35:B35"/>
    <mergeCell ref="C35:D35"/>
    <mergeCell ref="E35:F35"/>
    <mergeCell ref="G35:H35"/>
    <mergeCell ref="I35:J35"/>
    <mergeCell ref="K35:L35"/>
    <mergeCell ref="S33:V33"/>
    <mergeCell ref="W33:X33"/>
    <mergeCell ref="A34:B34"/>
    <mergeCell ref="C34:D34"/>
    <mergeCell ref="E34:F34"/>
    <mergeCell ref="G34:H34"/>
    <mergeCell ref="I34:J34"/>
    <mergeCell ref="K34:L34"/>
    <mergeCell ref="M34:N34"/>
    <mergeCell ref="O34:P34"/>
    <mergeCell ref="M35:N35"/>
    <mergeCell ref="O35:P35"/>
    <mergeCell ref="Q35:R35"/>
    <mergeCell ref="S35:T35"/>
    <mergeCell ref="U35:V35"/>
    <mergeCell ref="W35:X35"/>
    <mergeCell ref="Q34:R34"/>
    <mergeCell ref="S34:T34"/>
    <mergeCell ref="Q32:R32"/>
    <mergeCell ref="S32:T32"/>
    <mergeCell ref="U32:V32"/>
    <mergeCell ref="W32:X32"/>
    <mergeCell ref="A33:D33"/>
    <mergeCell ref="E33:F33"/>
    <mergeCell ref="G33:J33"/>
    <mergeCell ref="K33:L33"/>
    <mergeCell ref="M33:P33"/>
    <mergeCell ref="Q33:R33"/>
    <mergeCell ref="A32:B32"/>
    <mergeCell ref="C32:D32"/>
    <mergeCell ref="E32:F32"/>
    <mergeCell ref="G32:H32"/>
    <mergeCell ref="I32:J32"/>
    <mergeCell ref="K32:L32"/>
    <mergeCell ref="M32:N32"/>
    <mergeCell ref="O32:P32"/>
    <mergeCell ref="M31:N31"/>
    <mergeCell ref="O31:P31"/>
    <mergeCell ref="Q31:R31"/>
    <mergeCell ref="S31:T31"/>
    <mergeCell ref="U31:V31"/>
    <mergeCell ref="W31:X31"/>
    <mergeCell ref="A31:B31"/>
    <mergeCell ref="C31:D31"/>
    <mergeCell ref="E31:F31"/>
    <mergeCell ref="G31:H31"/>
    <mergeCell ref="I31:J31"/>
    <mergeCell ref="K31:L31"/>
    <mergeCell ref="M30:N30"/>
    <mergeCell ref="O30:P30"/>
    <mergeCell ref="Q30:R30"/>
    <mergeCell ref="S30:T30"/>
    <mergeCell ref="U30:V30"/>
    <mergeCell ref="W30:X30"/>
    <mergeCell ref="Q29:R29"/>
    <mergeCell ref="S29:T29"/>
    <mergeCell ref="U29:V29"/>
    <mergeCell ref="W29:X29"/>
    <mergeCell ref="A30:B30"/>
    <mergeCell ref="C30:D30"/>
    <mergeCell ref="E30:F30"/>
    <mergeCell ref="G30:H30"/>
    <mergeCell ref="I30:J30"/>
    <mergeCell ref="K30:L30"/>
    <mergeCell ref="A29:B29"/>
    <mergeCell ref="C29:D29"/>
    <mergeCell ref="E29:F29"/>
    <mergeCell ref="G29:H29"/>
    <mergeCell ref="I29:J29"/>
    <mergeCell ref="K29:L29"/>
    <mergeCell ref="Q28:R28"/>
    <mergeCell ref="S28:V28"/>
    <mergeCell ref="W28:X28"/>
    <mergeCell ref="M29:N29"/>
    <mergeCell ref="O29:P29"/>
    <mergeCell ref="E27:F27"/>
    <mergeCell ref="K27:L27"/>
    <mergeCell ref="M27:P27"/>
    <mergeCell ref="Q27:R27"/>
    <mergeCell ref="S27:V27"/>
    <mergeCell ref="W27:X27"/>
    <mergeCell ref="Q25:R25"/>
    <mergeCell ref="S25:T25"/>
    <mergeCell ref="U25:V25"/>
    <mergeCell ref="W25:X25"/>
    <mergeCell ref="E26:F26"/>
    <mergeCell ref="K26:L26"/>
    <mergeCell ref="Q24:R24"/>
    <mergeCell ref="S24:T24"/>
    <mergeCell ref="U24:V24"/>
    <mergeCell ref="A25:D28"/>
    <mergeCell ref="E25:F25"/>
    <mergeCell ref="G25:J28"/>
    <mergeCell ref="K25:L25"/>
    <mergeCell ref="M25:N25"/>
    <mergeCell ref="O25:P25"/>
    <mergeCell ref="A24:B24"/>
    <mergeCell ref="C24:D24"/>
    <mergeCell ref="E24:F24"/>
    <mergeCell ref="G24:H24"/>
    <mergeCell ref="I24:J24"/>
    <mergeCell ref="K24:L24"/>
    <mergeCell ref="M24:N24"/>
    <mergeCell ref="O24:P24"/>
    <mergeCell ref="E28:F28"/>
    <mergeCell ref="K28:L28"/>
    <mergeCell ref="M28:P28"/>
    <mergeCell ref="W23:X23"/>
    <mergeCell ref="A23:B23"/>
    <mergeCell ref="C23:D23"/>
    <mergeCell ref="E23:F23"/>
    <mergeCell ref="G23:H23"/>
    <mergeCell ref="I23:J23"/>
    <mergeCell ref="K23:L23"/>
    <mergeCell ref="M22:N22"/>
    <mergeCell ref="O22:P22"/>
    <mergeCell ref="Q22:R22"/>
    <mergeCell ref="S22:T22"/>
    <mergeCell ref="W22:X22"/>
    <mergeCell ref="A22:B22"/>
    <mergeCell ref="C22:D22"/>
    <mergeCell ref="E22:F22"/>
    <mergeCell ref="G22:H22"/>
    <mergeCell ref="I22:J22"/>
    <mergeCell ref="K22:L22"/>
    <mergeCell ref="U22:V22"/>
    <mergeCell ref="M23:N23"/>
    <mergeCell ref="O23:P23"/>
    <mergeCell ref="Q23:R23"/>
    <mergeCell ref="S23:T23"/>
    <mergeCell ref="U23:V23"/>
    <mergeCell ref="AA19:AC19"/>
    <mergeCell ref="AM19:AO19"/>
    <mergeCell ref="A21:D21"/>
    <mergeCell ref="E21:F21"/>
    <mergeCell ref="G21:J21"/>
    <mergeCell ref="K21:L21"/>
    <mergeCell ref="M21:P21"/>
    <mergeCell ref="Q21:R21"/>
    <mergeCell ref="S21:V21"/>
    <mergeCell ref="W21:X21"/>
    <mergeCell ref="M20:N20"/>
    <mergeCell ref="O20:P20"/>
    <mergeCell ref="Q20:R20"/>
    <mergeCell ref="S20:T20"/>
    <mergeCell ref="U20:V20"/>
    <mergeCell ref="W20:X20"/>
    <mergeCell ref="Q19:R19"/>
    <mergeCell ref="S19:T19"/>
    <mergeCell ref="U19:V19"/>
    <mergeCell ref="W19:X19"/>
    <mergeCell ref="A20:B20"/>
    <mergeCell ref="C20:D20"/>
    <mergeCell ref="E20:F20"/>
    <mergeCell ref="G20:H20"/>
    <mergeCell ref="I20:J20"/>
    <mergeCell ref="K20:L20"/>
    <mergeCell ref="AA17:AC18"/>
    <mergeCell ref="AM17:AO18"/>
    <mergeCell ref="A19:B19"/>
    <mergeCell ref="C19:D19"/>
    <mergeCell ref="E19:F19"/>
    <mergeCell ref="G19:H19"/>
    <mergeCell ref="I19:J19"/>
    <mergeCell ref="K19:L19"/>
    <mergeCell ref="M19:N19"/>
    <mergeCell ref="O19:P19"/>
    <mergeCell ref="M18:N18"/>
    <mergeCell ref="O18:P18"/>
    <mergeCell ref="Q18:R18"/>
    <mergeCell ref="S18:T18"/>
    <mergeCell ref="U18:V18"/>
    <mergeCell ref="W18:X18"/>
    <mergeCell ref="Q17:R17"/>
    <mergeCell ref="S17:T17"/>
    <mergeCell ref="U17:V17"/>
    <mergeCell ref="W17:X17"/>
    <mergeCell ref="A18:B18"/>
    <mergeCell ref="C18:D18"/>
    <mergeCell ref="A17:B17"/>
    <mergeCell ref="C17:D17"/>
    <mergeCell ref="E17:F17"/>
    <mergeCell ref="G17:H17"/>
    <mergeCell ref="I17:J17"/>
    <mergeCell ref="K17:L17"/>
    <mergeCell ref="M17:N17"/>
    <mergeCell ref="O17:P17"/>
    <mergeCell ref="S15:V15"/>
    <mergeCell ref="E16:F16"/>
    <mergeCell ref="K16:L16"/>
    <mergeCell ref="M16:P16"/>
    <mergeCell ref="Q16:R16"/>
    <mergeCell ref="S16:V16"/>
    <mergeCell ref="K14:L14"/>
    <mergeCell ref="AA13:AC14"/>
    <mergeCell ref="AM13:AO14"/>
    <mergeCell ref="E15:F15"/>
    <mergeCell ref="K15:L15"/>
    <mergeCell ref="M15:P15"/>
    <mergeCell ref="Q15:R15"/>
    <mergeCell ref="E18:F18"/>
    <mergeCell ref="G18:H18"/>
    <mergeCell ref="I18:J18"/>
    <mergeCell ref="K18:L18"/>
    <mergeCell ref="AA15:AC15"/>
    <mergeCell ref="AM15:AO15"/>
    <mergeCell ref="W15:X15"/>
    <mergeCell ref="W16:X16"/>
    <mergeCell ref="AM11:AO11"/>
    <mergeCell ref="A13:D16"/>
    <mergeCell ref="E13:F13"/>
    <mergeCell ref="G13:J16"/>
    <mergeCell ref="K13:L13"/>
    <mergeCell ref="M13:N13"/>
    <mergeCell ref="O13:P13"/>
    <mergeCell ref="Q13:R13"/>
    <mergeCell ref="S13:T13"/>
    <mergeCell ref="M12:N12"/>
    <mergeCell ref="O12:P12"/>
    <mergeCell ref="Q12:R12"/>
    <mergeCell ref="S12:T12"/>
    <mergeCell ref="U12:V12"/>
    <mergeCell ref="W12:X12"/>
    <mergeCell ref="A12:B12"/>
    <mergeCell ref="C12:D12"/>
    <mergeCell ref="E12:F12"/>
    <mergeCell ref="G12:H12"/>
    <mergeCell ref="I12:J12"/>
    <mergeCell ref="K12:L12"/>
    <mergeCell ref="U13:V13"/>
    <mergeCell ref="W13:X13"/>
    <mergeCell ref="E14:F14"/>
    <mergeCell ref="S11:T11"/>
    <mergeCell ref="U11:V11"/>
    <mergeCell ref="W11:X11"/>
    <mergeCell ref="Q9:R9"/>
    <mergeCell ref="S9:V9"/>
    <mergeCell ref="W9:X9"/>
    <mergeCell ref="A10:B10"/>
    <mergeCell ref="C10:D10"/>
    <mergeCell ref="AA11:AC11"/>
    <mergeCell ref="A11:B11"/>
    <mergeCell ref="C11:D11"/>
    <mergeCell ref="E11:F11"/>
    <mergeCell ref="G11:H11"/>
    <mergeCell ref="I11:J11"/>
    <mergeCell ref="K11:L11"/>
    <mergeCell ref="M11:N11"/>
    <mergeCell ref="O11:P11"/>
    <mergeCell ref="Q11:R11"/>
    <mergeCell ref="E10:F10"/>
    <mergeCell ref="G10:H10"/>
    <mergeCell ref="I10:J10"/>
    <mergeCell ref="K10:L10"/>
    <mergeCell ref="M10:N10"/>
    <mergeCell ref="U8:V8"/>
    <mergeCell ref="W8:X8"/>
    <mergeCell ref="AA7:AC7"/>
    <mergeCell ref="O10:P10"/>
    <mergeCell ref="Q10:R10"/>
    <mergeCell ref="S10:T10"/>
    <mergeCell ref="U10:V10"/>
    <mergeCell ref="W10:X10"/>
    <mergeCell ref="AA9:AC10"/>
    <mergeCell ref="AM7:AO7"/>
    <mergeCell ref="A9:D9"/>
    <mergeCell ref="E9:F9"/>
    <mergeCell ref="G9:J9"/>
    <mergeCell ref="K9:L9"/>
    <mergeCell ref="M9:P9"/>
    <mergeCell ref="W7:X7"/>
    <mergeCell ref="A8:B8"/>
    <mergeCell ref="C8:D8"/>
    <mergeCell ref="E8:F8"/>
    <mergeCell ref="G8:H8"/>
    <mergeCell ref="I8:J8"/>
    <mergeCell ref="K8:L8"/>
    <mergeCell ref="M8:N8"/>
    <mergeCell ref="O8:P8"/>
    <mergeCell ref="Q8:R8"/>
    <mergeCell ref="K7:L7"/>
    <mergeCell ref="M7:N7"/>
    <mergeCell ref="O7:P7"/>
    <mergeCell ref="Q7:R7"/>
    <mergeCell ref="S7:T7"/>
    <mergeCell ref="U7:V7"/>
    <mergeCell ref="AM9:AO10"/>
    <mergeCell ref="S8:T8"/>
    <mergeCell ref="S6:T6"/>
    <mergeCell ref="U6:V6"/>
    <mergeCell ref="W6:X6"/>
    <mergeCell ref="AA5:AC6"/>
    <mergeCell ref="AM5:AO6"/>
    <mergeCell ref="A7:B7"/>
    <mergeCell ref="C7:D7"/>
    <mergeCell ref="E7:F7"/>
    <mergeCell ref="G7:H7"/>
    <mergeCell ref="I7:J7"/>
    <mergeCell ref="W5:X5"/>
    <mergeCell ref="A6:B6"/>
    <mergeCell ref="C6:D6"/>
    <mergeCell ref="E6:F6"/>
    <mergeCell ref="G6:H6"/>
    <mergeCell ref="I6:J6"/>
    <mergeCell ref="K6:L6"/>
    <mergeCell ref="M6:N6"/>
    <mergeCell ref="O6:P6"/>
    <mergeCell ref="Q6:R6"/>
    <mergeCell ref="K5:L5"/>
    <mergeCell ref="M5:N5"/>
    <mergeCell ref="O5:P5"/>
    <mergeCell ref="Q5:R5"/>
    <mergeCell ref="S5:T5"/>
    <mergeCell ref="U5:V5"/>
    <mergeCell ref="Q4:R4"/>
    <mergeCell ref="S4:V4"/>
    <mergeCell ref="W4:X4"/>
    <mergeCell ref="AA3:AC3"/>
    <mergeCell ref="AM3:AO3"/>
    <mergeCell ref="A5:B5"/>
    <mergeCell ref="C5:D5"/>
    <mergeCell ref="E5:F5"/>
    <mergeCell ref="G5:H5"/>
    <mergeCell ref="I5:J5"/>
    <mergeCell ref="A1:D4"/>
    <mergeCell ref="AA1:AC2"/>
    <mergeCell ref="AM1:AO2"/>
    <mergeCell ref="E3:F3"/>
    <mergeCell ref="K3:L3"/>
    <mergeCell ref="M3:P3"/>
    <mergeCell ref="Q3:R3"/>
    <mergeCell ref="S3:V3"/>
    <mergeCell ref="W3:X3"/>
    <mergeCell ref="Q1:R1"/>
    <mergeCell ref="S1:T1"/>
    <mergeCell ref="U1:V1"/>
    <mergeCell ref="W1:X1"/>
    <mergeCell ref="E2:F2"/>
    <mergeCell ref="K2:L2"/>
    <mergeCell ref="E1:F1"/>
    <mergeCell ref="G1:J4"/>
    <mergeCell ref="K1:L1"/>
    <mergeCell ref="M1:N1"/>
    <mergeCell ref="O1:P1"/>
    <mergeCell ref="E4:F4"/>
    <mergeCell ref="K4:L4"/>
    <mergeCell ref="M4:P4"/>
  </mergeCells>
  <phoneticPr fontId="1" type="noConversion"/>
  <pageMargins left="0.25" right="0.25" top="0.75" bottom="0.75" header="0.3" footer="0.3"/>
  <pageSetup paperSize="9" scale="54" fitToWidth="0" orientation="portrait" horizontalDpi="4294967293" r:id="rId1"/>
  <colBreaks count="2" manualBreakCount="2">
    <brk id="12" max="60" man="1"/>
    <brk id="25" max="60"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2"/>
  <sheetViews>
    <sheetView view="pageBreakPreview" zoomScale="85" zoomScaleNormal="85" zoomScaleSheetLayoutView="85" workbookViewId="0">
      <selection activeCell="B11" sqref="B11:P11"/>
    </sheetView>
  </sheetViews>
  <sheetFormatPr defaultRowHeight="16.5"/>
  <cols>
    <col min="1" max="1" width="2.875" style="1" customWidth="1"/>
    <col min="2" max="2" width="5.25" style="1" bestFit="1" customWidth="1"/>
    <col min="3" max="3" width="7.125" style="1" bestFit="1" customWidth="1"/>
    <col min="4" max="4" width="5.875" style="1" bestFit="1" customWidth="1"/>
    <col min="5" max="5" width="5.25" style="1" bestFit="1" customWidth="1"/>
    <col min="6" max="6" width="31" style="1" customWidth="1"/>
    <col min="7" max="7" width="9.25" style="1" customWidth="1"/>
    <col min="8" max="8" width="9.75" style="1" customWidth="1"/>
    <col min="9" max="9" width="6.875" style="1" bestFit="1" customWidth="1"/>
    <col min="10" max="10" width="22.875" style="1" customWidth="1"/>
    <col min="11" max="11" width="18" style="1" customWidth="1"/>
    <col min="12" max="12" width="8" style="1" customWidth="1"/>
    <col min="13" max="13" width="15.125" style="1" customWidth="1"/>
    <col min="14" max="14" width="32.125" style="1" customWidth="1"/>
    <col min="15" max="15" width="34.25" style="1" customWidth="1"/>
    <col min="16" max="16" width="11.75" style="1" customWidth="1"/>
    <col min="17" max="16384" width="9" style="1"/>
  </cols>
  <sheetData>
    <row r="1" spans="1:16" ht="34.5">
      <c r="B1" s="9" t="s">
        <v>1</v>
      </c>
      <c r="C1" s="9" t="s">
        <v>52</v>
      </c>
      <c r="D1" s="9" t="s">
        <v>2</v>
      </c>
      <c r="E1" s="9" t="s">
        <v>4</v>
      </c>
      <c r="F1" s="11" t="s">
        <v>5</v>
      </c>
      <c r="G1" s="18" t="s">
        <v>41</v>
      </c>
      <c r="H1" s="11" t="s">
        <v>42</v>
      </c>
      <c r="I1" s="9" t="s">
        <v>6</v>
      </c>
      <c r="J1" s="9" t="s">
        <v>53</v>
      </c>
      <c r="K1" s="10" t="s">
        <v>44</v>
      </c>
      <c r="L1" s="9" t="s">
        <v>3</v>
      </c>
      <c r="M1" s="10" t="s">
        <v>54</v>
      </c>
      <c r="N1" s="18" t="s">
        <v>46</v>
      </c>
      <c r="O1" s="18" t="s">
        <v>47</v>
      </c>
      <c r="P1" s="18" t="s">
        <v>48</v>
      </c>
    </row>
    <row r="2" spans="1:16" ht="18" customHeight="1">
      <c r="A2" s="2"/>
      <c r="B2" s="6" t="s">
        <v>8</v>
      </c>
      <c r="C2" s="19" t="s">
        <v>473</v>
      </c>
      <c r="D2" s="4">
        <v>39</v>
      </c>
      <c r="E2" s="7">
        <v>172</v>
      </c>
      <c r="F2" s="7" t="s">
        <v>1460</v>
      </c>
      <c r="G2" s="7" t="s">
        <v>764</v>
      </c>
      <c r="H2" s="7" t="s">
        <v>772</v>
      </c>
      <c r="I2" s="7" t="s">
        <v>35</v>
      </c>
      <c r="J2" s="7" t="s">
        <v>10</v>
      </c>
      <c r="K2" s="7" t="s">
        <v>9</v>
      </c>
      <c r="L2" s="7" t="s">
        <v>10</v>
      </c>
      <c r="M2" s="7" t="s">
        <v>646</v>
      </c>
      <c r="N2" s="28" t="s">
        <v>1461</v>
      </c>
      <c r="O2" s="7" t="s">
        <v>1462</v>
      </c>
      <c r="P2" s="7">
        <v>0</v>
      </c>
    </row>
    <row r="3" spans="1:16" ht="17.25">
      <c r="A3" s="2"/>
      <c r="B3" s="6" t="s">
        <v>8</v>
      </c>
      <c r="C3" s="19" t="s">
        <v>1555</v>
      </c>
      <c r="D3" s="4">
        <v>39</v>
      </c>
      <c r="E3" s="7">
        <v>165</v>
      </c>
      <c r="F3" s="7" t="s">
        <v>529</v>
      </c>
      <c r="G3" s="7" t="s">
        <v>462</v>
      </c>
      <c r="H3" s="7" t="s">
        <v>10</v>
      </c>
      <c r="I3" s="7" t="s">
        <v>13</v>
      </c>
      <c r="J3" s="7" t="s">
        <v>10</v>
      </c>
      <c r="K3" s="7" t="s">
        <v>9</v>
      </c>
      <c r="L3" s="7" t="s">
        <v>10</v>
      </c>
      <c r="M3" s="7" t="s">
        <v>10</v>
      </c>
      <c r="N3" s="7" t="s">
        <v>1556</v>
      </c>
      <c r="O3" s="7" t="s">
        <v>1557</v>
      </c>
      <c r="P3" s="7">
        <v>0</v>
      </c>
    </row>
    <row r="4" spans="1:16" ht="17.25">
      <c r="A4" s="2"/>
      <c r="B4" s="6" t="s">
        <v>8</v>
      </c>
      <c r="C4" s="19" t="s">
        <v>2057</v>
      </c>
      <c r="D4" s="4">
        <v>40</v>
      </c>
      <c r="E4" s="7">
        <v>175</v>
      </c>
      <c r="F4" s="7" t="s">
        <v>2058</v>
      </c>
      <c r="G4" s="7" t="s">
        <v>461</v>
      </c>
      <c r="H4" s="7" t="s">
        <v>2060</v>
      </c>
      <c r="I4" s="7" t="s">
        <v>18</v>
      </c>
      <c r="J4" s="7" t="s">
        <v>10</v>
      </c>
      <c r="K4" s="7" t="s">
        <v>75</v>
      </c>
      <c r="L4" s="7" t="s">
        <v>63</v>
      </c>
      <c r="M4" s="7" t="s">
        <v>10</v>
      </c>
      <c r="N4" s="7" t="s">
        <v>2061</v>
      </c>
      <c r="O4" s="7" t="s">
        <v>2062</v>
      </c>
      <c r="P4" s="7">
        <v>0</v>
      </c>
    </row>
    <row r="5" spans="1:16" ht="16.5" customHeight="1">
      <c r="A5" s="2"/>
      <c r="B5" s="6" t="s">
        <v>8</v>
      </c>
      <c r="C5" s="19" t="s">
        <v>2017</v>
      </c>
      <c r="D5" s="4">
        <v>40</v>
      </c>
      <c r="E5" s="7">
        <v>175</v>
      </c>
      <c r="F5" s="7" t="s">
        <v>2018</v>
      </c>
      <c r="G5" s="7" t="s">
        <v>462</v>
      </c>
      <c r="H5" s="7" t="s">
        <v>34</v>
      </c>
      <c r="I5" s="7" t="s">
        <v>23</v>
      </c>
      <c r="J5" s="7" t="s">
        <v>10</v>
      </c>
      <c r="K5" s="7" t="s">
        <v>9</v>
      </c>
      <c r="L5" s="7" t="s">
        <v>10</v>
      </c>
      <c r="M5" s="7" t="s">
        <v>10</v>
      </c>
      <c r="N5" s="28" t="s">
        <v>2019</v>
      </c>
      <c r="O5" s="7">
        <v>0</v>
      </c>
      <c r="P5" s="7">
        <v>0</v>
      </c>
    </row>
    <row r="6" spans="1:16" ht="17.25">
      <c r="A6" s="2"/>
      <c r="B6" s="6" t="s">
        <v>8</v>
      </c>
      <c r="C6" s="19" t="s">
        <v>1923</v>
      </c>
      <c r="D6" s="4">
        <v>39</v>
      </c>
      <c r="E6" s="7">
        <v>176</v>
      </c>
      <c r="F6" s="7" t="s">
        <v>1925</v>
      </c>
      <c r="G6" s="7" t="s">
        <v>36</v>
      </c>
      <c r="H6" s="7" t="s">
        <v>34</v>
      </c>
      <c r="I6" s="7" t="s">
        <v>12</v>
      </c>
      <c r="J6" s="7" t="s">
        <v>10</v>
      </c>
      <c r="K6" s="7" t="s">
        <v>9</v>
      </c>
      <c r="L6" s="7" t="s">
        <v>10</v>
      </c>
      <c r="M6" s="7" t="s">
        <v>10</v>
      </c>
      <c r="N6" s="7" t="s">
        <v>1926</v>
      </c>
      <c r="O6" s="7" t="s">
        <v>1927</v>
      </c>
      <c r="P6" s="7">
        <v>0</v>
      </c>
    </row>
    <row r="7" spans="1:16" ht="17.25">
      <c r="A7" s="2"/>
      <c r="B7" s="8" t="s">
        <v>14</v>
      </c>
      <c r="C7" s="19" t="s">
        <v>1183</v>
      </c>
      <c r="D7" s="4">
        <v>39</v>
      </c>
      <c r="E7" s="7">
        <v>166</v>
      </c>
      <c r="F7" s="7" t="s">
        <v>1184</v>
      </c>
      <c r="G7" s="7" t="s">
        <v>466</v>
      </c>
      <c r="H7" s="7" t="s">
        <v>93</v>
      </c>
      <c r="I7" s="7" t="s">
        <v>12</v>
      </c>
      <c r="J7" s="7" t="s">
        <v>1185</v>
      </c>
      <c r="K7" s="7" t="s">
        <v>9</v>
      </c>
      <c r="L7" s="7" t="s">
        <v>29</v>
      </c>
      <c r="M7" s="7" t="s">
        <v>73</v>
      </c>
      <c r="N7" s="7" t="s">
        <v>1186</v>
      </c>
      <c r="O7" s="7" t="s">
        <v>1187</v>
      </c>
      <c r="P7" s="7" t="s">
        <v>1188</v>
      </c>
    </row>
    <row r="8" spans="1:16" ht="18" customHeight="1">
      <c r="A8" s="2"/>
      <c r="B8" s="8" t="s">
        <v>14</v>
      </c>
      <c r="C8" s="19" t="s">
        <v>1298</v>
      </c>
      <c r="D8" s="4">
        <v>37</v>
      </c>
      <c r="E8" s="7">
        <v>163</v>
      </c>
      <c r="F8" s="7" t="s">
        <v>1299</v>
      </c>
      <c r="G8" s="7" t="s">
        <v>466</v>
      </c>
      <c r="H8" s="7" t="s">
        <v>15</v>
      </c>
      <c r="I8" s="7" t="s">
        <v>37</v>
      </c>
      <c r="J8" s="7" t="s">
        <v>10</v>
      </c>
      <c r="K8" s="7" t="s">
        <v>9</v>
      </c>
      <c r="L8" s="7" t="s">
        <v>29</v>
      </c>
      <c r="M8" s="7" t="s">
        <v>10</v>
      </c>
      <c r="N8" s="28" t="s">
        <v>1300</v>
      </c>
      <c r="O8" s="7" t="s">
        <v>1301</v>
      </c>
      <c r="P8" s="7" t="s">
        <v>1527</v>
      </c>
    </row>
    <row r="9" spans="1:16" ht="33.75" customHeight="1">
      <c r="A9" s="2"/>
      <c r="B9" s="8" t="s">
        <v>14</v>
      </c>
      <c r="C9" s="19" t="s">
        <v>1246</v>
      </c>
      <c r="D9" s="4">
        <v>37</v>
      </c>
      <c r="E9" s="7">
        <v>168</v>
      </c>
      <c r="F9" s="7" t="s">
        <v>1247</v>
      </c>
      <c r="G9" s="7" t="s">
        <v>461</v>
      </c>
      <c r="H9" s="7" t="s">
        <v>15</v>
      </c>
      <c r="I9" s="7" t="s">
        <v>480</v>
      </c>
      <c r="J9" s="7" t="s">
        <v>219</v>
      </c>
      <c r="K9" s="7" t="s">
        <v>31</v>
      </c>
      <c r="L9" s="7" t="s">
        <v>57</v>
      </c>
      <c r="M9" s="7" t="s">
        <v>10</v>
      </c>
      <c r="N9" s="28" t="s">
        <v>2297</v>
      </c>
      <c r="O9" s="7" t="s">
        <v>1249</v>
      </c>
      <c r="P9" s="7">
        <v>0</v>
      </c>
    </row>
    <row r="10" spans="1:16" ht="17.25">
      <c r="A10" s="2"/>
      <c r="B10" s="8" t="s">
        <v>14</v>
      </c>
      <c r="C10" s="19" t="s">
        <v>1902</v>
      </c>
      <c r="D10" s="4">
        <v>34</v>
      </c>
      <c r="E10" s="7">
        <v>164</v>
      </c>
      <c r="F10" s="7" t="s">
        <v>2081</v>
      </c>
      <c r="G10" s="7" t="s">
        <v>1903</v>
      </c>
      <c r="H10" s="7" t="s">
        <v>55</v>
      </c>
      <c r="I10" s="7" t="s">
        <v>59</v>
      </c>
      <c r="J10" s="7" t="s">
        <v>10</v>
      </c>
      <c r="K10" s="7" t="s">
        <v>56</v>
      </c>
      <c r="L10" s="7" t="s">
        <v>57</v>
      </c>
      <c r="M10" s="7" t="s">
        <v>2341</v>
      </c>
      <c r="N10" s="7" t="s">
        <v>1905</v>
      </c>
      <c r="O10" s="7" t="s">
        <v>1904</v>
      </c>
      <c r="P10" s="7">
        <v>0</v>
      </c>
    </row>
    <row r="11" spans="1:16" ht="17.25">
      <c r="A11" s="2"/>
      <c r="B11" s="8" t="s">
        <v>14</v>
      </c>
      <c r="C11" s="19" t="s">
        <v>2072</v>
      </c>
      <c r="D11" s="4">
        <v>35</v>
      </c>
      <c r="E11" s="7">
        <v>163</v>
      </c>
      <c r="F11" s="7" t="s">
        <v>2073</v>
      </c>
      <c r="G11" s="7" t="s">
        <v>461</v>
      </c>
      <c r="H11" s="7" t="s">
        <v>15</v>
      </c>
      <c r="I11" s="7" t="s">
        <v>19</v>
      </c>
      <c r="J11" s="7" t="s">
        <v>10</v>
      </c>
      <c r="K11" s="7" t="s">
        <v>31</v>
      </c>
      <c r="L11" s="7" t="s">
        <v>10</v>
      </c>
      <c r="M11" s="7" t="s">
        <v>10</v>
      </c>
      <c r="N11" s="7" t="s">
        <v>2074</v>
      </c>
      <c r="O11" s="7" t="s">
        <v>2075</v>
      </c>
      <c r="P11" s="7">
        <v>0</v>
      </c>
    </row>
    <row r="12" spans="1:16" ht="17.25">
      <c r="A12" s="67"/>
      <c r="B12" s="9" t="s">
        <v>1</v>
      </c>
      <c r="C12" s="9" t="s">
        <v>0</v>
      </c>
      <c r="D12" s="123" t="s">
        <v>16</v>
      </c>
      <c r="E12" s="123"/>
      <c r="F12" s="123"/>
      <c r="G12" s="123"/>
      <c r="H12" s="123"/>
      <c r="I12" s="123"/>
      <c r="J12" s="123"/>
      <c r="K12" s="123"/>
      <c r="L12" s="123"/>
      <c r="M12" s="125" t="s">
        <v>26</v>
      </c>
      <c r="N12" s="125"/>
      <c r="O12" s="125"/>
      <c r="P12" s="125"/>
    </row>
    <row r="13" spans="1:16" ht="18" customHeight="1">
      <c r="B13" s="6" t="s">
        <v>7</v>
      </c>
      <c r="C13" s="4" t="str">
        <f>C2</f>
        <v>이준석</v>
      </c>
      <c r="D13" s="124" t="str">
        <f>'18E'!N2</f>
        <v>일과 자기 관리에 최선을 다합니다. 감정기복이 없고 상대의 말들 잘 들어주며 이해 노력하는 스타일</v>
      </c>
      <c r="E13" s="124"/>
      <c r="F13" s="124"/>
      <c r="G13" s="124"/>
      <c r="H13" s="124"/>
      <c r="I13" s="124"/>
      <c r="J13" s="124"/>
      <c r="K13" s="124"/>
      <c r="L13" s="124"/>
      <c r="M13" s="120" t="str">
        <f>O2</f>
        <v>자기 관리하고 대화의 결 온도 중시하는분</v>
      </c>
      <c r="N13" s="121"/>
      <c r="O13" s="121"/>
      <c r="P13" s="122"/>
    </row>
    <row r="14" spans="1:16" ht="18" customHeight="1">
      <c r="B14" s="6" t="s">
        <v>7</v>
      </c>
      <c r="C14" s="4" t="str">
        <f t="shared" ref="C14" si="0">C3</f>
        <v>윤한솔</v>
      </c>
      <c r="D14" s="124" t="str">
        <f>'18E'!N3</f>
        <v>착하고바른사람</v>
      </c>
      <c r="E14" s="124"/>
      <c r="F14" s="124"/>
      <c r="G14" s="124"/>
      <c r="H14" s="124"/>
      <c r="I14" s="124"/>
      <c r="J14" s="124"/>
      <c r="K14" s="124"/>
      <c r="L14" s="124"/>
      <c r="M14" s="120" t="str">
        <f t="shared" ref="M14" si="1">O3</f>
        <v>밝으신분</v>
      </c>
      <c r="N14" s="121"/>
      <c r="O14" s="121"/>
      <c r="P14" s="122"/>
    </row>
    <row r="15" spans="1:16" ht="18" customHeight="1">
      <c r="B15" s="6" t="s">
        <v>7</v>
      </c>
      <c r="C15" s="4" t="str">
        <f t="shared" ref="C15:C22" si="2">C4</f>
        <v>박중호</v>
      </c>
      <c r="D15" s="124" t="str">
        <f>'18E'!N4</f>
        <v>좋은사람</v>
      </c>
      <c r="E15" s="124"/>
      <c r="F15" s="124"/>
      <c r="G15" s="124"/>
      <c r="H15" s="124"/>
      <c r="I15" s="124"/>
      <c r="J15" s="124"/>
      <c r="K15" s="124"/>
      <c r="L15" s="124"/>
      <c r="M15" s="120" t="str">
        <f t="shared" ref="M15:M22" si="3">O4</f>
        <v>첫인상, 대화, 배려</v>
      </c>
      <c r="N15" s="121"/>
      <c r="O15" s="121"/>
      <c r="P15" s="122"/>
    </row>
    <row r="16" spans="1:16" ht="18" customHeight="1">
      <c r="B16" s="6" t="s">
        <v>8</v>
      </c>
      <c r="C16" s="4" t="str">
        <f t="shared" si="2"/>
        <v>김동현</v>
      </c>
      <c r="D16" s="124" t="str">
        <f>'18E'!N5</f>
        <v>평범하면서도 개성있는 사람</v>
      </c>
      <c r="E16" s="124"/>
      <c r="F16" s="124"/>
      <c r="G16" s="124"/>
      <c r="H16" s="124"/>
      <c r="I16" s="124"/>
      <c r="J16" s="124"/>
      <c r="K16" s="124"/>
      <c r="L16" s="124"/>
      <c r="M16" s="120">
        <f t="shared" si="3"/>
        <v>0</v>
      </c>
      <c r="N16" s="121"/>
      <c r="O16" s="121"/>
      <c r="P16" s="122"/>
    </row>
    <row r="17" spans="2:16" ht="18" customHeight="1">
      <c r="B17" s="6" t="s">
        <v>8</v>
      </c>
      <c r="C17" s="4" t="str">
        <f t="shared" si="2"/>
        <v>황성준</v>
      </c>
      <c r="D17" s="124" t="str">
        <f>'18E'!N6</f>
        <v>차분하지만 다양성이 많은 사람</v>
      </c>
      <c r="E17" s="124"/>
      <c r="F17" s="124"/>
      <c r="G17" s="124"/>
      <c r="H17" s="124"/>
      <c r="I17" s="124"/>
      <c r="J17" s="124"/>
      <c r="K17" s="124"/>
      <c r="L17" s="124"/>
      <c r="M17" s="120" t="str">
        <f t="shared" si="3"/>
        <v>귀여운 사람/대화 코드가 맞는 사람</v>
      </c>
      <c r="N17" s="121"/>
      <c r="O17" s="121"/>
      <c r="P17" s="122"/>
    </row>
    <row r="18" spans="2:16" ht="95.25" customHeight="1">
      <c r="B18" s="8" t="s">
        <v>14</v>
      </c>
      <c r="C18" s="4" t="str">
        <f t="shared" si="2"/>
        <v>김주연</v>
      </c>
      <c r="D18" s="124" t="str">
        <f>N7</f>
        <v>나쁘지 않은 괜찮은 사람. 마음이 예쁜 사람.</v>
      </c>
      <c r="E18" s="124"/>
      <c r="F18" s="124"/>
      <c r="G18" s="124"/>
      <c r="H18" s="124"/>
      <c r="I18" s="124"/>
      <c r="J18" s="124"/>
      <c r="K18" s="124"/>
      <c r="L18" s="124"/>
      <c r="M18" s="120" t="str">
        <f t="shared" si="3"/>
        <v>1. 자기 앞가림은 할수있는사람 2. 가족,가정의 소중함을 아는사람 3. 인생의 순위에서 내가 0순위가 될수있는사람 4. 본인의 가족만큼 나의주변과 가족도 챙길줄 아는사람 5. 마주보고 밥먹을때 비위상하지 않는사람 (2세에게 미안하긴 싫어서) 6. 다정한 사람 7. 술 절제할줄 아는사람 (안마시면 더 좋고) 8. 빚 없는사람 ( 나도 없으니 ) 9. 자기관리 할줄 아는사람 10. 책임감이 있는사람 마지막으로 미래가 있는사람 (크게 정해놓은 틀이 아니더라도 성실하고 부지런하고 안정적인 환경을 가진사람)</v>
      </c>
      <c r="N18" s="121"/>
      <c r="O18" s="121"/>
      <c r="P18" s="122"/>
    </row>
    <row r="19" spans="2:16" ht="17.25">
      <c r="B19" s="8" t="s">
        <v>14</v>
      </c>
      <c r="C19" s="4" t="str">
        <f t="shared" si="2"/>
        <v>심진희</v>
      </c>
      <c r="D19" s="124" t="str">
        <f>'18E'!N8</f>
        <v>웃음이 많은 사람</v>
      </c>
      <c r="E19" s="124"/>
      <c r="F19" s="124"/>
      <c r="G19" s="124"/>
      <c r="H19" s="124"/>
      <c r="I19" s="124"/>
      <c r="J19" s="124"/>
      <c r="K19" s="124"/>
      <c r="L19" s="124"/>
      <c r="M19" s="120" t="str">
        <f t="shared" si="3"/>
        <v>다부진데 다정한사람</v>
      </c>
      <c r="N19" s="121"/>
      <c r="O19" s="121"/>
      <c r="P19" s="122"/>
    </row>
    <row r="20" spans="2:16" ht="182.25" customHeight="1">
      <c r="B20" s="8" t="s">
        <v>14</v>
      </c>
      <c r="C20" s="4" t="str">
        <f t="shared" si="2"/>
        <v>최안나</v>
      </c>
      <c r="D20" s="124" t="str">
        <f>'18E'!N9</f>
        <v>쳇지피티에게 물어본 저의 성격 입니다  -나의 일에대한 자부심과 욕심이 있는 편 
1. 기본 성향: 강한데 섬세함 • 겉으로는 단단하고 자기주장 있는 스타일 • 근데 속은 생각 많고, 감정 디테일하게 느끼는 편
👉 그래서 “쿨한데 예민한 사람” 느낌 같이 있음 2. 사람 대하는 방식: 선택적으로 열림 • 아무한테나 잘해주는 타입 아님 • 대신 한 번 마음 열면 진짜 잘해줌 👉 그래서 인간관계가 “깊거나 / 아니거나” 둘 중 하나 3. 자존감 구조 • 기본 자존감은 있는 편 (쉽게 무너지진 않음) • 근데 특정 상황(연애, 상대 반응)에서는 흔들림 있음 👉 “나는 괜찮은데 왜 이러지?” 이런 생각 자주 드는 타입 4. 감정 처리 방식 • 감정이 없는 게 아니라 👉 느끼지만 표현을 조절하는 스타일 • 그래서 겉으로는 덤덤해 보이는데 속에서는 계속 생각 돌림 5. 연애 성향 연결 • 가볍게 못 만남 • 확신 없으면 마음 아끼려고 함 👉 그래서 애매한 상황에서 더 스트레스 받는 타입 6. 중요한 포인트 하나 / 너는 👉 사람을 보는 눈이 있는 대신, 감정이 따라가면 그걸 무시 못하는 타입 그래서 • “이 사람 아닌 거 아는데 왜 신경 쓰이지?” 이런 상황이 생김 /한 줄로 정리하면 👉 겉은 강하고 선 긋는 사람 👉 속은 깊고 쉽게 정 주는 사람 👉 그래서 스스로도 헷갈릴 때 있는 타입</v>
      </c>
      <c r="E20" s="124"/>
      <c r="F20" s="124"/>
      <c r="G20" s="124"/>
      <c r="H20" s="124"/>
      <c r="I20" s="124"/>
      <c r="J20" s="124"/>
      <c r="K20" s="124"/>
      <c r="L20" s="124"/>
      <c r="M20" s="120" t="str">
        <f t="shared" si="3"/>
        <v>말을 함부로 하지않고 다정한 사람. 가끔 웃긴사람</v>
      </c>
      <c r="N20" s="121"/>
      <c r="O20" s="121"/>
      <c r="P20" s="122"/>
    </row>
    <row r="21" spans="2:16" ht="18" customHeight="1">
      <c r="B21" s="8" t="s">
        <v>14</v>
      </c>
      <c r="C21" s="4" t="str">
        <f t="shared" si="2"/>
        <v>서예슬</v>
      </c>
      <c r="D21" s="124" t="str">
        <f>'18E'!N10</f>
        <v>무던하고 상냥한 사람이고 운동(특히 러닝), 요리, 산책,영화를 좋아해요!유순한성격 ,밝은미소!</v>
      </c>
      <c r="E21" s="124"/>
      <c r="F21" s="124"/>
      <c r="G21" s="124"/>
      <c r="H21" s="124"/>
      <c r="I21" s="124"/>
      <c r="J21" s="124"/>
      <c r="K21" s="124"/>
      <c r="L21" s="124"/>
      <c r="M21" s="120" t="str">
        <f t="shared" si="3"/>
        <v>긍정적이고 예의바른사람</v>
      </c>
      <c r="N21" s="121"/>
      <c r="O21" s="121"/>
      <c r="P21" s="122"/>
    </row>
    <row r="22" spans="2:16" ht="18" customHeight="1">
      <c r="B22" s="8" t="s">
        <v>14</v>
      </c>
      <c r="C22" s="4" t="str">
        <f t="shared" si="2"/>
        <v>최아름</v>
      </c>
      <c r="D22" s="124" t="str">
        <f>'18E'!N11</f>
        <v>내성적이고 낮가림 있음 집순이</v>
      </c>
      <c r="E22" s="124"/>
      <c r="F22" s="124"/>
      <c r="G22" s="124"/>
      <c r="H22" s="124"/>
      <c r="I22" s="124"/>
      <c r="J22" s="124"/>
      <c r="K22" s="124"/>
      <c r="L22" s="124"/>
      <c r="M22" s="120" t="str">
        <f t="shared" si="3"/>
        <v>날 적극적으로 이끌어 줄 사람</v>
      </c>
      <c r="N22" s="121"/>
      <c r="O22" s="121"/>
      <c r="P22" s="122"/>
    </row>
  </sheetData>
  <mergeCells count="22">
    <mergeCell ref="D12:L12"/>
    <mergeCell ref="M12:P12"/>
    <mergeCell ref="D13:L13"/>
    <mergeCell ref="M13:P13"/>
    <mergeCell ref="D14:L14"/>
    <mergeCell ref="M14:P14"/>
    <mergeCell ref="D15:L15"/>
    <mergeCell ref="M15:P15"/>
    <mergeCell ref="D16:L16"/>
    <mergeCell ref="M16:P16"/>
    <mergeCell ref="D17:L17"/>
    <mergeCell ref="M17:P17"/>
    <mergeCell ref="D21:L21"/>
    <mergeCell ref="M21:P21"/>
    <mergeCell ref="D22:L22"/>
    <mergeCell ref="M22:P22"/>
    <mergeCell ref="D18:L18"/>
    <mergeCell ref="M18:P18"/>
    <mergeCell ref="D19:L19"/>
    <mergeCell ref="M19:P19"/>
    <mergeCell ref="D20:L20"/>
    <mergeCell ref="M20:P20"/>
  </mergeCells>
  <phoneticPr fontId="1" type="noConversion"/>
  <pageMargins left="0.25" right="0.25" top="0.75" bottom="0.75" header="0.3" footer="0.3"/>
  <pageSetup paperSize="9" scale="59" fitToHeight="0" orientation="landscape" horizontalDpi="429496729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61"/>
  <sheetViews>
    <sheetView view="pageBreakPreview" topLeftCell="A16" zoomScale="55" zoomScaleNormal="100" zoomScaleSheetLayoutView="55" workbookViewId="0">
      <selection activeCell="S27" sqref="S27:V27"/>
    </sheetView>
  </sheetViews>
  <sheetFormatPr defaultRowHeight="16.5"/>
  <cols>
    <col min="1" max="12" width="12.625" style="67" customWidth="1"/>
    <col min="13" max="24" width="12.625" style="1" customWidth="1"/>
    <col min="25" max="25" width="9.625" style="1" customWidth="1"/>
    <col min="26" max="26" width="6.75" style="1" customWidth="1"/>
    <col min="27" max="41" width="9" style="1"/>
    <col min="42" max="42" width="5.5" style="1" customWidth="1"/>
    <col min="43" max="16384" width="9" style="1"/>
  </cols>
  <sheetData>
    <row r="1" spans="1:47" ht="21.95" customHeight="1" thickBot="1">
      <c r="A1" s="126" t="str">
        <f>Q1</f>
        <v>초콜릿</v>
      </c>
      <c r="B1" s="127"/>
      <c r="C1" s="127"/>
      <c r="D1" s="128"/>
      <c r="E1" s="143" t="str">
        <f>O1</f>
        <v>ESFJ</v>
      </c>
      <c r="F1" s="190"/>
      <c r="G1" s="126" t="str">
        <f>W1</f>
        <v>티라미수</v>
      </c>
      <c r="H1" s="127"/>
      <c r="I1" s="127"/>
      <c r="J1" s="128"/>
      <c r="K1" s="143" t="str">
        <f>U1</f>
        <v>ISFJ</v>
      </c>
      <c r="L1" s="190"/>
      <c r="M1" s="180" t="str">
        <f>'18E'!C2</f>
        <v>이준석</v>
      </c>
      <c r="N1" s="171"/>
      <c r="O1" s="182" t="str">
        <f>'18E'!I2</f>
        <v>ESFJ</v>
      </c>
      <c r="P1" s="183"/>
      <c r="Q1" s="154" t="s">
        <v>2334</v>
      </c>
      <c r="R1" s="155"/>
      <c r="S1" s="180" t="str">
        <f>'18E'!C7</f>
        <v>김주연</v>
      </c>
      <c r="T1" s="171"/>
      <c r="U1" s="162" t="str">
        <f>'18E'!I7</f>
        <v>ISFJ</v>
      </c>
      <c r="V1" s="163"/>
      <c r="W1" s="152" t="s">
        <v>2337</v>
      </c>
      <c r="X1" s="153"/>
      <c r="AA1" s="192" t="str">
        <f>Q1</f>
        <v>초콜릿</v>
      </c>
      <c r="AB1" s="193"/>
      <c r="AC1" s="194"/>
      <c r="AD1" s="100"/>
      <c r="AE1" s="100"/>
      <c r="AF1" s="100"/>
      <c r="AG1" s="100"/>
      <c r="AH1" s="100"/>
      <c r="AI1" s="100"/>
      <c r="AJ1" s="60"/>
      <c r="AK1" s="100"/>
      <c r="AL1" s="59"/>
      <c r="AM1" s="192" t="str">
        <f>W1</f>
        <v>티라미수</v>
      </c>
      <c r="AN1" s="193"/>
      <c r="AO1" s="194"/>
    </row>
    <row r="2" spans="1:47" ht="21.95" customHeight="1" thickBot="1">
      <c r="A2" s="129"/>
      <c r="B2" s="130"/>
      <c r="C2" s="130"/>
      <c r="D2" s="131"/>
      <c r="E2" s="137">
        <f>M2</f>
        <v>39</v>
      </c>
      <c r="F2" s="139"/>
      <c r="G2" s="129"/>
      <c r="H2" s="130"/>
      <c r="I2" s="130"/>
      <c r="J2" s="131"/>
      <c r="K2" s="137">
        <f>S2</f>
        <v>39</v>
      </c>
      <c r="L2" s="139"/>
      <c r="M2" s="13">
        <f>'18E'!D2</f>
        <v>39</v>
      </c>
      <c r="N2" s="13">
        <f>'18E'!E2</f>
        <v>172</v>
      </c>
      <c r="O2" s="15" t="str">
        <f>'18E'!K2</f>
        <v>무교</v>
      </c>
      <c r="P2" s="15" t="str">
        <f>'18E'!L2</f>
        <v>무관</v>
      </c>
      <c r="Q2" s="99"/>
      <c r="R2" s="98" t="s">
        <v>2001</v>
      </c>
      <c r="S2" s="13">
        <f>'18E'!D7</f>
        <v>39</v>
      </c>
      <c r="T2" s="16">
        <f>'18E'!E7</f>
        <v>166</v>
      </c>
      <c r="U2" s="20" t="str">
        <f>'18E'!K7</f>
        <v>무교</v>
      </c>
      <c r="V2" s="20" t="str">
        <f>'18E'!L7</f>
        <v>동일</v>
      </c>
      <c r="W2" s="99"/>
      <c r="X2" s="98" t="s">
        <v>2004</v>
      </c>
      <c r="AA2" s="195"/>
      <c r="AB2" s="196"/>
      <c r="AC2" s="197"/>
      <c r="AD2" s="100"/>
      <c r="AE2" s="100"/>
      <c r="AF2" s="100"/>
      <c r="AG2" s="100"/>
      <c r="AH2" s="100"/>
      <c r="AI2" s="100"/>
      <c r="AJ2" s="60"/>
      <c r="AK2" s="100"/>
      <c r="AL2" s="59"/>
      <c r="AM2" s="195"/>
      <c r="AN2" s="196"/>
      <c r="AO2" s="197"/>
      <c r="AS2" s="1" t="s">
        <v>2356</v>
      </c>
    </row>
    <row r="3" spans="1:47" ht="21.95" customHeight="1" thickBot="1">
      <c r="A3" s="129"/>
      <c r="B3" s="130"/>
      <c r="C3" s="130"/>
      <c r="D3" s="131"/>
      <c r="E3" s="137" t="str">
        <f>O2</f>
        <v>무교</v>
      </c>
      <c r="F3" s="139"/>
      <c r="G3" s="129"/>
      <c r="H3" s="130"/>
      <c r="I3" s="130"/>
      <c r="J3" s="131"/>
      <c r="K3" s="137" t="str">
        <f>U2</f>
        <v>무교</v>
      </c>
      <c r="L3" s="139"/>
      <c r="M3" s="181" t="str">
        <f>'18E'!F2</f>
        <v>디자인로고스 인테리어 기사</v>
      </c>
      <c r="N3" s="168"/>
      <c r="O3" s="168"/>
      <c r="P3" s="169"/>
      <c r="Q3" s="152" t="str">
        <f>'18E'!G2</f>
        <v>28~41</v>
      </c>
      <c r="R3" s="153"/>
      <c r="S3" s="165" t="str">
        <f>'18E'!F7</f>
        <v>홍대 방탈출카페 점장 ( 책임자 및 관리 )</v>
      </c>
      <c r="T3" s="166"/>
      <c r="U3" s="166"/>
      <c r="V3" s="167"/>
      <c r="W3" s="152" t="str">
        <f>'18E'!G7</f>
        <v>35~41</v>
      </c>
      <c r="X3" s="153"/>
      <c r="AA3" s="198" t="str">
        <f>M1</f>
        <v>이준석</v>
      </c>
      <c r="AB3" s="199"/>
      <c r="AC3" s="200"/>
      <c r="AD3" s="68"/>
      <c r="AE3" s="68"/>
      <c r="AF3" s="68"/>
      <c r="AG3" s="68"/>
      <c r="AH3" s="68"/>
      <c r="AI3" s="68"/>
      <c r="AJ3" s="69"/>
      <c r="AK3" s="70"/>
      <c r="AL3" s="59"/>
      <c r="AM3" s="198" t="str">
        <f>S1</f>
        <v>김주연</v>
      </c>
      <c r="AN3" s="199"/>
      <c r="AO3" s="200"/>
      <c r="AS3" s="1" t="s">
        <v>2352</v>
      </c>
    </row>
    <row r="4" spans="1:47" ht="21.95" customHeight="1" thickBot="1">
      <c r="A4" s="132"/>
      <c r="B4" s="133"/>
      <c r="C4" s="133"/>
      <c r="D4" s="134"/>
      <c r="E4" s="135" t="str">
        <f>R2</f>
        <v>I.A</v>
      </c>
      <c r="F4" s="149"/>
      <c r="G4" s="132"/>
      <c r="H4" s="133"/>
      <c r="I4" s="133"/>
      <c r="J4" s="134"/>
      <c r="K4" s="135" t="str">
        <f>X2</f>
        <v>Ju</v>
      </c>
      <c r="L4" s="149"/>
      <c r="M4" s="156" t="str">
        <f>'18E'!M2</f>
        <v>병원직군</v>
      </c>
      <c r="N4" s="157"/>
      <c r="O4" s="157"/>
      <c r="P4" s="158"/>
      <c r="Q4" s="141" t="str">
        <f>'18E'!H2</f>
        <v>160~175</v>
      </c>
      <c r="R4" s="142"/>
      <c r="S4" s="156" t="str">
        <f>'18E'!M7</f>
        <v>자영업, 무관</v>
      </c>
      <c r="T4" s="157"/>
      <c r="U4" s="157"/>
      <c r="V4" s="158"/>
      <c r="W4" s="164" t="str">
        <f>'18E'!H7</f>
        <v>175~</v>
      </c>
      <c r="X4" s="179"/>
      <c r="Y4" s="58" t="str">
        <f>R2</f>
        <v>I.A</v>
      </c>
      <c r="AA4" s="60"/>
      <c r="AB4" s="60"/>
      <c r="AC4" s="60"/>
      <c r="AD4" s="60"/>
      <c r="AE4" s="60"/>
      <c r="AF4" s="60"/>
      <c r="AG4" s="60"/>
      <c r="AH4" s="60"/>
      <c r="AI4" s="60"/>
      <c r="AJ4" s="60"/>
      <c r="AK4" s="100"/>
      <c r="AL4" s="59"/>
      <c r="AM4" s="60"/>
      <c r="AN4" s="60"/>
      <c r="AO4" s="60"/>
      <c r="AS4" s="1" t="s">
        <v>2351</v>
      </c>
    </row>
    <row r="5" spans="1:47" ht="21.95" customHeight="1">
      <c r="A5" s="188" t="str">
        <f>M5</f>
        <v>자기관리</v>
      </c>
      <c r="B5" s="144"/>
      <c r="C5" s="144" t="str">
        <f>O5</f>
        <v>프로다운</v>
      </c>
      <c r="D5" s="144"/>
      <c r="E5" s="144" t="str">
        <f>Q5</f>
        <v>No 감정기복</v>
      </c>
      <c r="F5" s="145"/>
      <c r="G5" s="188" t="str">
        <f>S5</f>
        <v>Not bad</v>
      </c>
      <c r="H5" s="144"/>
      <c r="I5" s="144" t="str">
        <f>U5</f>
        <v>NICE</v>
      </c>
      <c r="J5" s="144"/>
      <c r="K5" s="144"/>
      <c r="L5" s="145"/>
      <c r="M5" s="140" t="s">
        <v>2098</v>
      </c>
      <c r="N5" s="141"/>
      <c r="O5" s="141" t="s">
        <v>2086</v>
      </c>
      <c r="P5" s="141"/>
      <c r="Q5" s="141" t="s">
        <v>2230</v>
      </c>
      <c r="R5" s="142"/>
      <c r="S5" s="140" t="s">
        <v>2245</v>
      </c>
      <c r="T5" s="141"/>
      <c r="U5" s="141" t="s">
        <v>2246</v>
      </c>
      <c r="V5" s="141"/>
      <c r="W5" s="141"/>
      <c r="X5" s="142"/>
      <c r="Y5" s="58" t="str">
        <f>R14</f>
        <v>Ju</v>
      </c>
      <c r="AA5" s="192" t="str">
        <f>Q13</f>
        <v>크루아상</v>
      </c>
      <c r="AB5" s="193"/>
      <c r="AC5" s="194"/>
      <c r="AD5" s="100"/>
      <c r="AE5" s="100"/>
      <c r="AF5" s="100"/>
      <c r="AG5" s="100"/>
      <c r="AH5" s="100"/>
      <c r="AI5" s="100"/>
      <c r="AJ5" s="59"/>
      <c r="AK5" s="59"/>
      <c r="AL5" s="59"/>
      <c r="AM5" s="192" t="str">
        <f>W13</f>
        <v>푸딩</v>
      </c>
      <c r="AN5" s="193"/>
      <c r="AO5" s="194"/>
      <c r="AS5" s="1" t="s">
        <v>2351</v>
      </c>
    </row>
    <row r="6" spans="1:47" ht="21.95" customHeight="1">
      <c r="A6" s="150" t="str">
        <f t="shared" ref="A6" si="0">M6</f>
        <v>경청</v>
      </c>
      <c r="B6" s="146"/>
      <c r="C6" s="146" t="str">
        <f t="shared" ref="C6" si="1">O6</f>
        <v>이해</v>
      </c>
      <c r="D6" s="146"/>
      <c r="E6" s="146" t="str">
        <f t="shared" ref="E6" si="2">Q6</f>
        <v>노력</v>
      </c>
      <c r="F6" s="138"/>
      <c r="G6" s="150" t="str">
        <f t="shared" ref="G6" si="3">S6</f>
        <v>마음이 예쁜</v>
      </c>
      <c r="H6" s="146"/>
      <c r="I6" s="146"/>
      <c r="J6" s="146"/>
      <c r="K6" s="146"/>
      <c r="L6" s="138"/>
      <c r="M6" s="140" t="s">
        <v>2231</v>
      </c>
      <c r="N6" s="141"/>
      <c r="O6" s="141" t="s">
        <v>2232</v>
      </c>
      <c r="P6" s="141"/>
      <c r="Q6" s="141" t="s">
        <v>2233</v>
      </c>
      <c r="R6" s="142"/>
      <c r="S6" s="140" t="s">
        <v>2247</v>
      </c>
      <c r="T6" s="141"/>
      <c r="U6" s="141"/>
      <c r="V6" s="141"/>
      <c r="W6" s="141"/>
      <c r="X6" s="142"/>
      <c r="Y6" s="58" t="str">
        <f>R26</f>
        <v>I.A</v>
      </c>
      <c r="AA6" s="195"/>
      <c r="AB6" s="196"/>
      <c r="AC6" s="197"/>
      <c r="AD6" s="100"/>
      <c r="AE6" s="100"/>
      <c r="AF6" s="100"/>
      <c r="AG6" s="100"/>
      <c r="AH6" s="100"/>
      <c r="AI6" s="100"/>
      <c r="AJ6" s="60"/>
      <c r="AK6" s="59"/>
      <c r="AL6" s="59"/>
      <c r="AM6" s="195"/>
      <c r="AN6" s="196"/>
      <c r="AO6" s="197"/>
      <c r="AS6" s="1" t="s">
        <v>2353</v>
      </c>
    </row>
    <row r="7" spans="1:47" ht="21.95" customHeight="1" thickBot="1">
      <c r="A7" s="150"/>
      <c r="B7" s="146"/>
      <c r="C7" s="146"/>
      <c r="D7" s="146"/>
      <c r="E7" s="146"/>
      <c r="F7" s="138"/>
      <c r="G7" s="150"/>
      <c r="H7" s="146"/>
      <c r="I7" s="146"/>
      <c r="J7" s="146"/>
      <c r="K7" s="146"/>
      <c r="L7" s="138"/>
      <c r="M7" s="140"/>
      <c r="N7" s="141"/>
      <c r="O7" s="141"/>
      <c r="P7" s="141"/>
      <c r="Q7" s="141"/>
      <c r="R7" s="142"/>
      <c r="S7" s="140"/>
      <c r="T7" s="141"/>
      <c r="U7" s="141"/>
      <c r="V7" s="141"/>
      <c r="W7" s="141"/>
      <c r="X7" s="142"/>
      <c r="Y7" s="58" t="str">
        <f>R38</f>
        <v>H.T</v>
      </c>
      <c r="AA7" s="198" t="str">
        <f>M13</f>
        <v>윤한솔</v>
      </c>
      <c r="AB7" s="199"/>
      <c r="AC7" s="200"/>
      <c r="AD7" s="68"/>
      <c r="AE7" s="68"/>
      <c r="AF7" s="68"/>
      <c r="AG7" s="68"/>
      <c r="AH7" s="68"/>
      <c r="AI7" s="68"/>
      <c r="AJ7" s="69"/>
      <c r="AK7" s="59"/>
      <c r="AL7" s="59"/>
      <c r="AM7" s="198" t="str">
        <f>S13</f>
        <v>심진희</v>
      </c>
      <c r="AN7" s="199"/>
      <c r="AO7" s="200"/>
      <c r="AS7" s="1" t="s">
        <v>2354</v>
      </c>
    </row>
    <row r="8" spans="1:47" ht="21.95" customHeight="1" thickBot="1">
      <c r="A8" s="150"/>
      <c r="B8" s="146"/>
      <c r="C8" s="146"/>
      <c r="D8" s="146"/>
      <c r="E8" s="146"/>
      <c r="F8" s="138"/>
      <c r="G8" s="150"/>
      <c r="H8" s="146"/>
      <c r="I8" s="146"/>
      <c r="J8" s="146"/>
      <c r="K8" s="146"/>
      <c r="L8" s="138"/>
      <c r="M8" s="140"/>
      <c r="N8" s="141"/>
      <c r="O8" s="141"/>
      <c r="P8" s="141"/>
      <c r="Q8" s="141"/>
      <c r="R8" s="142"/>
      <c r="S8" s="140"/>
      <c r="T8" s="141"/>
      <c r="U8" s="141"/>
      <c r="V8" s="141"/>
      <c r="W8" s="160"/>
      <c r="X8" s="161"/>
      <c r="Y8" s="58" t="str">
        <f>R50</f>
        <v>I.T</v>
      </c>
      <c r="AA8" s="59"/>
      <c r="AB8" s="59"/>
      <c r="AC8" s="59"/>
      <c r="AD8" s="59"/>
      <c r="AE8" s="59"/>
      <c r="AF8" s="59"/>
      <c r="AG8" s="59"/>
      <c r="AH8" s="59"/>
      <c r="AI8" s="59"/>
      <c r="AJ8" s="60"/>
      <c r="AK8" s="59"/>
      <c r="AL8" s="59"/>
      <c r="AM8" s="59"/>
      <c r="AN8" s="59"/>
      <c r="AO8" s="59"/>
      <c r="AS8" s="1" t="s">
        <v>2354</v>
      </c>
      <c r="AT8" s="1" t="s">
        <v>2357</v>
      </c>
      <c r="AU8" s="1">
        <v>15</v>
      </c>
    </row>
    <row r="9" spans="1:47" ht="21.95" customHeight="1">
      <c r="A9" s="172" t="str">
        <f>M9</f>
        <v>어바웃 타임</v>
      </c>
      <c r="B9" s="173"/>
      <c r="C9" s="173"/>
      <c r="D9" s="174"/>
      <c r="E9" s="177" t="str">
        <f>Q9</f>
        <v>대만</v>
      </c>
      <c r="F9" s="178"/>
      <c r="G9" s="172" t="str">
        <f>S9</f>
        <v>코요테어글리</v>
      </c>
      <c r="H9" s="173"/>
      <c r="I9" s="173"/>
      <c r="J9" s="174"/>
      <c r="K9" s="177" t="str">
        <f>W9</f>
        <v>제주도</v>
      </c>
      <c r="L9" s="178"/>
      <c r="M9" s="156" t="s">
        <v>2144</v>
      </c>
      <c r="N9" s="157"/>
      <c r="O9" s="157"/>
      <c r="P9" s="158"/>
      <c r="Q9" s="141" t="s">
        <v>2268</v>
      </c>
      <c r="R9" s="142"/>
      <c r="S9" s="156" t="s">
        <v>2283</v>
      </c>
      <c r="T9" s="157"/>
      <c r="U9" s="157"/>
      <c r="V9" s="158"/>
      <c r="W9" s="141" t="s">
        <v>2145</v>
      </c>
      <c r="X9" s="142"/>
      <c r="Y9" s="58" t="str">
        <f>X2</f>
        <v>Ju</v>
      </c>
      <c r="AA9" s="192" t="str">
        <f>Q25</f>
        <v>단팥빵</v>
      </c>
      <c r="AB9" s="193"/>
      <c r="AC9" s="194"/>
      <c r="AD9" s="100"/>
      <c r="AE9" s="100"/>
      <c r="AF9" s="100"/>
      <c r="AG9" s="100"/>
      <c r="AH9" s="100"/>
      <c r="AI9" s="100"/>
      <c r="AJ9" s="60"/>
      <c r="AK9" s="60"/>
      <c r="AL9" s="60"/>
      <c r="AM9" s="192" t="str">
        <f>W25</f>
        <v>마들렌</v>
      </c>
      <c r="AN9" s="193"/>
      <c r="AO9" s="194"/>
      <c r="AS9" s="1" t="s">
        <v>2342</v>
      </c>
      <c r="AT9" s="1" t="s">
        <v>2363</v>
      </c>
      <c r="AU9" s="1">
        <v>1</v>
      </c>
    </row>
    <row r="10" spans="1:47" ht="21.95" customHeight="1">
      <c r="A10" s="140" t="str">
        <f>M10</f>
        <v>대화의 결</v>
      </c>
      <c r="B10" s="141"/>
      <c r="C10" s="141"/>
      <c r="D10" s="141"/>
      <c r="E10" s="141"/>
      <c r="F10" s="142"/>
      <c r="G10" s="140" t="str">
        <f>S10</f>
        <v>의리</v>
      </c>
      <c r="H10" s="141"/>
      <c r="I10" s="141" t="str">
        <f>U10</f>
        <v>밥상머리</v>
      </c>
      <c r="J10" s="141"/>
      <c r="K10" s="141" t="str">
        <f>W10</f>
        <v>도나토스</v>
      </c>
      <c r="L10" s="142"/>
      <c r="M10" s="150" t="s">
        <v>2234</v>
      </c>
      <c r="N10" s="146"/>
      <c r="O10" s="146"/>
      <c r="P10" s="146"/>
      <c r="Q10" s="146"/>
      <c r="R10" s="138"/>
      <c r="S10" s="150" t="s">
        <v>2284</v>
      </c>
      <c r="T10" s="146"/>
      <c r="U10" s="146" t="s">
        <v>2251</v>
      </c>
      <c r="V10" s="146"/>
      <c r="W10" s="146" t="s">
        <v>2285</v>
      </c>
      <c r="X10" s="138"/>
      <c r="Y10" s="58" t="str">
        <f>X14</f>
        <v>Ju</v>
      </c>
      <c r="AA10" s="195"/>
      <c r="AB10" s="196"/>
      <c r="AC10" s="197"/>
      <c r="AD10" s="100"/>
      <c r="AE10" s="100"/>
      <c r="AF10" s="100"/>
      <c r="AG10" s="100"/>
      <c r="AH10" s="100"/>
      <c r="AI10" s="100"/>
      <c r="AJ10" s="59"/>
      <c r="AK10" s="59"/>
      <c r="AL10" s="59"/>
      <c r="AM10" s="195"/>
      <c r="AN10" s="196"/>
      <c r="AO10" s="197"/>
      <c r="AS10" s="1" t="s">
        <v>2342</v>
      </c>
      <c r="AT10" s="1" t="s">
        <v>2358</v>
      </c>
      <c r="AU10" s="1">
        <v>2</v>
      </c>
    </row>
    <row r="11" spans="1:47" ht="21.95" customHeight="1" thickBot="1">
      <c r="A11" s="140" t="str">
        <f>M11</f>
        <v>자기관리</v>
      </c>
      <c r="B11" s="141"/>
      <c r="C11" s="141" t="str">
        <f>O11</f>
        <v>대화의 결</v>
      </c>
      <c r="D11" s="141"/>
      <c r="E11" s="141" t="str">
        <f>Q11</f>
        <v>온도</v>
      </c>
      <c r="F11" s="142"/>
      <c r="G11" s="140" t="str">
        <f>S11</f>
        <v>자기앞가림</v>
      </c>
      <c r="H11" s="141"/>
      <c r="I11" s="141" t="str">
        <f>U11</f>
        <v>가족의 소중함</v>
      </c>
      <c r="J11" s="141"/>
      <c r="K11" s="141" t="str">
        <f>W11</f>
        <v>내가 0순위</v>
      </c>
      <c r="L11" s="142"/>
      <c r="M11" s="150" t="s">
        <v>2098</v>
      </c>
      <c r="N11" s="146"/>
      <c r="O11" s="146" t="s">
        <v>2234</v>
      </c>
      <c r="P11" s="146"/>
      <c r="Q11" s="139" t="s">
        <v>2235</v>
      </c>
      <c r="R11" s="185"/>
      <c r="S11" s="150" t="s">
        <v>2248</v>
      </c>
      <c r="T11" s="146"/>
      <c r="U11" s="146" t="s">
        <v>2249</v>
      </c>
      <c r="V11" s="146"/>
      <c r="W11" s="146" t="s">
        <v>2250</v>
      </c>
      <c r="X11" s="138"/>
      <c r="Y11" s="58" t="str">
        <f>X26</f>
        <v>Tea</v>
      </c>
      <c r="AA11" s="198" t="str">
        <f>M25</f>
        <v>박중호</v>
      </c>
      <c r="AB11" s="199"/>
      <c r="AC11" s="200"/>
      <c r="AD11" s="68"/>
      <c r="AE11" s="68"/>
      <c r="AF11" s="68"/>
      <c r="AG11" s="68"/>
      <c r="AH11" s="68"/>
      <c r="AI11" s="68"/>
      <c r="AJ11" s="69"/>
      <c r="AK11" s="59"/>
      <c r="AL11" s="59"/>
      <c r="AM11" s="198" t="str">
        <f>S25</f>
        <v>최안나</v>
      </c>
      <c r="AN11" s="199"/>
      <c r="AO11" s="200"/>
      <c r="AS11" s="1" t="s">
        <v>2342</v>
      </c>
      <c r="AT11" s="1" t="s">
        <v>2359</v>
      </c>
      <c r="AU11" s="1">
        <v>1</v>
      </c>
    </row>
    <row r="12" spans="1:47" ht="21.95" customHeight="1" thickBot="1">
      <c r="A12" s="147"/>
      <c r="B12" s="148"/>
      <c r="C12" s="148"/>
      <c r="D12" s="148"/>
      <c r="E12" s="148"/>
      <c r="F12" s="175"/>
      <c r="G12" s="147" t="str">
        <f>S12</f>
        <v>다정한</v>
      </c>
      <c r="H12" s="148"/>
      <c r="I12" s="148" t="str">
        <f>U12</f>
        <v>책임감</v>
      </c>
      <c r="J12" s="148"/>
      <c r="K12" s="148"/>
      <c r="L12" s="175"/>
      <c r="M12" s="159"/>
      <c r="N12" s="135"/>
      <c r="O12" s="149"/>
      <c r="P12" s="135"/>
      <c r="Q12" s="149"/>
      <c r="R12" s="151"/>
      <c r="S12" s="159" t="s">
        <v>2188</v>
      </c>
      <c r="T12" s="135"/>
      <c r="U12" s="149" t="s">
        <v>2084</v>
      </c>
      <c r="V12" s="135"/>
      <c r="W12" s="149"/>
      <c r="X12" s="151"/>
      <c r="Y12" s="58" t="str">
        <f>X38</f>
        <v>I.T</v>
      </c>
      <c r="AA12" s="59"/>
      <c r="AB12" s="59"/>
      <c r="AC12" s="59"/>
      <c r="AD12" s="59"/>
      <c r="AE12" s="59"/>
      <c r="AF12" s="59"/>
      <c r="AG12" s="59"/>
      <c r="AH12" s="59"/>
      <c r="AI12" s="59"/>
      <c r="AJ12" s="60"/>
      <c r="AK12" s="59"/>
      <c r="AL12" s="59"/>
      <c r="AM12" s="59"/>
      <c r="AN12" s="59"/>
      <c r="AO12" s="59"/>
      <c r="AS12" s="1" t="s">
        <v>2342</v>
      </c>
      <c r="AT12" s="1" t="s">
        <v>2360</v>
      </c>
      <c r="AU12" s="1">
        <v>5</v>
      </c>
    </row>
    <row r="13" spans="1:47" ht="21.95" customHeight="1">
      <c r="A13" s="126" t="str">
        <f>Q13</f>
        <v>크루아상</v>
      </c>
      <c r="B13" s="127"/>
      <c r="C13" s="127"/>
      <c r="D13" s="128"/>
      <c r="E13" s="143" t="str">
        <f>O13</f>
        <v>INFP</v>
      </c>
      <c r="F13" s="190"/>
      <c r="G13" s="126" t="str">
        <f>W13</f>
        <v>푸딩</v>
      </c>
      <c r="H13" s="127"/>
      <c r="I13" s="127"/>
      <c r="J13" s="128"/>
      <c r="K13" s="143" t="str">
        <f>U13</f>
        <v>ENFP</v>
      </c>
      <c r="L13" s="190"/>
      <c r="M13" s="180" t="str">
        <f>'18E'!C3</f>
        <v>윤한솔</v>
      </c>
      <c r="N13" s="171"/>
      <c r="O13" s="162" t="str">
        <f>'18E'!I3</f>
        <v>INFP</v>
      </c>
      <c r="P13" s="163"/>
      <c r="Q13" s="154" t="s">
        <v>2335</v>
      </c>
      <c r="R13" s="155"/>
      <c r="S13" s="180" t="str">
        <f>'18E'!C8</f>
        <v>심진희</v>
      </c>
      <c r="T13" s="171"/>
      <c r="U13" s="162" t="str">
        <f>'18E'!I8</f>
        <v>ENFP</v>
      </c>
      <c r="V13" s="163"/>
      <c r="W13" s="152" t="s">
        <v>2338</v>
      </c>
      <c r="X13" s="153"/>
      <c r="Y13" s="58" t="str">
        <f>X50</f>
        <v>H.A</v>
      </c>
      <c r="AA13" s="192" t="str">
        <f>Q37</f>
        <v>스콘</v>
      </c>
      <c r="AB13" s="193"/>
      <c r="AC13" s="194"/>
      <c r="AD13" s="100"/>
      <c r="AE13" s="100"/>
      <c r="AF13" s="100"/>
      <c r="AG13" s="100"/>
      <c r="AH13" s="100"/>
      <c r="AI13" s="100"/>
      <c r="AJ13" s="60"/>
      <c r="AK13" s="59"/>
      <c r="AL13" s="59"/>
      <c r="AM13" s="192" t="str">
        <f>W37</f>
        <v>에그타르트</v>
      </c>
      <c r="AN13" s="193"/>
      <c r="AO13" s="194"/>
      <c r="AS13" s="1" t="s">
        <v>2342</v>
      </c>
      <c r="AT13" s="1" t="s">
        <v>2361</v>
      </c>
      <c r="AU13" s="1">
        <v>5</v>
      </c>
    </row>
    <row r="14" spans="1:47" ht="21.95" customHeight="1" thickBot="1">
      <c r="A14" s="129"/>
      <c r="B14" s="130"/>
      <c r="C14" s="130"/>
      <c r="D14" s="131"/>
      <c r="E14" s="137">
        <f>M14</f>
        <v>39</v>
      </c>
      <c r="F14" s="139"/>
      <c r="G14" s="129"/>
      <c r="H14" s="130"/>
      <c r="I14" s="130"/>
      <c r="J14" s="131"/>
      <c r="K14" s="137">
        <f>S14</f>
        <v>37</v>
      </c>
      <c r="L14" s="139"/>
      <c r="M14" s="13">
        <f>'18E'!D3</f>
        <v>39</v>
      </c>
      <c r="N14" s="13">
        <f>'18E'!E3</f>
        <v>165</v>
      </c>
      <c r="O14" s="15" t="str">
        <f>'18E'!K3</f>
        <v>무교</v>
      </c>
      <c r="P14" s="15" t="str">
        <f>'18E'!L3</f>
        <v>무관</v>
      </c>
      <c r="Q14" s="99"/>
      <c r="R14" s="98" t="s">
        <v>2004</v>
      </c>
      <c r="S14" s="13">
        <f>'18E'!D8</f>
        <v>37</v>
      </c>
      <c r="T14" s="16">
        <f>'18E'!E8</f>
        <v>163</v>
      </c>
      <c r="U14" s="15" t="str">
        <f>'18E'!K8</f>
        <v>무교</v>
      </c>
      <c r="V14" s="15" t="str">
        <f>'18E'!L8</f>
        <v>동일</v>
      </c>
      <c r="W14" s="99"/>
      <c r="X14" s="98" t="s">
        <v>2315</v>
      </c>
      <c r="AA14" s="195"/>
      <c r="AB14" s="196"/>
      <c r="AC14" s="197"/>
      <c r="AD14" s="100"/>
      <c r="AE14" s="100"/>
      <c r="AF14" s="100"/>
      <c r="AG14" s="100"/>
      <c r="AH14" s="100"/>
      <c r="AI14" s="100"/>
      <c r="AJ14" s="60"/>
      <c r="AK14" s="60"/>
      <c r="AL14" s="60"/>
      <c r="AM14" s="195"/>
      <c r="AN14" s="196"/>
      <c r="AO14" s="197"/>
      <c r="AS14" s="1" t="s">
        <v>2355</v>
      </c>
      <c r="AT14" s="1" t="s">
        <v>2362</v>
      </c>
      <c r="AU14" s="1">
        <v>1</v>
      </c>
    </row>
    <row r="15" spans="1:47" ht="21.95" customHeight="1" thickBot="1">
      <c r="A15" s="129"/>
      <c r="B15" s="130"/>
      <c r="C15" s="130"/>
      <c r="D15" s="131"/>
      <c r="E15" s="137" t="str">
        <f>O14</f>
        <v>무교</v>
      </c>
      <c r="F15" s="139"/>
      <c r="G15" s="129"/>
      <c r="H15" s="130"/>
      <c r="I15" s="130"/>
      <c r="J15" s="131"/>
      <c r="K15" s="137" t="str">
        <f>U14</f>
        <v>무교</v>
      </c>
      <c r="L15" s="139"/>
      <c r="M15" s="181" t="str">
        <f>'18E'!F3</f>
        <v>필라테스강사</v>
      </c>
      <c r="N15" s="168"/>
      <c r="O15" s="168"/>
      <c r="P15" s="169"/>
      <c r="Q15" s="152" t="str">
        <f>'18E'!G3</f>
        <v>28~38</v>
      </c>
      <c r="R15" s="153"/>
      <c r="S15" s="165" t="str">
        <f>'18E'!F8</f>
        <v>하이파킹 서비스지원팀</v>
      </c>
      <c r="T15" s="166"/>
      <c r="U15" s="166"/>
      <c r="V15" s="167"/>
      <c r="W15" s="152" t="str">
        <f>'18E'!G8</f>
        <v>35~41</v>
      </c>
      <c r="X15" s="153"/>
      <c r="Y15" s="67" t="s">
        <v>2195</v>
      </c>
      <c r="AA15" s="198" t="str">
        <f>M37</f>
        <v>김동현</v>
      </c>
      <c r="AB15" s="199"/>
      <c r="AC15" s="200"/>
      <c r="AD15" s="68"/>
      <c r="AE15" s="68"/>
      <c r="AF15" s="68"/>
      <c r="AG15" s="68"/>
      <c r="AH15" s="68"/>
      <c r="AI15" s="68"/>
      <c r="AJ15" s="59"/>
      <c r="AK15" s="59"/>
      <c r="AL15" s="59"/>
      <c r="AM15" s="198" t="str">
        <f>S37</f>
        <v>서예슬</v>
      </c>
      <c r="AN15" s="199"/>
      <c r="AO15" s="200"/>
      <c r="AS15" s="1" t="s">
        <v>2355</v>
      </c>
    </row>
    <row r="16" spans="1:47" ht="21.95" customHeight="1" thickBot="1">
      <c r="A16" s="132"/>
      <c r="B16" s="133"/>
      <c r="C16" s="133"/>
      <c r="D16" s="134"/>
      <c r="E16" s="135" t="str">
        <f>R14</f>
        <v>Ju</v>
      </c>
      <c r="F16" s="149"/>
      <c r="G16" s="132"/>
      <c r="H16" s="133"/>
      <c r="I16" s="133"/>
      <c r="J16" s="134"/>
      <c r="K16" s="135" t="str">
        <f>X14</f>
        <v>Ju</v>
      </c>
      <c r="L16" s="149"/>
      <c r="M16" s="156" t="str">
        <f>'18E'!M3</f>
        <v>무관</v>
      </c>
      <c r="N16" s="157"/>
      <c r="O16" s="157"/>
      <c r="P16" s="158"/>
      <c r="Q16" s="141" t="str">
        <f>'18E'!H3</f>
        <v>무관</v>
      </c>
      <c r="R16" s="142"/>
      <c r="S16" s="156" t="str">
        <f>'18E'!M8</f>
        <v>무관</v>
      </c>
      <c r="T16" s="157"/>
      <c r="U16" s="157"/>
      <c r="V16" s="158"/>
      <c r="W16" s="164" t="str">
        <f>'18E'!H8</f>
        <v>170~</v>
      </c>
      <c r="X16" s="179"/>
      <c r="Y16" s="67" t="s">
        <v>2271</v>
      </c>
      <c r="AA16" s="59"/>
      <c r="AB16" s="59"/>
      <c r="AC16" s="59"/>
      <c r="AD16" s="59"/>
      <c r="AE16" s="59"/>
      <c r="AF16" s="59"/>
      <c r="AG16" s="59"/>
      <c r="AH16" s="59"/>
      <c r="AI16" s="59"/>
      <c r="AJ16" s="60"/>
      <c r="AK16" s="59"/>
      <c r="AL16" s="59"/>
      <c r="AM16" s="59"/>
      <c r="AN16" s="59"/>
      <c r="AO16" s="59"/>
      <c r="AS16" s="1" t="s">
        <v>2355</v>
      </c>
    </row>
    <row r="17" spans="1:45" ht="21.95" customHeight="1">
      <c r="A17" s="188" t="str">
        <f>M17</f>
        <v>착함</v>
      </c>
      <c r="B17" s="144"/>
      <c r="C17" s="144" t="str">
        <f>O17</f>
        <v>바른</v>
      </c>
      <c r="D17" s="144"/>
      <c r="E17" s="144"/>
      <c r="F17" s="145"/>
      <c r="G17" s="188" t="str">
        <f>S17</f>
        <v>웃음이 많은</v>
      </c>
      <c r="H17" s="144"/>
      <c r="I17" s="144"/>
      <c r="J17" s="144"/>
      <c r="K17" s="144"/>
      <c r="L17" s="145"/>
      <c r="M17" s="140" t="s">
        <v>2236</v>
      </c>
      <c r="N17" s="141"/>
      <c r="O17" s="141" t="s">
        <v>2237</v>
      </c>
      <c r="P17" s="141"/>
      <c r="Q17" s="141"/>
      <c r="R17" s="142"/>
      <c r="S17" s="158" t="s">
        <v>2252</v>
      </c>
      <c r="T17" s="164"/>
      <c r="U17" s="141"/>
      <c r="V17" s="141"/>
      <c r="W17" s="141"/>
      <c r="X17" s="142"/>
      <c r="Y17" s="67" t="s">
        <v>2272</v>
      </c>
      <c r="AA17" s="192" t="str">
        <f>Q49</f>
        <v>소금빵</v>
      </c>
      <c r="AB17" s="193"/>
      <c r="AC17" s="194"/>
      <c r="AD17" s="100"/>
      <c r="AE17" s="100"/>
      <c r="AF17" s="100"/>
      <c r="AG17" s="100"/>
      <c r="AH17" s="100"/>
      <c r="AI17" s="100"/>
      <c r="AJ17" s="60"/>
      <c r="AK17" s="59"/>
      <c r="AL17" s="59"/>
      <c r="AM17" s="192" t="str">
        <f>W49</f>
        <v>피낭시에</v>
      </c>
      <c r="AN17" s="193"/>
      <c r="AO17" s="194"/>
      <c r="AS17" s="1" t="s">
        <v>2350</v>
      </c>
    </row>
    <row r="18" spans="1:45" ht="21.95" customHeight="1">
      <c r="A18" s="150"/>
      <c r="B18" s="146"/>
      <c r="C18" s="146"/>
      <c r="D18" s="146"/>
      <c r="E18" s="146"/>
      <c r="F18" s="138"/>
      <c r="G18" s="150"/>
      <c r="H18" s="146"/>
      <c r="I18" s="146"/>
      <c r="J18" s="146"/>
      <c r="K18" s="146"/>
      <c r="L18" s="138"/>
      <c r="M18" s="140"/>
      <c r="N18" s="141"/>
      <c r="O18" s="141"/>
      <c r="P18" s="141"/>
      <c r="Q18" s="141"/>
      <c r="R18" s="142"/>
      <c r="S18" s="140"/>
      <c r="T18" s="141"/>
      <c r="U18" s="141"/>
      <c r="V18" s="141"/>
      <c r="W18" s="141"/>
      <c r="X18" s="142"/>
      <c r="Y18" s="67" t="s">
        <v>2273</v>
      </c>
      <c r="AA18" s="195"/>
      <c r="AB18" s="196"/>
      <c r="AC18" s="197"/>
      <c r="AD18" s="100"/>
      <c r="AE18" s="100"/>
      <c r="AF18" s="100"/>
      <c r="AG18" s="100"/>
      <c r="AH18" s="100"/>
      <c r="AI18" s="100"/>
      <c r="AJ18" s="60"/>
      <c r="AK18" s="59"/>
      <c r="AL18" s="59"/>
      <c r="AM18" s="195"/>
      <c r="AN18" s="196"/>
      <c r="AO18" s="197"/>
    </row>
    <row r="19" spans="1:45" ht="21.95" customHeight="1" thickBot="1">
      <c r="A19" s="150"/>
      <c r="B19" s="146"/>
      <c r="C19" s="146"/>
      <c r="D19" s="146"/>
      <c r="E19" s="146"/>
      <c r="F19" s="138"/>
      <c r="G19" s="150"/>
      <c r="H19" s="146"/>
      <c r="I19" s="146"/>
      <c r="J19" s="146"/>
      <c r="K19" s="146"/>
      <c r="L19" s="138"/>
      <c r="M19" s="140"/>
      <c r="N19" s="141"/>
      <c r="O19" s="141"/>
      <c r="P19" s="141"/>
      <c r="Q19" s="141"/>
      <c r="R19" s="142"/>
      <c r="S19" s="140"/>
      <c r="T19" s="141"/>
      <c r="U19" s="141"/>
      <c r="V19" s="141"/>
      <c r="W19" s="141"/>
      <c r="X19" s="142"/>
      <c r="Y19" s="67" t="s">
        <v>2282</v>
      </c>
      <c r="AA19" s="198" t="str">
        <f>M49</f>
        <v>황성준</v>
      </c>
      <c r="AB19" s="199"/>
      <c r="AC19" s="200"/>
      <c r="AD19" s="68"/>
      <c r="AE19" s="68"/>
      <c r="AF19" s="68"/>
      <c r="AG19" s="68"/>
      <c r="AH19" s="68"/>
      <c r="AI19" s="68"/>
      <c r="AJ19" s="69"/>
      <c r="AK19" s="69"/>
      <c r="AL19" s="69"/>
      <c r="AM19" s="198" t="str">
        <f>S49</f>
        <v>최아름</v>
      </c>
      <c r="AN19" s="199"/>
      <c r="AO19" s="200"/>
    </row>
    <row r="20" spans="1:45" ht="21.95" customHeight="1" thickBot="1">
      <c r="A20" s="150"/>
      <c r="B20" s="146"/>
      <c r="C20" s="146"/>
      <c r="D20" s="146"/>
      <c r="E20" s="146"/>
      <c r="F20" s="138"/>
      <c r="G20" s="150"/>
      <c r="H20" s="146"/>
      <c r="I20" s="146"/>
      <c r="J20" s="146"/>
      <c r="K20" s="146"/>
      <c r="L20" s="138"/>
      <c r="M20" s="140"/>
      <c r="N20" s="141"/>
      <c r="O20" s="141"/>
      <c r="P20" s="141"/>
      <c r="Q20" s="141"/>
      <c r="R20" s="142"/>
      <c r="S20" s="140"/>
      <c r="T20" s="141"/>
      <c r="U20" s="141"/>
      <c r="V20" s="141"/>
      <c r="W20" s="160"/>
      <c r="X20" s="161"/>
      <c r="Z20" s="62"/>
      <c r="AA20" s="63"/>
      <c r="AB20" s="63"/>
      <c r="AC20" s="63"/>
      <c r="AD20" s="63"/>
      <c r="AE20" s="63"/>
      <c r="AF20" s="63"/>
      <c r="AG20" s="63"/>
      <c r="AH20" s="63"/>
      <c r="AI20" s="63"/>
      <c r="AJ20" s="61"/>
      <c r="AK20" s="63"/>
      <c r="AL20" s="63"/>
      <c r="AM20" s="63"/>
      <c r="AN20" s="63"/>
      <c r="AO20" s="63"/>
    </row>
    <row r="21" spans="1:45" ht="21.95" customHeight="1" thickBot="1">
      <c r="A21" s="172" t="str">
        <f>M21</f>
        <v>라라랜드</v>
      </c>
      <c r="B21" s="173"/>
      <c r="C21" s="173"/>
      <c r="D21" s="174"/>
      <c r="E21" s="177" t="str">
        <f>Q21</f>
        <v>보라카이</v>
      </c>
      <c r="F21" s="178"/>
      <c r="G21" s="172" t="str">
        <f>S21</f>
        <v>어바웃 타임</v>
      </c>
      <c r="H21" s="173"/>
      <c r="I21" s="173"/>
      <c r="J21" s="174"/>
      <c r="K21" s="177" t="str">
        <f>W21</f>
        <v>포르투갈</v>
      </c>
      <c r="L21" s="178"/>
      <c r="M21" s="156" t="s">
        <v>2167</v>
      </c>
      <c r="N21" s="157"/>
      <c r="O21" s="157"/>
      <c r="P21" s="158"/>
      <c r="Q21" s="141" t="s">
        <v>2165</v>
      </c>
      <c r="R21" s="142"/>
      <c r="S21" s="156" t="s">
        <v>2316</v>
      </c>
      <c r="T21" s="157"/>
      <c r="U21" s="157"/>
      <c r="V21" s="158"/>
      <c r="W21" s="141" t="s">
        <v>2317</v>
      </c>
      <c r="X21" s="142"/>
      <c r="AA21" s="59"/>
      <c r="AB21" s="59"/>
      <c r="AC21" s="59"/>
      <c r="AD21" s="59"/>
      <c r="AE21" s="59"/>
      <c r="AF21" s="59"/>
      <c r="AG21" s="59"/>
      <c r="AH21" s="59"/>
      <c r="AI21" s="59"/>
      <c r="AJ21" s="60"/>
      <c r="AK21" s="59"/>
      <c r="AL21" s="59"/>
      <c r="AM21" s="59"/>
      <c r="AN21" s="59"/>
      <c r="AO21" s="59"/>
    </row>
    <row r="22" spans="1:45" ht="21.95" customHeight="1">
      <c r="A22" s="140" t="str">
        <f>M22</f>
        <v>설렘</v>
      </c>
      <c r="B22" s="141"/>
      <c r="C22" s="141"/>
      <c r="D22" s="141"/>
      <c r="E22" s="141" t="str">
        <f>Q22</f>
        <v>영동소금구이</v>
      </c>
      <c r="F22" s="142"/>
      <c r="G22" s="140" t="str">
        <f>S22</f>
        <v>신뢰</v>
      </c>
      <c r="H22" s="141"/>
      <c r="I22" s="141" t="str">
        <f>U22</f>
        <v>대화</v>
      </c>
      <c r="J22" s="141"/>
      <c r="K22" s="141" t="str">
        <f>W22</f>
        <v>대박집</v>
      </c>
      <c r="L22" s="142"/>
      <c r="M22" s="150" t="s">
        <v>2269</v>
      </c>
      <c r="N22" s="146"/>
      <c r="O22" s="146"/>
      <c r="P22" s="146"/>
      <c r="Q22" s="146" t="s">
        <v>2270</v>
      </c>
      <c r="R22" s="138"/>
      <c r="S22" s="150" t="s">
        <v>2318</v>
      </c>
      <c r="T22" s="146"/>
      <c r="U22" s="141" t="s">
        <v>2319</v>
      </c>
      <c r="V22" s="141"/>
      <c r="W22" s="146" t="s">
        <v>2320</v>
      </c>
      <c r="X22" s="138"/>
      <c r="AA22" s="192" t="str">
        <f>AA1</f>
        <v>초콜릿</v>
      </c>
      <c r="AB22" s="193"/>
      <c r="AC22" s="194"/>
      <c r="AD22" s="100"/>
      <c r="AE22" s="100"/>
      <c r="AF22" s="100"/>
      <c r="AG22" s="100"/>
      <c r="AH22" s="100"/>
      <c r="AI22" s="100"/>
      <c r="AJ22" s="60"/>
      <c r="AK22" s="59"/>
      <c r="AL22" s="59"/>
      <c r="AM22" s="192" t="str">
        <f>AM1</f>
        <v>티라미수</v>
      </c>
      <c r="AN22" s="193"/>
      <c r="AO22" s="194"/>
    </row>
    <row r="23" spans="1:45" ht="21.95" customHeight="1">
      <c r="A23" s="140" t="str">
        <f>M23</f>
        <v>밝으신분</v>
      </c>
      <c r="B23" s="141"/>
      <c r="C23" s="141"/>
      <c r="D23" s="141"/>
      <c r="E23" s="141"/>
      <c r="F23" s="142"/>
      <c r="G23" s="140" t="str">
        <f>S23</f>
        <v>다부진</v>
      </c>
      <c r="H23" s="141"/>
      <c r="I23" s="141" t="str">
        <f>U23</f>
        <v>다정한</v>
      </c>
      <c r="J23" s="141"/>
      <c r="K23" s="141"/>
      <c r="L23" s="142"/>
      <c r="M23" s="150" t="s">
        <v>2238</v>
      </c>
      <c r="N23" s="146"/>
      <c r="O23" s="146"/>
      <c r="P23" s="146"/>
      <c r="Q23" s="146"/>
      <c r="R23" s="138"/>
      <c r="S23" s="150" t="s">
        <v>2253</v>
      </c>
      <c r="T23" s="146"/>
      <c r="U23" s="146" t="s">
        <v>2188</v>
      </c>
      <c r="V23" s="146"/>
      <c r="W23" s="146"/>
      <c r="X23" s="138"/>
      <c r="AA23" s="195"/>
      <c r="AB23" s="196"/>
      <c r="AC23" s="197"/>
      <c r="AD23" s="100"/>
      <c r="AE23" s="100"/>
      <c r="AF23" s="100"/>
      <c r="AG23" s="100"/>
      <c r="AH23" s="100"/>
      <c r="AI23" s="100"/>
      <c r="AJ23" s="60"/>
      <c r="AK23" s="100"/>
      <c r="AL23" s="59"/>
      <c r="AM23" s="195"/>
      <c r="AN23" s="196"/>
      <c r="AO23" s="197"/>
    </row>
    <row r="24" spans="1:45" ht="21.95" customHeight="1" thickBot="1">
      <c r="A24" s="147"/>
      <c r="B24" s="148"/>
      <c r="C24" s="148"/>
      <c r="D24" s="148"/>
      <c r="E24" s="148"/>
      <c r="F24" s="175"/>
      <c r="G24" s="147"/>
      <c r="H24" s="148"/>
      <c r="I24" s="148"/>
      <c r="J24" s="148"/>
      <c r="K24" s="148"/>
      <c r="L24" s="175"/>
      <c r="M24" s="159"/>
      <c r="N24" s="135"/>
      <c r="O24" s="149"/>
      <c r="P24" s="135"/>
      <c r="Q24" s="149"/>
      <c r="R24" s="151"/>
      <c r="S24" s="159"/>
      <c r="T24" s="135"/>
      <c r="U24" s="149"/>
      <c r="V24" s="135"/>
      <c r="W24" s="149"/>
      <c r="X24" s="151"/>
      <c r="AA24" s="198" t="str">
        <f>AA3</f>
        <v>이준석</v>
      </c>
      <c r="AB24" s="199"/>
      <c r="AC24" s="200"/>
      <c r="AD24" s="70"/>
      <c r="AE24" s="70"/>
      <c r="AF24" s="70"/>
      <c r="AG24" s="70"/>
      <c r="AH24" s="70"/>
      <c r="AI24" s="70"/>
      <c r="AJ24" s="59"/>
      <c r="AK24" s="59"/>
      <c r="AL24" s="59"/>
      <c r="AM24" s="198" t="str">
        <f>AM3</f>
        <v>김주연</v>
      </c>
      <c r="AN24" s="199"/>
      <c r="AO24" s="200"/>
    </row>
    <row r="25" spans="1:45" ht="21.95" customHeight="1" thickBot="1">
      <c r="A25" s="126" t="str">
        <f>Q25</f>
        <v>단팥빵</v>
      </c>
      <c r="B25" s="127"/>
      <c r="C25" s="127"/>
      <c r="D25" s="128"/>
      <c r="E25" s="143" t="str">
        <f>O25</f>
        <v>ENFJ</v>
      </c>
      <c r="F25" s="190"/>
      <c r="G25" s="126" t="str">
        <f>W25</f>
        <v>마들렌</v>
      </c>
      <c r="H25" s="127"/>
      <c r="I25" s="127"/>
      <c r="J25" s="128"/>
      <c r="K25" s="143" t="str">
        <f>U25</f>
        <v>isfj</v>
      </c>
      <c r="L25" s="190"/>
      <c r="M25" s="180" t="str">
        <f>'18E'!C4</f>
        <v>박중호</v>
      </c>
      <c r="N25" s="171"/>
      <c r="O25" s="182" t="str">
        <f>'18E'!I4</f>
        <v>ENFJ</v>
      </c>
      <c r="P25" s="183"/>
      <c r="Q25" s="152" t="s">
        <v>2321</v>
      </c>
      <c r="R25" s="153"/>
      <c r="S25" s="180" t="str">
        <f>'18E'!C9</f>
        <v>최안나</v>
      </c>
      <c r="T25" s="171"/>
      <c r="U25" s="162" t="str">
        <f>'18E'!I9</f>
        <v>isfj</v>
      </c>
      <c r="V25" s="163"/>
      <c r="W25" s="152" t="s">
        <v>2339</v>
      </c>
      <c r="X25" s="153"/>
      <c r="AA25" s="60"/>
      <c r="AB25" s="60"/>
      <c r="AC25" s="60"/>
      <c r="AD25" s="60"/>
      <c r="AE25" s="60"/>
      <c r="AF25" s="60"/>
      <c r="AG25" s="60"/>
      <c r="AH25" s="60"/>
      <c r="AI25" s="60"/>
      <c r="AJ25" s="59"/>
      <c r="AK25" s="59"/>
      <c r="AL25" s="59"/>
      <c r="AM25" s="60"/>
      <c r="AN25" s="60"/>
      <c r="AO25" s="60"/>
    </row>
    <row r="26" spans="1:45" ht="21.95" customHeight="1" thickBot="1">
      <c r="A26" s="129"/>
      <c r="B26" s="130"/>
      <c r="C26" s="130"/>
      <c r="D26" s="131"/>
      <c r="E26" s="137">
        <f>M26</f>
        <v>40</v>
      </c>
      <c r="F26" s="139"/>
      <c r="G26" s="129"/>
      <c r="H26" s="130"/>
      <c r="I26" s="130"/>
      <c r="J26" s="131"/>
      <c r="K26" s="137">
        <f>S26</f>
        <v>37</v>
      </c>
      <c r="L26" s="139"/>
      <c r="M26" s="13">
        <f>'18E'!D4</f>
        <v>40</v>
      </c>
      <c r="N26" s="14">
        <f>'18E'!E4</f>
        <v>175</v>
      </c>
      <c r="O26" s="15" t="str">
        <f>'18E'!K4</f>
        <v>무교, 불교</v>
      </c>
      <c r="P26" s="15" t="str">
        <f>'18E'!L4</f>
        <v>본인과 동일</v>
      </c>
      <c r="Q26" s="99"/>
      <c r="R26" s="98" t="s">
        <v>2001</v>
      </c>
      <c r="S26" s="13">
        <f>'18E'!D9</f>
        <v>37</v>
      </c>
      <c r="T26" s="16">
        <f>'18E'!E9</f>
        <v>168</v>
      </c>
      <c r="U26" s="15" t="str">
        <f>'18E'!K9</f>
        <v>기독교</v>
      </c>
      <c r="V26" s="15" t="str">
        <f>'18E'!L9</f>
        <v>동일, 무관</v>
      </c>
      <c r="W26" s="99"/>
      <c r="X26" s="98" t="s">
        <v>2007</v>
      </c>
      <c r="AA26" s="192" t="str">
        <f>AA5</f>
        <v>크루아상</v>
      </c>
      <c r="AB26" s="193"/>
      <c r="AC26" s="194"/>
      <c r="AD26" s="100"/>
      <c r="AE26" s="100"/>
      <c r="AF26" s="100"/>
      <c r="AG26" s="100"/>
      <c r="AH26" s="100"/>
      <c r="AI26" s="100"/>
      <c r="AJ26" s="59"/>
      <c r="AK26" s="59"/>
      <c r="AL26" s="59"/>
      <c r="AM26" s="192" t="str">
        <f>AM5</f>
        <v>푸딩</v>
      </c>
      <c r="AN26" s="193"/>
      <c r="AO26" s="194"/>
    </row>
    <row r="27" spans="1:45" ht="21.95" customHeight="1">
      <c r="A27" s="129"/>
      <c r="B27" s="130"/>
      <c r="C27" s="130"/>
      <c r="D27" s="131"/>
      <c r="E27" s="137" t="str">
        <f>O26</f>
        <v>무교, 불교</v>
      </c>
      <c r="F27" s="139"/>
      <c r="G27" s="129"/>
      <c r="H27" s="130"/>
      <c r="I27" s="130"/>
      <c r="J27" s="131"/>
      <c r="K27" s="137" t="str">
        <f>U26</f>
        <v>기독교</v>
      </c>
      <c r="L27" s="139"/>
      <c r="M27" s="165" t="str">
        <f>'18E'!F4</f>
        <v>제뉴원사이언스 B2B Sales</v>
      </c>
      <c r="N27" s="166"/>
      <c r="O27" s="166"/>
      <c r="P27" s="167"/>
      <c r="Q27" s="152" t="str">
        <f>'18E'!G4</f>
        <v>31~41</v>
      </c>
      <c r="R27" s="153"/>
      <c r="S27" s="165" t="str">
        <f>'18E'!F9</f>
        <v>인테리어디자이너</v>
      </c>
      <c r="T27" s="166"/>
      <c r="U27" s="166"/>
      <c r="V27" s="167"/>
      <c r="W27" s="152" t="str">
        <f>'18E'!G9</f>
        <v>31~41</v>
      </c>
      <c r="X27" s="153"/>
      <c r="AA27" s="195"/>
      <c r="AB27" s="196"/>
      <c r="AC27" s="197"/>
      <c r="AD27" s="100"/>
      <c r="AE27" s="100"/>
      <c r="AF27" s="100"/>
      <c r="AG27" s="100"/>
      <c r="AH27" s="100"/>
      <c r="AI27" s="100"/>
      <c r="AJ27" s="60"/>
      <c r="AK27" s="59"/>
      <c r="AL27" s="59"/>
      <c r="AM27" s="195"/>
      <c r="AN27" s="196"/>
      <c r="AO27" s="197"/>
    </row>
    <row r="28" spans="1:45" ht="21.95" customHeight="1" thickBot="1">
      <c r="A28" s="132"/>
      <c r="B28" s="133"/>
      <c r="C28" s="133"/>
      <c r="D28" s="134"/>
      <c r="E28" s="135" t="str">
        <f>R26</f>
        <v>I.A</v>
      </c>
      <c r="F28" s="149"/>
      <c r="G28" s="132"/>
      <c r="H28" s="133"/>
      <c r="I28" s="133"/>
      <c r="J28" s="134"/>
      <c r="K28" s="135" t="str">
        <f>X26</f>
        <v>Tea</v>
      </c>
      <c r="L28" s="149"/>
      <c r="M28" s="156" t="str">
        <f>'18E'!M4</f>
        <v>무관</v>
      </c>
      <c r="N28" s="157"/>
      <c r="O28" s="157"/>
      <c r="P28" s="158"/>
      <c r="Q28" s="164" t="str">
        <f>'18E'!H4</f>
        <v>160~165, 165~170, 170~175</v>
      </c>
      <c r="R28" s="179"/>
      <c r="S28" s="156" t="str">
        <f>'18E'!M9</f>
        <v>무관</v>
      </c>
      <c r="T28" s="157"/>
      <c r="U28" s="157"/>
      <c r="V28" s="158"/>
      <c r="W28" s="164" t="str">
        <f>'18E'!H9</f>
        <v>170~</v>
      </c>
      <c r="X28" s="179"/>
      <c r="AA28" s="198" t="str">
        <f>AA7</f>
        <v>윤한솔</v>
      </c>
      <c r="AB28" s="199"/>
      <c r="AC28" s="200"/>
      <c r="AD28" s="70"/>
      <c r="AE28" s="70"/>
      <c r="AF28" s="70"/>
      <c r="AG28" s="70"/>
      <c r="AH28" s="70"/>
      <c r="AI28" s="70"/>
      <c r="AJ28" s="69"/>
      <c r="AK28" s="59"/>
      <c r="AL28" s="59"/>
      <c r="AM28" s="198" t="str">
        <f>AM7</f>
        <v>심진희</v>
      </c>
      <c r="AN28" s="199"/>
      <c r="AO28" s="200"/>
    </row>
    <row r="29" spans="1:45" ht="21.95" customHeight="1" thickBot="1">
      <c r="A29" s="188" t="str">
        <f>M29</f>
        <v>좋은사람</v>
      </c>
      <c r="B29" s="144"/>
      <c r="C29" s="144"/>
      <c r="D29" s="144"/>
      <c r="E29" s="144"/>
      <c r="F29" s="145"/>
      <c r="G29" s="188" t="str">
        <f>S29</f>
        <v>겉은 강함</v>
      </c>
      <c r="H29" s="144"/>
      <c r="I29" s="144" t="str">
        <f>U29</f>
        <v>선</v>
      </c>
      <c r="J29" s="144"/>
      <c r="K29" s="144" t="str">
        <f>W29</f>
        <v>쳇 GPT</v>
      </c>
      <c r="L29" s="145"/>
      <c r="M29" s="140" t="s">
        <v>2239</v>
      </c>
      <c r="N29" s="141"/>
      <c r="O29" s="141"/>
      <c r="P29" s="141"/>
      <c r="Q29" s="141"/>
      <c r="R29" s="142"/>
      <c r="S29" s="140" t="s">
        <v>2263</v>
      </c>
      <c r="T29" s="141"/>
      <c r="U29" s="141" t="s">
        <v>2264</v>
      </c>
      <c r="V29" s="141"/>
      <c r="W29" s="141" t="s">
        <v>2267</v>
      </c>
      <c r="X29" s="142"/>
      <c r="AA29" s="59"/>
      <c r="AB29" s="59"/>
      <c r="AC29" s="59"/>
      <c r="AD29" s="59"/>
      <c r="AE29" s="59"/>
      <c r="AF29" s="59"/>
      <c r="AG29" s="59"/>
      <c r="AH29" s="59"/>
      <c r="AI29" s="59"/>
      <c r="AJ29" s="60"/>
      <c r="AK29" s="59"/>
      <c r="AL29" s="59"/>
      <c r="AM29" s="59"/>
      <c r="AN29" s="59"/>
      <c r="AO29" s="59"/>
    </row>
    <row r="30" spans="1:45" ht="21.95" customHeight="1">
      <c r="A30" s="150"/>
      <c r="B30" s="146"/>
      <c r="C30" s="146"/>
      <c r="D30" s="146"/>
      <c r="E30" s="146"/>
      <c r="F30" s="138"/>
      <c r="G30" s="150" t="str">
        <f t="shared" ref="G30" si="4">S30</f>
        <v>속은 깊고</v>
      </c>
      <c r="H30" s="146"/>
      <c r="I30" s="146" t="str">
        <f t="shared" ref="I30" si="5">U30</f>
        <v>정</v>
      </c>
      <c r="J30" s="146"/>
      <c r="K30" s="146"/>
      <c r="L30" s="138"/>
      <c r="M30" s="140"/>
      <c r="N30" s="141"/>
      <c r="O30" s="141"/>
      <c r="P30" s="141"/>
      <c r="Q30" s="141"/>
      <c r="R30" s="142"/>
      <c r="S30" s="140" t="s">
        <v>2265</v>
      </c>
      <c r="T30" s="141"/>
      <c r="U30" s="141" t="s">
        <v>2266</v>
      </c>
      <c r="V30" s="141"/>
      <c r="W30" s="141"/>
      <c r="X30" s="142"/>
      <c r="AA30" s="192" t="str">
        <f>AA9</f>
        <v>단팥빵</v>
      </c>
      <c r="AB30" s="193"/>
      <c r="AC30" s="194"/>
      <c r="AD30" s="100"/>
      <c r="AE30" s="100"/>
      <c r="AF30" s="100"/>
      <c r="AG30" s="100"/>
      <c r="AH30" s="100"/>
      <c r="AI30" s="100"/>
      <c r="AJ30" s="60"/>
      <c r="AK30" s="100"/>
      <c r="AL30" s="59"/>
      <c r="AM30" s="192" t="str">
        <f>AM9</f>
        <v>마들렌</v>
      </c>
      <c r="AN30" s="193"/>
      <c r="AO30" s="194"/>
    </row>
    <row r="31" spans="1:45" ht="21.95" customHeight="1">
      <c r="A31" s="150"/>
      <c r="B31" s="146"/>
      <c r="C31" s="146"/>
      <c r="D31" s="146"/>
      <c r="E31" s="146"/>
      <c r="F31" s="138"/>
      <c r="G31" s="150"/>
      <c r="H31" s="146"/>
      <c r="I31" s="146"/>
      <c r="J31" s="146"/>
      <c r="K31" s="146"/>
      <c r="L31" s="138"/>
      <c r="M31" s="140"/>
      <c r="N31" s="141"/>
      <c r="O31" s="141"/>
      <c r="P31" s="141"/>
      <c r="Q31" s="141"/>
      <c r="R31" s="142"/>
      <c r="S31" s="140"/>
      <c r="T31" s="141"/>
      <c r="U31" s="141"/>
      <c r="V31" s="141"/>
      <c r="W31" s="141"/>
      <c r="X31" s="142"/>
      <c r="AA31" s="195"/>
      <c r="AB31" s="196"/>
      <c r="AC31" s="197"/>
      <c r="AD31" s="100"/>
      <c r="AE31" s="100"/>
      <c r="AF31" s="100"/>
      <c r="AG31" s="100"/>
      <c r="AH31" s="100"/>
      <c r="AI31" s="100"/>
      <c r="AJ31" s="59"/>
      <c r="AK31" s="59"/>
      <c r="AL31" s="59"/>
      <c r="AM31" s="195"/>
      <c r="AN31" s="196"/>
      <c r="AO31" s="197"/>
    </row>
    <row r="32" spans="1:45" ht="21.95" customHeight="1" thickBot="1">
      <c r="A32" s="150"/>
      <c r="B32" s="146"/>
      <c r="C32" s="146"/>
      <c r="D32" s="146"/>
      <c r="E32" s="146"/>
      <c r="F32" s="138"/>
      <c r="G32" s="150"/>
      <c r="H32" s="146"/>
      <c r="I32" s="146"/>
      <c r="J32" s="146"/>
      <c r="K32" s="146"/>
      <c r="L32" s="138"/>
      <c r="M32" s="140"/>
      <c r="N32" s="141"/>
      <c r="O32" s="141"/>
      <c r="P32" s="141"/>
      <c r="Q32" s="141"/>
      <c r="R32" s="142"/>
      <c r="S32" s="140"/>
      <c r="T32" s="141"/>
      <c r="U32" s="141"/>
      <c r="V32" s="141"/>
      <c r="W32" s="160"/>
      <c r="X32" s="161"/>
      <c r="AA32" s="198" t="str">
        <f>AA11</f>
        <v>박중호</v>
      </c>
      <c r="AB32" s="199"/>
      <c r="AC32" s="200"/>
      <c r="AD32" s="70"/>
      <c r="AE32" s="70"/>
      <c r="AF32" s="70"/>
      <c r="AG32" s="70"/>
      <c r="AH32" s="70"/>
      <c r="AI32" s="70"/>
      <c r="AJ32" s="69"/>
      <c r="AK32" s="70"/>
      <c r="AL32" s="59"/>
      <c r="AM32" s="198" t="str">
        <f>AM11</f>
        <v>최안나</v>
      </c>
      <c r="AN32" s="199"/>
      <c r="AO32" s="200"/>
    </row>
    <row r="33" spans="1:41" ht="21.95" customHeight="1" thickBot="1">
      <c r="A33" s="172"/>
      <c r="B33" s="173"/>
      <c r="C33" s="173"/>
      <c r="D33" s="174"/>
      <c r="E33" s="177"/>
      <c r="F33" s="178"/>
      <c r="G33" s="172" t="str">
        <f>S33</f>
        <v>뷰티인사이드</v>
      </c>
      <c r="H33" s="173"/>
      <c r="I33" s="173"/>
      <c r="J33" s="174"/>
      <c r="K33" s="177" t="str">
        <f>W33</f>
        <v>전주 한옥마을</v>
      </c>
      <c r="L33" s="178"/>
      <c r="M33" s="156"/>
      <c r="N33" s="157"/>
      <c r="O33" s="157"/>
      <c r="P33" s="158"/>
      <c r="Q33" s="141"/>
      <c r="R33" s="142"/>
      <c r="S33" s="156" t="s">
        <v>2286</v>
      </c>
      <c r="T33" s="157"/>
      <c r="U33" s="157"/>
      <c r="V33" s="158"/>
      <c r="W33" s="141" t="s">
        <v>2287</v>
      </c>
      <c r="X33" s="142"/>
      <c r="AA33" s="59"/>
      <c r="AB33" s="59"/>
      <c r="AC33" s="59"/>
      <c r="AD33" s="59"/>
      <c r="AE33" s="59"/>
      <c r="AF33" s="59"/>
      <c r="AG33" s="59"/>
      <c r="AH33" s="59"/>
      <c r="AI33" s="59"/>
      <c r="AJ33" s="60"/>
      <c r="AK33" s="100"/>
      <c r="AL33" s="59"/>
      <c r="AM33" s="59"/>
      <c r="AN33" s="59"/>
      <c r="AO33" s="59"/>
    </row>
    <row r="34" spans="1:41" ht="21.95" customHeight="1">
      <c r="A34" s="140"/>
      <c r="B34" s="141"/>
      <c r="C34" s="141"/>
      <c r="D34" s="141"/>
      <c r="E34" s="141"/>
      <c r="F34" s="142"/>
      <c r="G34" s="140" t="str">
        <f>S34</f>
        <v>믿음</v>
      </c>
      <c r="H34" s="141"/>
      <c r="I34" s="141" t="str">
        <f>U34</f>
        <v>신뢰</v>
      </c>
      <c r="J34" s="141"/>
      <c r="K34" s="141" t="str">
        <f>W34</f>
        <v>소코아</v>
      </c>
      <c r="L34" s="142"/>
      <c r="M34" s="184"/>
      <c r="N34" s="137"/>
      <c r="O34" s="146"/>
      <c r="P34" s="146"/>
      <c r="Q34" s="137"/>
      <c r="R34" s="146"/>
      <c r="S34" s="150" t="s">
        <v>2288</v>
      </c>
      <c r="T34" s="146"/>
      <c r="U34" s="139" t="s">
        <v>2159</v>
      </c>
      <c r="V34" s="137"/>
      <c r="W34" s="146" t="s">
        <v>2289</v>
      </c>
      <c r="X34" s="138"/>
      <c r="AA34" s="192" t="str">
        <f>AA13</f>
        <v>스콘</v>
      </c>
      <c r="AB34" s="193"/>
      <c r="AC34" s="194"/>
      <c r="AD34" s="100"/>
      <c r="AE34" s="100"/>
      <c r="AF34" s="100"/>
      <c r="AG34" s="100"/>
      <c r="AH34" s="100"/>
      <c r="AI34" s="100"/>
      <c r="AJ34" s="60"/>
      <c r="AK34" s="100"/>
      <c r="AL34" s="59"/>
      <c r="AM34" s="192" t="str">
        <f>AM13</f>
        <v>에그타르트</v>
      </c>
      <c r="AN34" s="193"/>
      <c r="AO34" s="194"/>
    </row>
    <row r="35" spans="1:41" ht="21.95" customHeight="1">
      <c r="A35" s="140" t="str">
        <f>M35</f>
        <v>첫인상</v>
      </c>
      <c r="B35" s="141"/>
      <c r="C35" s="141" t="str">
        <f>O35</f>
        <v>배려</v>
      </c>
      <c r="D35" s="141"/>
      <c r="E35" s="141" t="str">
        <f>Q35</f>
        <v>대화</v>
      </c>
      <c r="F35" s="142"/>
      <c r="G35" s="140" t="str">
        <f>S35</f>
        <v>배려</v>
      </c>
      <c r="H35" s="141"/>
      <c r="I35" s="141"/>
      <c r="J35" s="141"/>
      <c r="K35" s="141"/>
      <c r="L35" s="142"/>
      <c r="M35" s="184" t="s">
        <v>2240</v>
      </c>
      <c r="N35" s="137"/>
      <c r="O35" s="139" t="s">
        <v>2082</v>
      </c>
      <c r="P35" s="137"/>
      <c r="Q35" s="139" t="s">
        <v>2094</v>
      </c>
      <c r="R35" s="185"/>
      <c r="S35" s="150" t="s">
        <v>2082</v>
      </c>
      <c r="T35" s="146"/>
      <c r="U35" s="146"/>
      <c r="V35" s="146"/>
      <c r="W35" s="146"/>
      <c r="X35" s="138"/>
      <c r="AA35" s="195"/>
      <c r="AB35" s="196"/>
      <c r="AC35" s="197"/>
      <c r="AD35" s="100"/>
      <c r="AE35" s="100"/>
      <c r="AF35" s="100"/>
      <c r="AG35" s="100"/>
      <c r="AH35" s="100"/>
      <c r="AI35" s="100"/>
      <c r="AJ35" s="60"/>
      <c r="AK35" s="100"/>
      <c r="AL35" s="59"/>
      <c r="AM35" s="195"/>
      <c r="AN35" s="196"/>
      <c r="AO35" s="197"/>
    </row>
    <row r="36" spans="1:41" ht="21.95" customHeight="1" thickBot="1">
      <c r="A36" s="147"/>
      <c r="B36" s="148"/>
      <c r="C36" s="148"/>
      <c r="D36" s="148"/>
      <c r="E36" s="148"/>
      <c r="F36" s="175"/>
      <c r="G36" s="147" t="str">
        <f>S36</f>
        <v>헬스</v>
      </c>
      <c r="H36" s="148"/>
      <c r="I36" s="148"/>
      <c r="J36" s="148"/>
      <c r="K36" s="148"/>
      <c r="L36" s="175"/>
      <c r="M36" s="159"/>
      <c r="N36" s="135"/>
      <c r="O36" s="149"/>
      <c r="P36" s="135"/>
      <c r="Q36" s="149"/>
      <c r="R36" s="151"/>
      <c r="S36" s="159" t="s">
        <v>2000</v>
      </c>
      <c r="T36" s="135"/>
      <c r="U36" s="149"/>
      <c r="V36" s="135"/>
      <c r="W36" s="149"/>
      <c r="X36" s="151"/>
      <c r="AA36" s="198" t="str">
        <f>AA15</f>
        <v>김동현</v>
      </c>
      <c r="AB36" s="199"/>
      <c r="AC36" s="200"/>
      <c r="AD36" s="70"/>
      <c r="AE36" s="70"/>
      <c r="AF36" s="70"/>
      <c r="AG36" s="70"/>
      <c r="AH36" s="70"/>
      <c r="AI36" s="70"/>
      <c r="AJ36" s="59"/>
      <c r="AK36" s="59"/>
      <c r="AL36" s="59"/>
      <c r="AM36" s="198" t="str">
        <f>AM15</f>
        <v>서예슬</v>
      </c>
      <c r="AN36" s="199"/>
      <c r="AO36" s="200"/>
    </row>
    <row r="37" spans="1:41" ht="21.95" customHeight="1" thickBot="1">
      <c r="A37" s="126" t="str">
        <f>Q37</f>
        <v>스콘</v>
      </c>
      <c r="B37" s="127"/>
      <c r="C37" s="127"/>
      <c r="D37" s="128"/>
      <c r="E37" s="143" t="str">
        <f>O37</f>
        <v>ENTP</v>
      </c>
      <c r="F37" s="190"/>
      <c r="G37" s="126" t="str">
        <f>W37</f>
        <v>에그타르트</v>
      </c>
      <c r="H37" s="127"/>
      <c r="I37" s="127"/>
      <c r="J37" s="128"/>
      <c r="K37" s="143" t="str">
        <f>U37</f>
        <v>ISFP</v>
      </c>
      <c r="L37" s="190"/>
      <c r="M37" s="180" t="str">
        <f>'18E'!C5</f>
        <v>김동현</v>
      </c>
      <c r="N37" s="171"/>
      <c r="O37" s="182" t="str">
        <f>'18E'!I5</f>
        <v>ENTP</v>
      </c>
      <c r="P37" s="183"/>
      <c r="Q37" s="186" t="s">
        <v>1455</v>
      </c>
      <c r="R37" s="187"/>
      <c r="S37" s="180" t="str">
        <f>'18E'!C10</f>
        <v>서예슬</v>
      </c>
      <c r="T37" s="171"/>
      <c r="U37" s="162" t="str">
        <f>'18E'!I10</f>
        <v>ISFP</v>
      </c>
      <c r="V37" s="163"/>
      <c r="W37" s="152" t="s">
        <v>2340</v>
      </c>
      <c r="X37" s="153"/>
      <c r="AA37" s="59"/>
      <c r="AB37" s="59"/>
      <c r="AC37" s="59"/>
      <c r="AD37" s="59"/>
      <c r="AE37" s="59"/>
      <c r="AF37" s="59"/>
      <c r="AG37" s="59"/>
      <c r="AH37" s="59"/>
      <c r="AI37" s="59"/>
      <c r="AJ37" s="59"/>
      <c r="AK37" s="59"/>
      <c r="AL37" s="59"/>
      <c r="AM37" s="59"/>
      <c r="AN37" s="59"/>
      <c r="AO37" s="59"/>
    </row>
    <row r="38" spans="1:41" ht="21.95" customHeight="1" thickBot="1">
      <c r="A38" s="129"/>
      <c r="B38" s="130"/>
      <c r="C38" s="130"/>
      <c r="D38" s="131"/>
      <c r="E38" s="137">
        <f>M38</f>
        <v>40</v>
      </c>
      <c r="F38" s="139"/>
      <c r="G38" s="129"/>
      <c r="H38" s="130"/>
      <c r="I38" s="130"/>
      <c r="J38" s="131"/>
      <c r="K38" s="137">
        <f>S38</f>
        <v>34</v>
      </c>
      <c r="L38" s="139"/>
      <c r="M38" s="13">
        <f>'18E'!D5</f>
        <v>40</v>
      </c>
      <c r="N38" s="14">
        <f>'18E'!E5</f>
        <v>175</v>
      </c>
      <c r="O38" s="15" t="str">
        <f>'18E'!K5</f>
        <v>무교</v>
      </c>
      <c r="P38" s="15" t="str">
        <f>'18E'!L5</f>
        <v>무관</v>
      </c>
      <c r="Q38" s="99"/>
      <c r="R38" s="98" t="s">
        <v>2274</v>
      </c>
      <c r="S38" s="13">
        <f>'18E'!D10</f>
        <v>34</v>
      </c>
      <c r="T38" s="16">
        <f>'18E'!E10</f>
        <v>164</v>
      </c>
      <c r="U38" s="15" t="str">
        <f>'18E'!K10</f>
        <v>무교, 기독교</v>
      </c>
      <c r="V38" s="15" t="str">
        <f>'18E'!L10</f>
        <v>동일, 무관</v>
      </c>
      <c r="W38" s="99"/>
      <c r="X38" s="98" t="s">
        <v>2002</v>
      </c>
      <c r="AA38" s="192" t="str">
        <f>AA17</f>
        <v>소금빵</v>
      </c>
      <c r="AB38" s="193"/>
      <c r="AC38" s="194"/>
      <c r="AD38" s="100"/>
      <c r="AE38" s="100"/>
      <c r="AF38" s="100"/>
      <c r="AG38" s="100"/>
      <c r="AH38" s="100"/>
      <c r="AI38" s="100"/>
      <c r="AJ38" s="59"/>
      <c r="AK38" s="59"/>
      <c r="AL38" s="59"/>
      <c r="AM38" s="192" t="str">
        <f>AM17</f>
        <v>피낭시에</v>
      </c>
      <c r="AN38" s="193"/>
      <c r="AO38" s="194"/>
    </row>
    <row r="39" spans="1:41" ht="21.95" customHeight="1">
      <c r="A39" s="129"/>
      <c r="B39" s="130"/>
      <c r="C39" s="130"/>
      <c r="D39" s="131"/>
      <c r="E39" s="137" t="str">
        <f>O38</f>
        <v>무교</v>
      </c>
      <c r="F39" s="139"/>
      <c r="G39" s="129"/>
      <c r="H39" s="130"/>
      <c r="I39" s="130"/>
      <c r="J39" s="131"/>
      <c r="K39" s="137" t="str">
        <f>U38</f>
        <v>무교, 기독교</v>
      </c>
      <c r="L39" s="139"/>
      <c r="M39" s="165" t="str">
        <f>'18E'!F5</f>
        <v>포스코 인터내셔널, 경영기획실</v>
      </c>
      <c r="N39" s="166"/>
      <c r="O39" s="166"/>
      <c r="P39" s="167"/>
      <c r="Q39" s="152" t="str">
        <f>'18E'!G5</f>
        <v>28~38</v>
      </c>
      <c r="R39" s="153"/>
      <c r="S39" s="165" t="str">
        <f>'18E'!F10</f>
        <v>삼성서울병원, 외래간호5파트</v>
      </c>
      <c r="T39" s="166"/>
      <c r="U39" s="166"/>
      <c r="V39" s="167"/>
      <c r="W39" s="152" t="str">
        <f>'18E'!G10</f>
        <v>30~40</v>
      </c>
      <c r="X39" s="153"/>
      <c r="AA39" s="195"/>
      <c r="AB39" s="196"/>
      <c r="AC39" s="197"/>
      <c r="AD39" s="100"/>
      <c r="AE39" s="100"/>
      <c r="AF39" s="100"/>
      <c r="AG39" s="100"/>
      <c r="AH39" s="100"/>
      <c r="AI39" s="100"/>
      <c r="AJ39" s="60"/>
      <c r="AK39" s="100"/>
      <c r="AL39" s="59"/>
      <c r="AM39" s="195"/>
      <c r="AN39" s="196"/>
      <c r="AO39" s="197"/>
    </row>
    <row r="40" spans="1:41" ht="21.95" customHeight="1" thickBot="1">
      <c r="A40" s="132"/>
      <c r="B40" s="133"/>
      <c r="C40" s="133"/>
      <c r="D40" s="134"/>
      <c r="E40" s="135" t="str">
        <f>R38</f>
        <v>H.T</v>
      </c>
      <c r="F40" s="149"/>
      <c r="G40" s="132"/>
      <c r="H40" s="133"/>
      <c r="I40" s="133"/>
      <c r="J40" s="134"/>
      <c r="K40" s="135" t="str">
        <f>X38</f>
        <v>I.T</v>
      </c>
      <c r="L40" s="149"/>
      <c r="M40" s="156" t="str">
        <f>'18E'!M5</f>
        <v>무관</v>
      </c>
      <c r="N40" s="157"/>
      <c r="O40" s="157"/>
      <c r="P40" s="158"/>
      <c r="Q40" s="164" t="str">
        <f>'18E'!H5</f>
        <v>160~170</v>
      </c>
      <c r="R40" s="179"/>
      <c r="S40" s="156" t="str">
        <f>'18E'!M10</f>
        <v>무관</v>
      </c>
      <c r="T40" s="157"/>
      <c r="U40" s="157"/>
      <c r="V40" s="158"/>
      <c r="W40" s="164" t="str">
        <f>'18E'!H10</f>
        <v>170~180</v>
      </c>
      <c r="X40" s="179"/>
      <c r="AA40" s="198" t="str">
        <f>AA19</f>
        <v>황성준</v>
      </c>
      <c r="AB40" s="199"/>
      <c r="AC40" s="200"/>
      <c r="AD40" s="70"/>
      <c r="AE40" s="70"/>
      <c r="AF40" s="70"/>
      <c r="AG40" s="70"/>
      <c r="AH40" s="70"/>
      <c r="AI40" s="70"/>
      <c r="AJ40" s="59"/>
      <c r="AK40" s="59"/>
      <c r="AL40" s="59"/>
      <c r="AM40" s="198" t="str">
        <f>AM19</f>
        <v>최아름</v>
      </c>
      <c r="AN40" s="199"/>
      <c r="AO40" s="200"/>
    </row>
    <row r="41" spans="1:41" ht="21.95" customHeight="1" thickBot="1">
      <c r="A41" s="188" t="str">
        <f>M41</f>
        <v>평범</v>
      </c>
      <c r="B41" s="144"/>
      <c r="C41" s="144" t="str">
        <f>O41</f>
        <v>개성</v>
      </c>
      <c r="D41" s="144"/>
      <c r="E41" s="144"/>
      <c r="F41" s="145"/>
      <c r="G41" s="188" t="str">
        <f>S41</f>
        <v>무던</v>
      </c>
      <c r="H41" s="144"/>
      <c r="I41" s="144" t="str">
        <f>U41</f>
        <v>상냥</v>
      </c>
      <c r="J41" s="144"/>
      <c r="K41" s="144" t="str">
        <f>W41</f>
        <v>러닝</v>
      </c>
      <c r="L41" s="145"/>
      <c r="M41" s="140" t="s">
        <v>2241</v>
      </c>
      <c r="N41" s="141"/>
      <c r="O41" s="141" t="s">
        <v>2242</v>
      </c>
      <c r="P41" s="141"/>
      <c r="Q41" s="141"/>
      <c r="R41" s="142"/>
      <c r="S41" s="140" t="s">
        <v>2254</v>
      </c>
      <c r="T41" s="141"/>
      <c r="U41" s="141" t="s">
        <v>2255</v>
      </c>
      <c r="V41" s="141"/>
      <c r="W41" s="141" t="s">
        <v>2256</v>
      </c>
      <c r="X41" s="142"/>
      <c r="Z41" s="62"/>
      <c r="AA41" s="63"/>
      <c r="AB41" s="63"/>
      <c r="AC41" s="63"/>
      <c r="AD41" s="63"/>
      <c r="AE41" s="63"/>
      <c r="AF41" s="63"/>
      <c r="AG41" s="63"/>
      <c r="AH41" s="63"/>
      <c r="AI41" s="63"/>
      <c r="AJ41" s="61"/>
      <c r="AK41" s="63"/>
      <c r="AL41" s="63"/>
      <c r="AM41" s="63"/>
      <c r="AN41" s="63"/>
      <c r="AO41" s="63"/>
    </row>
    <row r="42" spans="1:41" ht="21.95" customHeight="1" thickBot="1">
      <c r="A42" s="150"/>
      <c r="B42" s="146"/>
      <c r="C42" s="146"/>
      <c r="D42" s="146"/>
      <c r="E42" s="146"/>
      <c r="F42" s="138"/>
      <c r="G42" s="150" t="str">
        <f t="shared" ref="G42:G43" si="6">S42</f>
        <v>요리</v>
      </c>
      <c r="H42" s="146"/>
      <c r="I42" s="146" t="str">
        <f t="shared" ref="I42:I43" si="7">U42</f>
        <v>산책</v>
      </c>
      <c r="J42" s="146"/>
      <c r="K42" s="146" t="str">
        <f t="shared" ref="K42" si="8">W42</f>
        <v>영화</v>
      </c>
      <c r="L42" s="138"/>
      <c r="M42" s="140"/>
      <c r="N42" s="141"/>
      <c r="O42" s="141"/>
      <c r="P42" s="141"/>
      <c r="Q42" s="141"/>
      <c r="R42" s="142"/>
      <c r="S42" s="140" t="s">
        <v>2257</v>
      </c>
      <c r="T42" s="141"/>
      <c r="U42" s="141" t="s">
        <v>2258</v>
      </c>
      <c r="V42" s="141"/>
      <c r="W42" s="141" t="s">
        <v>2113</v>
      </c>
      <c r="X42" s="142"/>
      <c r="AA42" s="59"/>
      <c r="AB42" s="59"/>
      <c r="AC42" s="59"/>
      <c r="AD42" s="59"/>
      <c r="AE42" s="59"/>
      <c r="AF42" s="59"/>
      <c r="AG42" s="59"/>
      <c r="AH42" s="59"/>
      <c r="AI42" s="59"/>
      <c r="AJ42" s="60"/>
      <c r="AK42" s="59"/>
      <c r="AL42" s="59"/>
      <c r="AM42" s="59"/>
      <c r="AN42" s="59"/>
      <c r="AO42" s="59"/>
    </row>
    <row r="43" spans="1:41" ht="21.95" customHeight="1">
      <c r="A43" s="150"/>
      <c r="B43" s="146"/>
      <c r="C43" s="146"/>
      <c r="D43" s="146"/>
      <c r="E43" s="146"/>
      <c r="F43" s="138"/>
      <c r="G43" s="150" t="str">
        <f t="shared" si="6"/>
        <v>유순한</v>
      </c>
      <c r="H43" s="146"/>
      <c r="I43" s="146" t="str">
        <f t="shared" si="7"/>
        <v>밝은미소</v>
      </c>
      <c r="J43" s="146"/>
      <c r="K43" s="146"/>
      <c r="L43" s="138"/>
      <c r="M43" s="140"/>
      <c r="N43" s="141"/>
      <c r="O43" s="141"/>
      <c r="P43" s="141"/>
      <c r="Q43" s="141"/>
      <c r="R43" s="142"/>
      <c r="S43" s="140" t="s">
        <v>2259</v>
      </c>
      <c r="T43" s="141"/>
      <c r="U43" s="141" t="s">
        <v>2260</v>
      </c>
      <c r="V43" s="141"/>
      <c r="W43" s="141"/>
      <c r="X43" s="142"/>
      <c r="AA43" s="192" t="str">
        <f>AA22</f>
        <v>초콜릿</v>
      </c>
      <c r="AB43" s="193"/>
      <c r="AC43" s="194"/>
      <c r="AD43" s="100"/>
      <c r="AE43" s="100"/>
      <c r="AF43" s="100"/>
      <c r="AG43" s="100"/>
      <c r="AH43" s="100"/>
      <c r="AI43" s="100"/>
      <c r="AJ43" s="60"/>
      <c r="AK43" s="59"/>
      <c r="AL43" s="59"/>
      <c r="AM43" s="192" t="str">
        <f>AM22</f>
        <v>티라미수</v>
      </c>
      <c r="AN43" s="193"/>
      <c r="AO43" s="194"/>
    </row>
    <row r="44" spans="1:41" ht="21.95" customHeight="1">
      <c r="A44" s="150"/>
      <c r="B44" s="146"/>
      <c r="C44" s="146"/>
      <c r="D44" s="146"/>
      <c r="E44" s="146"/>
      <c r="F44" s="138"/>
      <c r="G44" s="150"/>
      <c r="H44" s="146"/>
      <c r="I44" s="146"/>
      <c r="J44" s="146"/>
      <c r="K44" s="146"/>
      <c r="L44" s="138"/>
      <c r="M44" s="140"/>
      <c r="N44" s="141"/>
      <c r="O44" s="141"/>
      <c r="P44" s="141"/>
      <c r="Q44" s="141"/>
      <c r="R44" s="142"/>
      <c r="S44" s="140"/>
      <c r="T44" s="141"/>
      <c r="U44" s="141"/>
      <c r="V44" s="141"/>
      <c r="W44" s="160"/>
      <c r="X44" s="161"/>
      <c r="AA44" s="195"/>
      <c r="AB44" s="196"/>
      <c r="AC44" s="197"/>
      <c r="AD44" s="100"/>
      <c r="AE44" s="100"/>
      <c r="AF44" s="100"/>
      <c r="AG44" s="100"/>
      <c r="AH44" s="100"/>
      <c r="AI44" s="100"/>
      <c r="AJ44" s="60"/>
      <c r="AK44" s="100"/>
      <c r="AL44" s="59"/>
      <c r="AM44" s="195"/>
      <c r="AN44" s="196"/>
      <c r="AO44" s="197"/>
    </row>
    <row r="45" spans="1:41" ht="21.95" customHeight="1" thickBot="1">
      <c r="A45" s="172" t="str">
        <f>M45</f>
        <v>월터의 상상은 현실이 된다</v>
      </c>
      <c r="B45" s="173"/>
      <c r="C45" s="173"/>
      <c r="D45" s="174"/>
      <c r="E45" s="177" t="str">
        <f>Q45</f>
        <v>나가노현</v>
      </c>
      <c r="F45" s="178"/>
      <c r="G45" s="172" t="str">
        <f>S45</f>
        <v>그린마일</v>
      </c>
      <c r="H45" s="173"/>
      <c r="I45" s="173"/>
      <c r="J45" s="174"/>
      <c r="K45" s="177" t="str">
        <f>W45</f>
        <v>제주도</v>
      </c>
      <c r="L45" s="178"/>
      <c r="M45" s="156" t="s">
        <v>2275</v>
      </c>
      <c r="N45" s="157"/>
      <c r="O45" s="157"/>
      <c r="P45" s="158"/>
      <c r="Q45" s="141" t="s">
        <v>2276</v>
      </c>
      <c r="R45" s="142"/>
      <c r="S45" s="201" t="s">
        <v>2290</v>
      </c>
      <c r="T45" s="202"/>
      <c r="U45" s="202"/>
      <c r="V45" s="203"/>
      <c r="W45" s="141" t="s">
        <v>2145</v>
      </c>
      <c r="X45" s="142"/>
      <c r="AA45" s="198" t="str">
        <f>AA24</f>
        <v>이준석</v>
      </c>
      <c r="AB45" s="199"/>
      <c r="AC45" s="200"/>
      <c r="AD45" s="70"/>
      <c r="AE45" s="70"/>
      <c r="AF45" s="70"/>
      <c r="AG45" s="70"/>
      <c r="AH45" s="70"/>
      <c r="AI45" s="70"/>
      <c r="AJ45" s="59"/>
      <c r="AK45" s="59"/>
      <c r="AL45" s="59"/>
      <c r="AM45" s="198" t="str">
        <f>AM24</f>
        <v>김주연</v>
      </c>
      <c r="AN45" s="199"/>
      <c r="AO45" s="200"/>
    </row>
    <row r="46" spans="1:41" ht="21.95" customHeight="1" thickBot="1">
      <c r="A46" s="140" t="str">
        <f>M46</f>
        <v>기싸움X</v>
      </c>
      <c r="B46" s="141"/>
      <c r="C46" s="141"/>
      <c r="D46" s="141"/>
      <c r="E46" s="141" t="str">
        <f>Q46</f>
        <v>배고프면 다 맛집</v>
      </c>
      <c r="F46" s="142"/>
      <c r="G46" s="140" t="str">
        <f>S46</f>
        <v>존중</v>
      </c>
      <c r="H46" s="141"/>
      <c r="I46" s="141" t="str">
        <f>U46</f>
        <v>농민백암순대</v>
      </c>
      <c r="J46" s="141"/>
      <c r="K46" s="141" t="str">
        <f>W46</f>
        <v>이한진숙성회</v>
      </c>
      <c r="L46" s="142"/>
      <c r="M46" s="150" t="s">
        <v>2277</v>
      </c>
      <c r="N46" s="146"/>
      <c r="O46" s="146"/>
      <c r="P46" s="146"/>
      <c r="Q46" s="146" t="s">
        <v>2278</v>
      </c>
      <c r="R46" s="138"/>
      <c r="S46" s="150" t="s">
        <v>2291</v>
      </c>
      <c r="T46" s="146"/>
      <c r="U46" s="146" t="s">
        <v>2293</v>
      </c>
      <c r="V46" s="146"/>
      <c r="W46" s="146" t="s">
        <v>2292</v>
      </c>
      <c r="X46" s="138"/>
      <c r="AA46" s="60"/>
      <c r="AB46" s="60"/>
      <c r="AC46" s="60"/>
      <c r="AD46" s="60"/>
      <c r="AE46" s="60"/>
      <c r="AF46" s="60"/>
      <c r="AG46" s="60"/>
      <c r="AH46" s="60"/>
      <c r="AI46" s="60"/>
      <c r="AJ46" s="59"/>
      <c r="AK46" s="59"/>
      <c r="AL46" s="59"/>
      <c r="AM46" s="60"/>
      <c r="AN46" s="60"/>
      <c r="AO46" s="60"/>
    </row>
    <row r="47" spans="1:41" ht="21.95" customHeight="1">
      <c r="A47" s="140"/>
      <c r="B47" s="141"/>
      <c r="C47" s="141"/>
      <c r="D47" s="141"/>
      <c r="E47" s="141"/>
      <c r="F47" s="142"/>
      <c r="G47" s="140" t="str">
        <f>S47</f>
        <v>긍정적</v>
      </c>
      <c r="H47" s="141"/>
      <c r="I47" s="141" t="str">
        <f>U47</f>
        <v>예의바른</v>
      </c>
      <c r="J47" s="141"/>
      <c r="K47" s="141"/>
      <c r="L47" s="142"/>
      <c r="M47" s="150"/>
      <c r="N47" s="146"/>
      <c r="O47" s="146"/>
      <c r="P47" s="146"/>
      <c r="Q47" s="146"/>
      <c r="R47" s="138"/>
      <c r="S47" s="150" t="s">
        <v>2138</v>
      </c>
      <c r="T47" s="146"/>
      <c r="U47" s="146" t="s">
        <v>2126</v>
      </c>
      <c r="V47" s="146"/>
      <c r="W47" s="146"/>
      <c r="X47" s="138"/>
      <c r="AA47" s="192" t="str">
        <f>AA26</f>
        <v>크루아상</v>
      </c>
      <c r="AB47" s="193"/>
      <c r="AC47" s="194"/>
      <c r="AD47" s="100"/>
      <c r="AE47" s="100"/>
      <c r="AF47" s="100"/>
      <c r="AG47" s="100"/>
      <c r="AH47" s="100"/>
      <c r="AI47" s="100"/>
      <c r="AJ47" s="59"/>
      <c r="AK47" s="59"/>
      <c r="AL47" s="59"/>
      <c r="AM47" s="192" t="str">
        <f>AM26</f>
        <v>푸딩</v>
      </c>
      <c r="AN47" s="193"/>
      <c r="AO47" s="194"/>
    </row>
    <row r="48" spans="1:41" ht="21.95" customHeight="1" thickBot="1">
      <c r="A48" s="147"/>
      <c r="B48" s="148"/>
      <c r="C48" s="148"/>
      <c r="D48" s="148"/>
      <c r="E48" s="148"/>
      <c r="F48" s="175"/>
      <c r="G48" s="147"/>
      <c r="H48" s="148"/>
      <c r="I48" s="148"/>
      <c r="J48" s="148"/>
      <c r="K48" s="148"/>
      <c r="L48" s="175"/>
      <c r="M48" s="159"/>
      <c r="N48" s="135"/>
      <c r="O48" s="149"/>
      <c r="P48" s="135"/>
      <c r="Q48" s="149"/>
      <c r="R48" s="151"/>
      <c r="S48" s="159"/>
      <c r="T48" s="135"/>
      <c r="U48" s="149"/>
      <c r="V48" s="135"/>
      <c r="W48" s="149"/>
      <c r="X48" s="151"/>
      <c r="AA48" s="195"/>
      <c r="AB48" s="196"/>
      <c r="AC48" s="197"/>
      <c r="AD48" s="100"/>
      <c r="AE48" s="100"/>
      <c r="AF48" s="100"/>
      <c r="AG48" s="100"/>
      <c r="AH48" s="100"/>
      <c r="AI48" s="100"/>
      <c r="AJ48" s="60"/>
      <c r="AK48" s="59"/>
      <c r="AL48" s="59"/>
      <c r="AM48" s="195"/>
      <c r="AN48" s="196"/>
      <c r="AO48" s="197"/>
    </row>
    <row r="49" spans="1:41" ht="21.95" customHeight="1" thickBot="1">
      <c r="A49" s="126" t="str">
        <f>Q49</f>
        <v>소금빵</v>
      </c>
      <c r="B49" s="127"/>
      <c r="C49" s="127"/>
      <c r="D49" s="128"/>
      <c r="E49" s="143" t="str">
        <f>O49</f>
        <v>ISFJ</v>
      </c>
      <c r="F49" s="190"/>
      <c r="G49" s="126" t="str">
        <f>W49</f>
        <v>피낭시에</v>
      </c>
      <c r="H49" s="127"/>
      <c r="I49" s="127"/>
      <c r="J49" s="128"/>
      <c r="K49" s="143" t="str">
        <f>U49</f>
        <v>ISTP</v>
      </c>
      <c r="L49" s="190"/>
      <c r="M49" s="180" t="str">
        <f>'18E'!C6</f>
        <v>황성준</v>
      </c>
      <c r="N49" s="171"/>
      <c r="O49" s="182" t="str">
        <f>'18E'!I6</f>
        <v>ISFJ</v>
      </c>
      <c r="P49" s="183"/>
      <c r="Q49" s="152" t="s">
        <v>2336</v>
      </c>
      <c r="R49" s="153"/>
      <c r="S49" s="180" t="str">
        <f>'18E'!C11</f>
        <v>최아름</v>
      </c>
      <c r="T49" s="171"/>
      <c r="U49" s="162" t="str">
        <f>'18E'!I11</f>
        <v>ISTP</v>
      </c>
      <c r="V49" s="163"/>
      <c r="W49" s="152" t="s">
        <v>2328</v>
      </c>
      <c r="X49" s="153"/>
      <c r="AA49" s="198" t="str">
        <f>AA28</f>
        <v>윤한솔</v>
      </c>
      <c r="AB49" s="199"/>
      <c r="AC49" s="200"/>
      <c r="AD49" s="70"/>
      <c r="AE49" s="70"/>
      <c r="AF49" s="70"/>
      <c r="AG49" s="70"/>
      <c r="AH49" s="70"/>
      <c r="AI49" s="70"/>
      <c r="AJ49" s="69"/>
      <c r="AK49" s="59"/>
      <c r="AL49" s="59"/>
      <c r="AM49" s="198" t="str">
        <f>AM28</f>
        <v>심진희</v>
      </c>
      <c r="AN49" s="199"/>
      <c r="AO49" s="200"/>
    </row>
    <row r="50" spans="1:41" ht="21.95" customHeight="1" thickBot="1">
      <c r="A50" s="129"/>
      <c r="B50" s="130"/>
      <c r="C50" s="130"/>
      <c r="D50" s="131"/>
      <c r="E50" s="137">
        <f>M50</f>
        <v>39</v>
      </c>
      <c r="F50" s="139"/>
      <c r="G50" s="129"/>
      <c r="H50" s="130"/>
      <c r="I50" s="130"/>
      <c r="J50" s="131"/>
      <c r="K50" s="137">
        <f>S50</f>
        <v>35</v>
      </c>
      <c r="L50" s="139"/>
      <c r="M50" s="13">
        <f>'18E'!D6</f>
        <v>39</v>
      </c>
      <c r="N50" s="14">
        <f>'18E'!E6</f>
        <v>176</v>
      </c>
      <c r="O50" s="15" t="str">
        <f>'18E'!K6</f>
        <v>무교</v>
      </c>
      <c r="P50" s="15" t="str">
        <f>'18E'!L6</f>
        <v>무관</v>
      </c>
      <c r="Q50" s="99"/>
      <c r="R50" s="98" t="s">
        <v>2002</v>
      </c>
      <c r="S50" s="13">
        <f>'18E'!D11</f>
        <v>35</v>
      </c>
      <c r="T50" s="16">
        <f>'18E'!E11</f>
        <v>163</v>
      </c>
      <c r="U50" s="15" t="str">
        <f>'18E'!K11</f>
        <v>기독교</v>
      </c>
      <c r="V50" s="15" t="str">
        <f>'18E'!L11</f>
        <v>무관</v>
      </c>
      <c r="W50" s="99"/>
      <c r="X50" s="98" t="s">
        <v>2003</v>
      </c>
      <c r="AA50" s="59"/>
      <c r="AB50" s="59"/>
      <c r="AC50" s="59"/>
      <c r="AD50" s="59"/>
      <c r="AE50" s="59"/>
      <c r="AF50" s="59"/>
      <c r="AG50" s="59"/>
      <c r="AH50" s="59"/>
      <c r="AI50" s="59"/>
      <c r="AJ50" s="60"/>
      <c r="AK50" s="59"/>
      <c r="AL50" s="59"/>
      <c r="AM50" s="59"/>
      <c r="AN50" s="59"/>
      <c r="AO50" s="59"/>
    </row>
    <row r="51" spans="1:41" ht="21.95" customHeight="1">
      <c r="A51" s="129"/>
      <c r="B51" s="130"/>
      <c r="C51" s="130"/>
      <c r="D51" s="131"/>
      <c r="E51" s="137" t="str">
        <f>O50</f>
        <v>무교</v>
      </c>
      <c r="F51" s="139"/>
      <c r="G51" s="129"/>
      <c r="H51" s="130"/>
      <c r="I51" s="130"/>
      <c r="J51" s="131"/>
      <c r="K51" s="137" t="str">
        <f>U50</f>
        <v>기독교</v>
      </c>
      <c r="L51" s="139"/>
      <c r="M51" s="165" t="str">
        <f>'18E'!F6</f>
        <v>회사원(IT보안)</v>
      </c>
      <c r="N51" s="166"/>
      <c r="O51" s="166"/>
      <c r="P51" s="167"/>
      <c r="Q51" s="152" t="str">
        <f>'18E'!G6</f>
        <v>31~38</v>
      </c>
      <c r="R51" s="153"/>
      <c r="S51" s="204" t="str">
        <f>'18E'!F11</f>
        <v>삼성서울병원 내시경실</v>
      </c>
      <c r="T51" s="205"/>
      <c r="U51" s="205"/>
      <c r="V51" s="206"/>
      <c r="W51" s="152" t="str">
        <f>'18E'!G11</f>
        <v>31~41</v>
      </c>
      <c r="X51" s="153"/>
      <c r="AA51" s="192" t="str">
        <f>AA30</f>
        <v>단팥빵</v>
      </c>
      <c r="AB51" s="193"/>
      <c r="AC51" s="194"/>
      <c r="AD51" s="100"/>
      <c r="AE51" s="100"/>
      <c r="AF51" s="100"/>
      <c r="AG51" s="100"/>
      <c r="AH51" s="100"/>
      <c r="AI51" s="100"/>
      <c r="AJ51" s="60"/>
      <c r="AK51" s="100"/>
      <c r="AL51" s="59"/>
      <c r="AM51" s="192" t="str">
        <f>AM30</f>
        <v>마들렌</v>
      </c>
      <c r="AN51" s="193"/>
      <c r="AO51" s="194"/>
    </row>
    <row r="52" spans="1:41" ht="21.95" customHeight="1" thickBot="1">
      <c r="A52" s="132"/>
      <c r="B52" s="133"/>
      <c r="C52" s="133"/>
      <c r="D52" s="134"/>
      <c r="E52" s="135" t="str">
        <f>R50</f>
        <v>I.T</v>
      </c>
      <c r="F52" s="149"/>
      <c r="G52" s="132"/>
      <c r="H52" s="133"/>
      <c r="I52" s="133"/>
      <c r="J52" s="134"/>
      <c r="K52" s="135" t="str">
        <f>X50</f>
        <v>H.A</v>
      </c>
      <c r="L52" s="149"/>
      <c r="M52" s="156" t="str">
        <f>'18E'!M6</f>
        <v>무관</v>
      </c>
      <c r="N52" s="157"/>
      <c r="O52" s="157"/>
      <c r="P52" s="158"/>
      <c r="Q52" s="164" t="str">
        <f>'18E'!H6</f>
        <v>160~170</v>
      </c>
      <c r="R52" s="179"/>
      <c r="S52" s="156" t="str">
        <f>'18E'!M11</f>
        <v>무관</v>
      </c>
      <c r="T52" s="157"/>
      <c r="U52" s="157"/>
      <c r="V52" s="158"/>
      <c r="W52" s="164" t="str">
        <f>'18E'!H11</f>
        <v>170~</v>
      </c>
      <c r="X52" s="179"/>
      <c r="AA52" s="195"/>
      <c r="AB52" s="196"/>
      <c r="AC52" s="197"/>
      <c r="AD52" s="100"/>
      <c r="AE52" s="100"/>
      <c r="AF52" s="100"/>
      <c r="AG52" s="100"/>
      <c r="AH52" s="100"/>
      <c r="AI52" s="100"/>
      <c r="AJ52" s="59"/>
      <c r="AK52" s="59"/>
      <c r="AL52" s="59"/>
      <c r="AM52" s="195"/>
      <c r="AN52" s="196"/>
      <c r="AO52" s="197"/>
    </row>
    <row r="53" spans="1:41" ht="21.95" customHeight="1" thickBot="1">
      <c r="A53" s="188" t="str">
        <f>M53</f>
        <v>차분함</v>
      </c>
      <c r="B53" s="144"/>
      <c r="C53" s="144" t="str">
        <f>O53</f>
        <v>다양성</v>
      </c>
      <c r="D53" s="144"/>
      <c r="E53" s="144"/>
      <c r="F53" s="145"/>
      <c r="G53" s="188" t="str">
        <f>S53</f>
        <v>내성적</v>
      </c>
      <c r="H53" s="144"/>
      <c r="I53" s="144" t="str">
        <f>U53</f>
        <v>낯가림</v>
      </c>
      <c r="J53" s="144"/>
      <c r="K53" s="144" t="str">
        <f>W53</f>
        <v>집순이</v>
      </c>
      <c r="L53" s="145"/>
      <c r="M53" s="140" t="s">
        <v>2243</v>
      </c>
      <c r="N53" s="141"/>
      <c r="O53" s="141" t="s">
        <v>2244</v>
      </c>
      <c r="P53" s="141"/>
      <c r="Q53" s="141"/>
      <c r="R53" s="142"/>
      <c r="S53" s="140" t="s">
        <v>2261</v>
      </c>
      <c r="T53" s="141"/>
      <c r="U53" s="141" t="s">
        <v>2110</v>
      </c>
      <c r="V53" s="141"/>
      <c r="W53" s="141" t="s">
        <v>2127</v>
      </c>
      <c r="X53" s="142"/>
      <c r="AA53" s="198" t="str">
        <f>AA32</f>
        <v>박중호</v>
      </c>
      <c r="AB53" s="199"/>
      <c r="AC53" s="200"/>
      <c r="AD53" s="70"/>
      <c r="AE53" s="70"/>
      <c r="AF53" s="70"/>
      <c r="AG53" s="70"/>
      <c r="AH53" s="70"/>
      <c r="AI53" s="70"/>
      <c r="AJ53" s="69"/>
      <c r="AK53" s="70"/>
      <c r="AL53" s="59"/>
      <c r="AM53" s="198" t="str">
        <f>AM32</f>
        <v>최안나</v>
      </c>
      <c r="AN53" s="199"/>
      <c r="AO53" s="200"/>
    </row>
    <row r="54" spans="1:41" ht="21.95" customHeight="1" thickBot="1">
      <c r="A54" s="150"/>
      <c r="B54" s="146"/>
      <c r="C54" s="146"/>
      <c r="D54" s="146"/>
      <c r="E54" s="146"/>
      <c r="F54" s="138"/>
      <c r="G54" s="150"/>
      <c r="H54" s="146"/>
      <c r="I54" s="146"/>
      <c r="J54" s="146"/>
      <c r="K54" s="146"/>
      <c r="L54" s="138"/>
      <c r="M54" s="140"/>
      <c r="N54" s="141"/>
      <c r="O54" s="141"/>
      <c r="P54" s="141"/>
      <c r="Q54" s="141"/>
      <c r="R54" s="142"/>
      <c r="S54" s="140"/>
      <c r="T54" s="141"/>
      <c r="U54" s="141"/>
      <c r="V54" s="141"/>
      <c r="W54" s="141"/>
      <c r="X54" s="142"/>
      <c r="AA54" s="59"/>
      <c r="AB54" s="59"/>
      <c r="AC54" s="59"/>
      <c r="AD54" s="59"/>
      <c r="AE54" s="59"/>
      <c r="AF54" s="59"/>
      <c r="AG54" s="59"/>
      <c r="AH54" s="59"/>
      <c r="AI54" s="59"/>
      <c r="AJ54" s="60"/>
      <c r="AK54" s="100"/>
      <c r="AL54" s="59"/>
      <c r="AM54" s="59"/>
      <c r="AN54" s="59"/>
      <c r="AO54" s="59"/>
    </row>
    <row r="55" spans="1:41" ht="21.95" customHeight="1">
      <c r="A55" s="150"/>
      <c r="B55" s="146"/>
      <c r="C55" s="146"/>
      <c r="D55" s="146"/>
      <c r="E55" s="146"/>
      <c r="F55" s="138"/>
      <c r="G55" s="150"/>
      <c r="H55" s="146"/>
      <c r="I55" s="146"/>
      <c r="J55" s="146"/>
      <c r="K55" s="146"/>
      <c r="L55" s="138"/>
      <c r="M55" s="140"/>
      <c r="N55" s="141"/>
      <c r="O55" s="141"/>
      <c r="P55" s="141"/>
      <c r="Q55" s="141"/>
      <c r="R55" s="142"/>
      <c r="S55" s="140"/>
      <c r="T55" s="141"/>
      <c r="U55" s="141"/>
      <c r="V55" s="141"/>
      <c r="W55" s="141"/>
      <c r="X55" s="142"/>
      <c r="AA55" s="192" t="str">
        <f>AA34</f>
        <v>스콘</v>
      </c>
      <c r="AB55" s="193"/>
      <c r="AC55" s="194"/>
      <c r="AD55" s="100"/>
      <c r="AE55" s="100"/>
      <c r="AF55" s="100"/>
      <c r="AG55" s="100"/>
      <c r="AH55" s="100"/>
      <c r="AI55" s="100"/>
      <c r="AJ55" s="60"/>
      <c r="AK55" s="100"/>
      <c r="AL55" s="59"/>
      <c r="AM55" s="192" t="str">
        <f>AM34</f>
        <v>에그타르트</v>
      </c>
      <c r="AN55" s="193"/>
      <c r="AO55" s="194"/>
    </row>
    <row r="56" spans="1:41" ht="21.95" customHeight="1">
      <c r="A56" s="150"/>
      <c r="B56" s="146"/>
      <c r="C56" s="146"/>
      <c r="D56" s="146"/>
      <c r="E56" s="146"/>
      <c r="F56" s="138"/>
      <c r="G56" s="150"/>
      <c r="H56" s="146"/>
      <c r="I56" s="146"/>
      <c r="J56" s="146"/>
      <c r="K56" s="146"/>
      <c r="L56" s="138"/>
      <c r="M56" s="140"/>
      <c r="N56" s="141"/>
      <c r="O56" s="141"/>
      <c r="P56" s="141"/>
      <c r="Q56" s="141"/>
      <c r="R56" s="142"/>
      <c r="S56" s="140"/>
      <c r="T56" s="141"/>
      <c r="U56" s="141"/>
      <c r="V56" s="141"/>
      <c r="W56" s="141"/>
      <c r="X56" s="142"/>
      <c r="AA56" s="195"/>
      <c r="AB56" s="196"/>
      <c r="AC56" s="197"/>
      <c r="AD56" s="100"/>
      <c r="AE56" s="100"/>
      <c r="AF56" s="100"/>
      <c r="AG56" s="100"/>
      <c r="AH56" s="100"/>
      <c r="AI56" s="100"/>
      <c r="AJ56" s="60"/>
      <c r="AK56" s="100"/>
      <c r="AL56" s="59"/>
      <c r="AM56" s="195"/>
      <c r="AN56" s="196"/>
      <c r="AO56" s="197"/>
    </row>
    <row r="57" spans="1:41" ht="21.95" customHeight="1" thickBot="1">
      <c r="A57" s="172" t="str">
        <f>M57</f>
        <v>어바웃 타임</v>
      </c>
      <c r="B57" s="173"/>
      <c r="C57" s="173"/>
      <c r="D57" s="174"/>
      <c r="E57" s="177" t="str">
        <f>Q57</f>
        <v>일본</v>
      </c>
      <c r="F57" s="178"/>
      <c r="G57" s="172" t="str">
        <f>S57</f>
        <v>쥬토피아</v>
      </c>
      <c r="H57" s="173"/>
      <c r="I57" s="173"/>
      <c r="J57" s="174"/>
      <c r="K57" s="177" t="str">
        <f>W57</f>
        <v>뉴욕</v>
      </c>
      <c r="L57" s="178"/>
      <c r="M57" s="156" t="s">
        <v>2144</v>
      </c>
      <c r="N57" s="157"/>
      <c r="O57" s="157"/>
      <c r="P57" s="158"/>
      <c r="Q57" s="141" t="s">
        <v>2279</v>
      </c>
      <c r="R57" s="142"/>
      <c r="S57" s="156" t="s">
        <v>2294</v>
      </c>
      <c r="T57" s="157"/>
      <c r="U57" s="157"/>
      <c r="V57" s="158"/>
      <c r="W57" s="141" t="s">
        <v>2295</v>
      </c>
      <c r="X57" s="142"/>
      <c r="AA57" s="198" t="str">
        <f>AA36</f>
        <v>김동현</v>
      </c>
      <c r="AB57" s="199"/>
      <c r="AC57" s="200"/>
      <c r="AD57" s="70"/>
      <c r="AE57" s="70"/>
      <c r="AF57" s="70"/>
      <c r="AG57" s="70"/>
      <c r="AH57" s="70"/>
      <c r="AI57" s="70"/>
      <c r="AJ57" s="59"/>
      <c r="AK57" s="59"/>
      <c r="AL57" s="59"/>
      <c r="AM57" s="198" t="str">
        <f>AM36</f>
        <v>서예슬</v>
      </c>
      <c r="AN57" s="199"/>
      <c r="AO57" s="200"/>
    </row>
    <row r="58" spans="1:41" ht="21.95" customHeight="1" thickBot="1">
      <c r="A58" s="140" t="str">
        <f>M58</f>
        <v>유대감</v>
      </c>
      <c r="B58" s="141"/>
      <c r="C58" s="141" t="str">
        <f>O58</f>
        <v>대화코드</v>
      </c>
      <c r="D58" s="141"/>
      <c r="E58" s="141" t="str">
        <f>Q58</f>
        <v>소원</v>
      </c>
      <c r="F58" s="142"/>
      <c r="G58" s="140" t="str">
        <f>S58</f>
        <v>배려</v>
      </c>
      <c r="H58" s="141"/>
      <c r="I58" s="141"/>
      <c r="J58" s="141"/>
      <c r="K58" s="141" t="str">
        <f>W58</f>
        <v>포도집 2호점</v>
      </c>
      <c r="L58" s="142"/>
      <c r="M58" s="150" t="s">
        <v>2280</v>
      </c>
      <c r="N58" s="146"/>
      <c r="O58" s="146" t="s">
        <v>2221</v>
      </c>
      <c r="P58" s="146"/>
      <c r="Q58" s="146" t="s">
        <v>2281</v>
      </c>
      <c r="R58" s="138"/>
      <c r="S58" s="150" t="s">
        <v>2082</v>
      </c>
      <c r="T58" s="146"/>
      <c r="U58" s="146"/>
      <c r="V58" s="146"/>
      <c r="W58" s="146" t="s">
        <v>2296</v>
      </c>
      <c r="X58" s="138"/>
      <c r="AA58" s="59"/>
      <c r="AB58" s="59"/>
      <c r="AC58" s="59"/>
      <c r="AD58" s="59"/>
      <c r="AE58" s="59"/>
      <c r="AF58" s="59"/>
      <c r="AG58" s="59"/>
      <c r="AH58" s="59"/>
      <c r="AI58" s="59"/>
      <c r="AJ58" s="59"/>
      <c r="AK58" s="59"/>
      <c r="AL58" s="59"/>
      <c r="AM58" s="59"/>
      <c r="AN58" s="59"/>
      <c r="AO58" s="59"/>
    </row>
    <row r="59" spans="1:41" ht="21.95" customHeight="1">
      <c r="A59" s="140" t="str">
        <f>M59</f>
        <v>CUTE</v>
      </c>
      <c r="B59" s="141"/>
      <c r="C59" s="141" t="str">
        <f>O59</f>
        <v>대화코드</v>
      </c>
      <c r="D59" s="141"/>
      <c r="E59" s="141"/>
      <c r="F59" s="142"/>
      <c r="G59" s="140" t="str">
        <f>S59</f>
        <v>리드형</v>
      </c>
      <c r="H59" s="141"/>
      <c r="I59" s="141"/>
      <c r="J59" s="141"/>
      <c r="K59" s="141"/>
      <c r="L59" s="142"/>
      <c r="M59" s="150" t="s">
        <v>2091</v>
      </c>
      <c r="N59" s="146"/>
      <c r="O59" s="146" t="s">
        <v>2221</v>
      </c>
      <c r="P59" s="146"/>
      <c r="Q59" s="146"/>
      <c r="R59" s="138"/>
      <c r="S59" s="150" t="s">
        <v>2262</v>
      </c>
      <c r="T59" s="146"/>
      <c r="U59" s="146"/>
      <c r="V59" s="146"/>
      <c r="W59" s="146"/>
      <c r="X59" s="138"/>
      <c r="AA59" s="192" t="str">
        <f>AA38</f>
        <v>소금빵</v>
      </c>
      <c r="AB59" s="193"/>
      <c r="AC59" s="194"/>
      <c r="AD59" s="100"/>
      <c r="AE59" s="100"/>
      <c r="AF59" s="100"/>
      <c r="AG59" s="100"/>
      <c r="AH59" s="100"/>
      <c r="AI59" s="100"/>
      <c r="AJ59" s="59"/>
      <c r="AK59" s="59"/>
      <c r="AL59" s="59"/>
      <c r="AM59" s="192" t="str">
        <f>AM38</f>
        <v>피낭시에</v>
      </c>
      <c r="AN59" s="193"/>
      <c r="AO59" s="194"/>
    </row>
    <row r="60" spans="1:41" ht="21.95" customHeight="1" thickBot="1">
      <c r="A60" s="147"/>
      <c r="B60" s="148"/>
      <c r="C60" s="148"/>
      <c r="D60" s="148"/>
      <c r="E60" s="148"/>
      <c r="F60" s="175"/>
      <c r="G60" s="147"/>
      <c r="H60" s="148"/>
      <c r="I60" s="148"/>
      <c r="J60" s="148"/>
      <c r="K60" s="148"/>
      <c r="L60" s="175"/>
      <c r="M60" s="159"/>
      <c r="N60" s="135"/>
      <c r="O60" s="149"/>
      <c r="P60" s="135"/>
      <c r="Q60" s="149"/>
      <c r="R60" s="151"/>
      <c r="S60" s="159"/>
      <c r="T60" s="135"/>
      <c r="U60" s="149"/>
      <c r="V60" s="135"/>
      <c r="W60" s="149"/>
      <c r="X60" s="151"/>
      <c r="AA60" s="195"/>
      <c r="AB60" s="196"/>
      <c r="AC60" s="197"/>
      <c r="AD60" s="100"/>
      <c r="AE60" s="100"/>
      <c r="AF60" s="100"/>
      <c r="AG60" s="100"/>
      <c r="AH60" s="100"/>
      <c r="AI60" s="100"/>
      <c r="AJ60" s="60"/>
      <c r="AK60" s="100"/>
      <c r="AL60" s="59"/>
      <c r="AM60" s="195"/>
      <c r="AN60" s="196"/>
      <c r="AO60" s="197"/>
    </row>
    <row r="61" spans="1:41" ht="21.95" customHeight="1" thickBot="1">
      <c r="AA61" s="198" t="str">
        <f>AA40</f>
        <v>황성준</v>
      </c>
      <c r="AB61" s="199"/>
      <c r="AC61" s="200"/>
      <c r="AD61" s="70"/>
      <c r="AE61" s="70"/>
      <c r="AF61" s="70"/>
      <c r="AG61" s="70"/>
      <c r="AH61" s="70"/>
      <c r="AI61" s="70"/>
      <c r="AJ61" s="59"/>
      <c r="AK61" s="59"/>
      <c r="AL61" s="59"/>
      <c r="AM61" s="198" t="str">
        <f>AM40</f>
        <v>최아름</v>
      </c>
      <c r="AN61" s="199"/>
      <c r="AO61" s="200"/>
    </row>
  </sheetData>
  <autoFilter ref="AS2:AS32">
    <sortState ref="AS3:AT32">
      <sortCondition ref="AS2:AS32"/>
    </sortState>
  </autoFilter>
  <mergeCells count="640">
    <mergeCell ref="AA3:AC3"/>
    <mergeCell ref="AM3:AO3"/>
    <mergeCell ref="Q1:R1"/>
    <mergeCell ref="S1:T1"/>
    <mergeCell ref="U1:V1"/>
    <mergeCell ref="W1:X1"/>
    <mergeCell ref="AA1:AC2"/>
    <mergeCell ref="AM1:AO2"/>
    <mergeCell ref="A1:D4"/>
    <mergeCell ref="E1:F1"/>
    <mergeCell ref="G1:J4"/>
    <mergeCell ref="K1:L1"/>
    <mergeCell ref="M1:N1"/>
    <mergeCell ref="O1:P1"/>
    <mergeCell ref="E2:F2"/>
    <mergeCell ref="K2:L2"/>
    <mergeCell ref="E3:F3"/>
    <mergeCell ref="K3:L3"/>
    <mergeCell ref="E4:F4"/>
    <mergeCell ref="K4:L4"/>
    <mergeCell ref="M4:P4"/>
    <mergeCell ref="Q4:R4"/>
    <mergeCell ref="S4:V4"/>
    <mergeCell ref="W4:X4"/>
    <mergeCell ref="M3:P3"/>
    <mergeCell ref="Q3:R3"/>
    <mergeCell ref="S3:V3"/>
    <mergeCell ref="W3:X3"/>
    <mergeCell ref="AA5:AC6"/>
    <mergeCell ref="AM5:AO6"/>
    <mergeCell ref="A6:B6"/>
    <mergeCell ref="C6:D6"/>
    <mergeCell ref="E6:F6"/>
    <mergeCell ref="G6:H6"/>
    <mergeCell ref="I6:J6"/>
    <mergeCell ref="K6:L6"/>
    <mergeCell ref="M6:N6"/>
    <mergeCell ref="O6:P6"/>
    <mergeCell ref="M5:N5"/>
    <mergeCell ref="O5:P5"/>
    <mergeCell ref="Q5:R5"/>
    <mergeCell ref="S5:T5"/>
    <mergeCell ref="U5:V5"/>
    <mergeCell ref="W5:X5"/>
    <mergeCell ref="A5:B5"/>
    <mergeCell ref="C5:D5"/>
    <mergeCell ref="E5:F5"/>
    <mergeCell ref="G5:H5"/>
    <mergeCell ref="I5:J5"/>
    <mergeCell ref="K5:L5"/>
    <mergeCell ref="Q6:R6"/>
    <mergeCell ref="S6:T6"/>
    <mergeCell ref="U6:V6"/>
    <mergeCell ref="W6:X6"/>
    <mergeCell ref="A7:B7"/>
    <mergeCell ref="C7:D7"/>
    <mergeCell ref="E7:F7"/>
    <mergeCell ref="G7:H7"/>
    <mergeCell ref="I7:J7"/>
    <mergeCell ref="K7:L7"/>
    <mergeCell ref="AA7:AC7"/>
    <mergeCell ref="AM7:AO7"/>
    <mergeCell ref="A8:B8"/>
    <mergeCell ref="C8:D8"/>
    <mergeCell ref="E8:F8"/>
    <mergeCell ref="G8:H8"/>
    <mergeCell ref="I8:J8"/>
    <mergeCell ref="K8:L8"/>
    <mergeCell ref="M8:N8"/>
    <mergeCell ref="O8:P8"/>
    <mergeCell ref="M7:N7"/>
    <mergeCell ref="O7:P7"/>
    <mergeCell ref="Q7:R7"/>
    <mergeCell ref="S7:T7"/>
    <mergeCell ref="U7:V7"/>
    <mergeCell ref="W7:X7"/>
    <mergeCell ref="AM9:AO10"/>
    <mergeCell ref="A10:B10"/>
    <mergeCell ref="C10:D10"/>
    <mergeCell ref="E10:F10"/>
    <mergeCell ref="G10:H10"/>
    <mergeCell ref="I10:J10"/>
    <mergeCell ref="K10:L10"/>
    <mergeCell ref="Q8:R8"/>
    <mergeCell ref="S8:T8"/>
    <mergeCell ref="U8:V8"/>
    <mergeCell ref="W8:X8"/>
    <mergeCell ref="A9:D9"/>
    <mergeCell ref="E9:F9"/>
    <mergeCell ref="G9:J9"/>
    <mergeCell ref="K9:L9"/>
    <mergeCell ref="M9:P9"/>
    <mergeCell ref="Q9:R9"/>
    <mergeCell ref="M10:N10"/>
    <mergeCell ref="O10:P10"/>
    <mergeCell ref="Q10:R10"/>
    <mergeCell ref="S10:T10"/>
    <mergeCell ref="U10:V10"/>
    <mergeCell ref="W10:X10"/>
    <mergeCell ref="S9:V9"/>
    <mergeCell ref="W9:X9"/>
    <mergeCell ref="AA9:AC10"/>
    <mergeCell ref="AA11:AC11"/>
    <mergeCell ref="AM11:AO11"/>
    <mergeCell ref="A12:B12"/>
    <mergeCell ref="C12:D12"/>
    <mergeCell ref="E12:F12"/>
    <mergeCell ref="G12:H12"/>
    <mergeCell ref="I12:J12"/>
    <mergeCell ref="K12:L12"/>
    <mergeCell ref="M12:N12"/>
    <mergeCell ref="O12:P12"/>
    <mergeCell ref="M11:N11"/>
    <mergeCell ref="O11:P11"/>
    <mergeCell ref="Q11:R11"/>
    <mergeCell ref="S11:T11"/>
    <mergeCell ref="U11:V11"/>
    <mergeCell ref="W11:X11"/>
    <mergeCell ref="A11:B11"/>
    <mergeCell ref="C11:D11"/>
    <mergeCell ref="E11:F11"/>
    <mergeCell ref="G11:H11"/>
    <mergeCell ref="I11:J11"/>
    <mergeCell ref="K11:L11"/>
    <mergeCell ref="W13:X13"/>
    <mergeCell ref="AA13:AC14"/>
    <mergeCell ref="AM13:AO14"/>
    <mergeCell ref="Q12:R12"/>
    <mergeCell ref="S12:T12"/>
    <mergeCell ref="U12:V12"/>
    <mergeCell ref="W12:X12"/>
    <mergeCell ref="A13:D16"/>
    <mergeCell ref="E13:F13"/>
    <mergeCell ref="G13:J16"/>
    <mergeCell ref="K13:L13"/>
    <mergeCell ref="M13:N13"/>
    <mergeCell ref="O13:P13"/>
    <mergeCell ref="E14:F14"/>
    <mergeCell ref="K14:L14"/>
    <mergeCell ref="E15:F15"/>
    <mergeCell ref="K15:L15"/>
    <mergeCell ref="M15:P15"/>
    <mergeCell ref="Q15:R15"/>
    <mergeCell ref="Q13:R13"/>
    <mergeCell ref="S13:T13"/>
    <mergeCell ref="U13:V13"/>
    <mergeCell ref="S15:V15"/>
    <mergeCell ref="W15:X15"/>
    <mergeCell ref="AA15:AC15"/>
    <mergeCell ref="AM15:AO15"/>
    <mergeCell ref="E16:F16"/>
    <mergeCell ref="K16:L16"/>
    <mergeCell ref="M16:P16"/>
    <mergeCell ref="Q16:R16"/>
    <mergeCell ref="S16:V16"/>
    <mergeCell ref="W16:X16"/>
    <mergeCell ref="AA17:AC18"/>
    <mergeCell ref="AM17:AO18"/>
    <mergeCell ref="Q17:R17"/>
    <mergeCell ref="S17:T17"/>
    <mergeCell ref="U17:V17"/>
    <mergeCell ref="W17:X17"/>
    <mergeCell ref="Q18:R18"/>
    <mergeCell ref="S18:T18"/>
    <mergeCell ref="U18:V18"/>
    <mergeCell ref="W18:X18"/>
    <mergeCell ref="A18:B18"/>
    <mergeCell ref="C18:D18"/>
    <mergeCell ref="E18:F18"/>
    <mergeCell ref="G18:H18"/>
    <mergeCell ref="I18:J18"/>
    <mergeCell ref="K18:L18"/>
    <mergeCell ref="M18:N18"/>
    <mergeCell ref="O18:P18"/>
    <mergeCell ref="M17:N17"/>
    <mergeCell ref="O17:P17"/>
    <mergeCell ref="A17:B17"/>
    <mergeCell ref="C17:D17"/>
    <mergeCell ref="E17:F17"/>
    <mergeCell ref="G17:H17"/>
    <mergeCell ref="I17:J17"/>
    <mergeCell ref="K17:L17"/>
    <mergeCell ref="A19:B19"/>
    <mergeCell ref="C19:D19"/>
    <mergeCell ref="E19:F19"/>
    <mergeCell ref="G19:H19"/>
    <mergeCell ref="I19:J19"/>
    <mergeCell ref="K19:L19"/>
    <mergeCell ref="AA19:AC19"/>
    <mergeCell ref="AM19:AO19"/>
    <mergeCell ref="A20:B20"/>
    <mergeCell ref="C20:D20"/>
    <mergeCell ref="E20:F20"/>
    <mergeCell ref="G20:H20"/>
    <mergeCell ref="I20:J20"/>
    <mergeCell ref="K20:L20"/>
    <mergeCell ref="M20:N20"/>
    <mergeCell ref="O20:P20"/>
    <mergeCell ref="M19:N19"/>
    <mergeCell ref="O19:P19"/>
    <mergeCell ref="Q19:R19"/>
    <mergeCell ref="S19:T19"/>
    <mergeCell ref="U19:V19"/>
    <mergeCell ref="W19:X19"/>
    <mergeCell ref="Q20:R20"/>
    <mergeCell ref="S20:T20"/>
    <mergeCell ref="U20:V20"/>
    <mergeCell ref="W20:X20"/>
    <mergeCell ref="A21:D21"/>
    <mergeCell ref="E21:F21"/>
    <mergeCell ref="G21:J21"/>
    <mergeCell ref="K21:L21"/>
    <mergeCell ref="M21:P21"/>
    <mergeCell ref="Q21:R21"/>
    <mergeCell ref="AA22:AC23"/>
    <mergeCell ref="AM22:AO23"/>
    <mergeCell ref="S21:V21"/>
    <mergeCell ref="W21:X21"/>
    <mergeCell ref="A22:B22"/>
    <mergeCell ref="C22:D22"/>
    <mergeCell ref="E22:F22"/>
    <mergeCell ref="G22:H22"/>
    <mergeCell ref="I22:J22"/>
    <mergeCell ref="K22:L22"/>
    <mergeCell ref="M22:N22"/>
    <mergeCell ref="O22:P22"/>
    <mergeCell ref="W23:X23"/>
    <mergeCell ref="A23:B23"/>
    <mergeCell ref="C23:D23"/>
    <mergeCell ref="E23:F23"/>
    <mergeCell ref="G23:H23"/>
    <mergeCell ref="I23:J23"/>
    <mergeCell ref="K23:L23"/>
    <mergeCell ref="Q22:R22"/>
    <mergeCell ref="S22:T22"/>
    <mergeCell ref="U22:V22"/>
    <mergeCell ref="W22:X22"/>
    <mergeCell ref="E24:F24"/>
    <mergeCell ref="G24:H24"/>
    <mergeCell ref="I24:J24"/>
    <mergeCell ref="K24:L24"/>
    <mergeCell ref="M23:N23"/>
    <mergeCell ref="O23:P23"/>
    <mergeCell ref="Q23:R23"/>
    <mergeCell ref="S23:T23"/>
    <mergeCell ref="U23:V23"/>
    <mergeCell ref="AA26:AC27"/>
    <mergeCell ref="AM26:AO27"/>
    <mergeCell ref="E27:F27"/>
    <mergeCell ref="K27:L27"/>
    <mergeCell ref="M27:P27"/>
    <mergeCell ref="Q27:R27"/>
    <mergeCell ref="AA24:AC24"/>
    <mergeCell ref="AM24:AO24"/>
    <mergeCell ref="A25:D28"/>
    <mergeCell ref="E25:F25"/>
    <mergeCell ref="G25:J28"/>
    <mergeCell ref="K25:L25"/>
    <mergeCell ref="M25:N25"/>
    <mergeCell ref="O25:P25"/>
    <mergeCell ref="Q25:R25"/>
    <mergeCell ref="S25:T25"/>
    <mergeCell ref="M24:N24"/>
    <mergeCell ref="O24:P24"/>
    <mergeCell ref="Q24:R24"/>
    <mergeCell ref="S24:T24"/>
    <mergeCell ref="U24:V24"/>
    <mergeCell ref="W24:X24"/>
    <mergeCell ref="A24:B24"/>
    <mergeCell ref="C24:D24"/>
    <mergeCell ref="S27:V27"/>
    <mergeCell ref="W27:X27"/>
    <mergeCell ref="E28:F28"/>
    <mergeCell ref="K28:L28"/>
    <mergeCell ref="M28:P28"/>
    <mergeCell ref="Q28:R28"/>
    <mergeCell ref="S28:V28"/>
    <mergeCell ref="W28:X28"/>
    <mergeCell ref="U25:V25"/>
    <mergeCell ref="W25:X25"/>
    <mergeCell ref="E26:F26"/>
    <mergeCell ref="K26:L26"/>
    <mergeCell ref="AA28:AC28"/>
    <mergeCell ref="AM28:AO28"/>
    <mergeCell ref="A29:B29"/>
    <mergeCell ref="C29:D29"/>
    <mergeCell ref="E29:F29"/>
    <mergeCell ref="G29:H29"/>
    <mergeCell ref="I29:J29"/>
    <mergeCell ref="K29:L29"/>
    <mergeCell ref="M29:N29"/>
    <mergeCell ref="O29:P29"/>
    <mergeCell ref="Q29:R29"/>
    <mergeCell ref="S29:T29"/>
    <mergeCell ref="U29:V29"/>
    <mergeCell ref="W29:X29"/>
    <mergeCell ref="A30:B30"/>
    <mergeCell ref="C30:D30"/>
    <mergeCell ref="E30:F30"/>
    <mergeCell ref="G30:H30"/>
    <mergeCell ref="I30:J30"/>
    <mergeCell ref="K30:L30"/>
    <mergeCell ref="AA30:AC31"/>
    <mergeCell ref="AM30:AO31"/>
    <mergeCell ref="A31:B31"/>
    <mergeCell ref="C31:D31"/>
    <mergeCell ref="E31:F31"/>
    <mergeCell ref="G31:H31"/>
    <mergeCell ref="I31:J31"/>
    <mergeCell ref="K31:L31"/>
    <mergeCell ref="M31:N31"/>
    <mergeCell ref="O31:P31"/>
    <mergeCell ref="M30:N30"/>
    <mergeCell ref="O30:P30"/>
    <mergeCell ref="Q30:R30"/>
    <mergeCell ref="S30:T30"/>
    <mergeCell ref="U30:V30"/>
    <mergeCell ref="W30:X30"/>
    <mergeCell ref="Q31:R31"/>
    <mergeCell ref="S31:T31"/>
    <mergeCell ref="U31:V31"/>
    <mergeCell ref="W31:X31"/>
    <mergeCell ref="A32:B32"/>
    <mergeCell ref="C32:D32"/>
    <mergeCell ref="E32:F32"/>
    <mergeCell ref="G32:H32"/>
    <mergeCell ref="I32:J32"/>
    <mergeCell ref="K32:L32"/>
    <mergeCell ref="AA32:AC32"/>
    <mergeCell ref="AM32:AO32"/>
    <mergeCell ref="A33:D33"/>
    <mergeCell ref="E33:F33"/>
    <mergeCell ref="G33:J33"/>
    <mergeCell ref="K33:L33"/>
    <mergeCell ref="M33:P33"/>
    <mergeCell ref="Q33:R33"/>
    <mergeCell ref="S33:V33"/>
    <mergeCell ref="W33:X33"/>
    <mergeCell ref="M32:N32"/>
    <mergeCell ref="O32:P32"/>
    <mergeCell ref="Q32:R32"/>
    <mergeCell ref="S32:T32"/>
    <mergeCell ref="U32:V32"/>
    <mergeCell ref="W32:X32"/>
    <mergeCell ref="AM34:AO35"/>
    <mergeCell ref="A35:B35"/>
    <mergeCell ref="C35:D35"/>
    <mergeCell ref="E35:F35"/>
    <mergeCell ref="G35:H35"/>
    <mergeCell ref="I35:J35"/>
    <mergeCell ref="K35:L35"/>
    <mergeCell ref="M35:N35"/>
    <mergeCell ref="O35:P35"/>
    <mergeCell ref="M34:N34"/>
    <mergeCell ref="O34:P34"/>
    <mergeCell ref="Q34:R34"/>
    <mergeCell ref="S34:T34"/>
    <mergeCell ref="U34:V34"/>
    <mergeCell ref="W34:X34"/>
    <mergeCell ref="A34:B34"/>
    <mergeCell ref="C34:D34"/>
    <mergeCell ref="E34:F34"/>
    <mergeCell ref="G34:H34"/>
    <mergeCell ref="I34:J34"/>
    <mergeCell ref="K34:L34"/>
    <mergeCell ref="Q35:R35"/>
    <mergeCell ref="S35:T35"/>
    <mergeCell ref="U35:V35"/>
    <mergeCell ref="W35:X35"/>
    <mergeCell ref="A36:B36"/>
    <mergeCell ref="C36:D36"/>
    <mergeCell ref="E36:F36"/>
    <mergeCell ref="G36:H36"/>
    <mergeCell ref="I36:J36"/>
    <mergeCell ref="K36:L36"/>
    <mergeCell ref="AA38:AC39"/>
    <mergeCell ref="AA34:AC35"/>
    <mergeCell ref="AA36:AC36"/>
    <mergeCell ref="K39:L39"/>
    <mergeCell ref="M39:P39"/>
    <mergeCell ref="Q39:R39"/>
    <mergeCell ref="AM36:AO36"/>
    <mergeCell ref="A37:D40"/>
    <mergeCell ref="E37:F37"/>
    <mergeCell ref="G37:J40"/>
    <mergeCell ref="K37:L37"/>
    <mergeCell ref="M37:N37"/>
    <mergeCell ref="O37:P37"/>
    <mergeCell ref="Q37:R37"/>
    <mergeCell ref="S37:T37"/>
    <mergeCell ref="M36:N36"/>
    <mergeCell ref="O36:P36"/>
    <mergeCell ref="Q36:R36"/>
    <mergeCell ref="S36:T36"/>
    <mergeCell ref="U36:V36"/>
    <mergeCell ref="W36:X36"/>
    <mergeCell ref="S39:V39"/>
    <mergeCell ref="W39:X39"/>
    <mergeCell ref="E40:F40"/>
    <mergeCell ref="U37:V37"/>
    <mergeCell ref="W37:X37"/>
    <mergeCell ref="E38:F38"/>
    <mergeCell ref="K38:L38"/>
    <mergeCell ref="AM38:AO39"/>
    <mergeCell ref="E39:F39"/>
    <mergeCell ref="AA40:AC40"/>
    <mergeCell ref="AM40:AO40"/>
    <mergeCell ref="A41:B41"/>
    <mergeCell ref="C41:D41"/>
    <mergeCell ref="E41:F41"/>
    <mergeCell ref="G41:H41"/>
    <mergeCell ref="I41:J41"/>
    <mergeCell ref="K41:L41"/>
    <mergeCell ref="M41:N41"/>
    <mergeCell ref="O41:P41"/>
    <mergeCell ref="K40:L40"/>
    <mergeCell ref="M40:P40"/>
    <mergeCell ref="Q40:R40"/>
    <mergeCell ref="S40:V40"/>
    <mergeCell ref="W40:X40"/>
    <mergeCell ref="S42:T42"/>
    <mergeCell ref="U42:V42"/>
    <mergeCell ref="W42:X42"/>
    <mergeCell ref="Q41:R41"/>
    <mergeCell ref="S41:T41"/>
    <mergeCell ref="U41:V41"/>
    <mergeCell ref="W41:X41"/>
    <mergeCell ref="A42:B42"/>
    <mergeCell ref="C42:D42"/>
    <mergeCell ref="E42:F42"/>
    <mergeCell ref="G42:H42"/>
    <mergeCell ref="I42:J42"/>
    <mergeCell ref="K42:L42"/>
    <mergeCell ref="A43:B43"/>
    <mergeCell ref="C43:D43"/>
    <mergeCell ref="E43:F43"/>
    <mergeCell ref="G43:H43"/>
    <mergeCell ref="I43:J43"/>
    <mergeCell ref="K43:L43"/>
    <mergeCell ref="M42:N42"/>
    <mergeCell ref="O42:P42"/>
    <mergeCell ref="Q42:R42"/>
    <mergeCell ref="K44:L44"/>
    <mergeCell ref="M44:N44"/>
    <mergeCell ref="O44:P44"/>
    <mergeCell ref="M43:N43"/>
    <mergeCell ref="O43:P43"/>
    <mergeCell ref="Q43:R43"/>
    <mergeCell ref="S43:T43"/>
    <mergeCell ref="U43:V43"/>
    <mergeCell ref="W43:X43"/>
    <mergeCell ref="AM45:AO45"/>
    <mergeCell ref="A46:B46"/>
    <mergeCell ref="C46:D46"/>
    <mergeCell ref="E46:F46"/>
    <mergeCell ref="G46:H46"/>
    <mergeCell ref="I46:J46"/>
    <mergeCell ref="K46:L46"/>
    <mergeCell ref="Q44:R44"/>
    <mergeCell ref="S44:T44"/>
    <mergeCell ref="U44:V44"/>
    <mergeCell ref="W44:X44"/>
    <mergeCell ref="A45:D45"/>
    <mergeCell ref="E45:F45"/>
    <mergeCell ref="G45:J45"/>
    <mergeCell ref="K45:L45"/>
    <mergeCell ref="M45:P45"/>
    <mergeCell ref="Q45:R45"/>
    <mergeCell ref="AA43:AC44"/>
    <mergeCell ref="AM43:AO44"/>
    <mergeCell ref="A44:B44"/>
    <mergeCell ref="C44:D44"/>
    <mergeCell ref="E44:F44"/>
    <mergeCell ref="G44:H44"/>
    <mergeCell ref="I44:J44"/>
    <mergeCell ref="M46:N46"/>
    <mergeCell ref="O46:P46"/>
    <mergeCell ref="Q46:R46"/>
    <mergeCell ref="S46:T46"/>
    <mergeCell ref="U46:V46"/>
    <mergeCell ref="W46:X46"/>
    <mergeCell ref="S45:V45"/>
    <mergeCell ref="W45:X45"/>
    <mergeCell ref="AA45:AC45"/>
    <mergeCell ref="O47:P47"/>
    <mergeCell ref="Q47:R47"/>
    <mergeCell ref="S47:T47"/>
    <mergeCell ref="U47:V47"/>
    <mergeCell ref="W47:X47"/>
    <mergeCell ref="A47:B47"/>
    <mergeCell ref="C47:D47"/>
    <mergeCell ref="E47:F47"/>
    <mergeCell ref="G47:H47"/>
    <mergeCell ref="I47:J47"/>
    <mergeCell ref="K47:L47"/>
    <mergeCell ref="W49:X49"/>
    <mergeCell ref="AA49:AC49"/>
    <mergeCell ref="AM49:AO49"/>
    <mergeCell ref="Q48:R48"/>
    <mergeCell ref="S48:T48"/>
    <mergeCell ref="U48:V48"/>
    <mergeCell ref="W48:X48"/>
    <mergeCell ref="A49:D52"/>
    <mergeCell ref="E49:F49"/>
    <mergeCell ref="G49:J52"/>
    <mergeCell ref="K49:L49"/>
    <mergeCell ref="M49:N49"/>
    <mergeCell ref="O49:P49"/>
    <mergeCell ref="AA47:AC48"/>
    <mergeCell ref="AM47:AO48"/>
    <mergeCell ref="A48:B48"/>
    <mergeCell ref="C48:D48"/>
    <mergeCell ref="E48:F48"/>
    <mergeCell ref="G48:H48"/>
    <mergeCell ref="I48:J48"/>
    <mergeCell ref="K48:L48"/>
    <mergeCell ref="M48:N48"/>
    <mergeCell ref="O48:P48"/>
    <mergeCell ref="M47:N47"/>
    <mergeCell ref="E50:F50"/>
    <mergeCell ref="K50:L50"/>
    <mergeCell ref="E51:F51"/>
    <mergeCell ref="K51:L51"/>
    <mergeCell ref="M51:P51"/>
    <mergeCell ref="Q51:R51"/>
    <mergeCell ref="Q49:R49"/>
    <mergeCell ref="S49:T49"/>
    <mergeCell ref="U49:V49"/>
    <mergeCell ref="S51:V51"/>
    <mergeCell ref="W51:X51"/>
    <mergeCell ref="AA51:AC52"/>
    <mergeCell ref="AM51:AO52"/>
    <mergeCell ref="E52:F52"/>
    <mergeCell ref="K52:L52"/>
    <mergeCell ref="M52:P52"/>
    <mergeCell ref="Q52:R52"/>
    <mergeCell ref="S52:V52"/>
    <mergeCell ref="W52:X52"/>
    <mergeCell ref="AA53:AC53"/>
    <mergeCell ref="AM53:AO53"/>
    <mergeCell ref="A54:B54"/>
    <mergeCell ref="C54:D54"/>
    <mergeCell ref="E54:F54"/>
    <mergeCell ref="G54:H54"/>
    <mergeCell ref="I54:J54"/>
    <mergeCell ref="K54:L54"/>
    <mergeCell ref="M54:N54"/>
    <mergeCell ref="O54:P54"/>
    <mergeCell ref="M53:N53"/>
    <mergeCell ref="O53:P53"/>
    <mergeCell ref="Q53:R53"/>
    <mergeCell ref="S53:T53"/>
    <mergeCell ref="U53:V53"/>
    <mergeCell ref="W53:X53"/>
    <mergeCell ref="A53:B53"/>
    <mergeCell ref="C53:D53"/>
    <mergeCell ref="E53:F53"/>
    <mergeCell ref="G53:H53"/>
    <mergeCell ref="I53:J53"/>
    <mergeCell ref="K53:L53"/>
    <mergeCell ref="Q54:R54"/>
    <mergeCell ref="S54:T54"/>
    <mergeCell ref="U54:V54"/>
    <mergeCell ref="W54:X54"/>
    <mergeCell ref="A55:B55"/>
    <mergeCell ref="C55:D55"/>
    <mergeCell ref="E55:F55"/>
    <mergeCell ref="G55:H55"/>
    <mergeCell ref="I55:J55"/>
    <mergeCell ref="K55:L55"/>
    <mergeCell ref="AA55:AC56"/>
    <mergeCell ref="W57:X57"/>
    <mergeCell ref="AM55:AO56"/>
    <mergeCell ref="A56:B56"/>
    <mergeCell ref="C56:D56"/>
    <mergeCell ref="E56:F56"/>
    <mergeCell ref="G56:H56"/>
    <mergeCell ref="I56:J56"/>
    <mergeCell ref="K56:L56"/>
    <mergeCell ref="M56:N56"/>
    <mergeCell ref="O56:P56"/>
    <mergeCell ref="M55:N55"/>
    <mergeCell ref="O55:P55"/>
    <mergeCell ref="Q55:R55"/>
    <mergeCell ref="S55:T55"/>
    <mergeCell ref="U55:V55"/>
    <mergeCell ref="W55:X55"/>
    <mergeCell ref="Q56:R56"/>
    <mergeCell ref="S56:T56"/>
    <mergeCell ref="U56:V56"/>
    <mergeCell ref="W56:X56"/>
    <mergeCell ref="AA57:AC57"/>
    <mergeCell ref="AM57:AO57"/>
    <mergeCell ref="M58:N58"/>
    <mergeCell ref="O58:P58"/>
    <mergeCell ref="Q58:R58"/>
    <mergeCell ref="S58:T58"/>
    <mergeCell ref="U58:V58"/>
    <mergeCell ref="A57:D57"/>
    <mergeCell ref="E57:F57"/>
    <mergeCell ref="G57:J57"/>
    <mergeCell ref="K57:L57"/>
    <mergeCell ref="M57:P57"/>
    <mergeCell ref="Q57:R57"/>
    <mergeCell ref="A58:B58"/>
    <mergeCell ref="C58:D58"/>
    <mergeCell ref="E58:F58"/>
    <mergeCell ref="G58:H58"/>
    <mergeCell ref="I58:J58"/>
    <mergeCell ref="K58:L58"/>
    <mergeCell ref="S57:V57"/>
    <mergeCell ref="W58:X58"/>
    <mergeCell ref="Q60:R60"/>
    <mergeCell ref="S60:T60"/>
    <mergeCell ref="U60:V60"/>
    <mergeCell ref="W60:X60"/>
    <mergeCell ref="AA61:AC61"/>
    <mergeCell ref="AM61:AO61"/>
    <mergeCell ref="AA59:AC60"/>
    <mergeCell ref="AM59:AO60"/>
    <mergeCell ref="Q59:R59"/>
    <mergeCell ref="S59:T59"/>
    <mergeCell ref="U59:V59"/>
    <mergeCell ref="W59:X59"/>
    <mergeCell ref="A60:B60"/>
    <mergeCell ref="C60:D60"/>
    <mergeCell ref="E60:F60"/>
    <mergeCell ref="G60:H60"/>
    <mergeCell ref="I60:J60"/>
    <mergeCell ref="K60:L60"/>
    <mergeCell ref="M60:N60"/>
    <mergeCell ref="O60:P60"/>
    <mergeCell ref="M59:N59"/>
    <mergeCell ref="O59:P59"/>
    <mergeCell ref="A59:B59"/>
    <mergeCell ref="C59:D59"/>
    <mergeCell ref="E59:F59"/>
    <mergeCell ref="G59:H59"/>
    <mergeCell ref="I59:J59"/>
    <mergeCell ref="K59:L59"/>
  </mergeCells>
  <phoneticPr fontId="1" type="noConversion"/>
  <pageMargins left="0.25" right="0.25" top="0.75" bottom="0.75" header="0.3" footer="0.3"/>
  <pageSetup paperSize="9" scale="54" fitToWidth="0" orientation="portrait" horizontalDpi="4294967293" r:id="rId1"/>
  <colBreaks count="2" manualBreakCount="2">
    <brk id="12" max="60" man="1"/>
    <brk id="25" max="60"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vt:i4>
      </vt:variant>
      <vt:variant>
        <vt:lpstr>이름이 지정된 범위</vt:lpstr>
      </vt:variant>
      <vt:variant>
        <vt:i4>6</vt:i4>
      </vt:variant>
    </vt:vector>
  </HeadingPairs>
  <TitlesOfParts>
    <vt:vector size="17" baseType="lpstr">
      <vt:lpstr>Raw data</vt:lpstr>
      <vt:lpstr>자료정리</vt:lpstr>
      <vt:lpstr>인원선정 종합</vt:lpstr>
      <vt:lpstr>인기인 정렬</vt:lpstr>
      <vt:lpstr>인원선정 최종</vt:lpstr>
      <vt:lpstr>18M</vt:lpstr>
      <vt:lpstr>18M 키워드</vt:lpstr>
      <vt:lpstr>18L</vt:lpstr>
      <vt:lpstr>18L 키워드</vt:lpstr>
      <vt:lpstr>18E</vt:lpstr>
      <vt:lpstr>18E 키워드</vt:lpstr>
      <vt:lpstr>'18E'!Print_Area</vt:lpstr>
      <vt:lpstr>'18E 키워드'!Print_Area</vt:lpstr>
      <vt:lpstr>'18L'!Print_Area</vt:lpstr>
      <vt:lpstr>'18L 키워드'!Print_Area</vt:lpstr>
      <vt:lpstr>'18M'!Print_Area</vt:lpstr>
      <vt:lpstr>'18M 키워드'!Print_Area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DB400T8A</dc:creator>
  <cp:lastModifiedBy>DB400TFA</cp:lastModifiedBy>
  <cp:lastPrinted>2026-04-18T09:13:52Z</cp:lastPrinted>
  <dcterms:created xsi:type="dcterms:W3CDTF">2025-09-11T23:21:03Z</dcterms:created>
  <dcterms:modified xsi:type="dcterms:W3CDTF">2026-04-28T07:44:58Z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